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Desktop\Manglar\"/>
    </mc:Choice>
  </mc:AlternateContent>
  <xr:revisionPtr revIDLastSave="0" documentId="13_ncr:1_{17ACA831-0159-4906-A51A-B22AF71BF7D5}" xr6:coauthVersionLast="47" xr6:coauthVersionMax="47" xr10:uidLastSave="{00000000-0000-0000-0000-000000000000}"/>
  <bookViews>
    <workbookView xWindow="28680" yWindow="-120" windowWidth="51840" windowHeight="21120" tabRatio="677" activeTab="1" xr2:uid="{00000000-000D-0000-FFFF-FFFF00000000}"/>
  </bookViews>
  <sheets>
    <sheet name="Resumen" sheetId="2" r:id="rId1"/>
    <sheet name="Extractos bancarios - Manglar" sheetId="3" r:id="rId2"/>
    <sheet name="CxC" sheetId="5" r:id="rId3"/>
    <sheet name="CxP" sheetId="4" r:id="rId4"/>
    <sheet name="Rentabilidad x Cliente" sheetId="6" r:id="rId5"/>
    <sheet name="Costos Fijos" sheetId="7" r:id="rId6"/>
    <sheet name="Proyeccion Flujo de Caja" sheetId="8" r:id="rId7"/>
    <sheet name="Planeacion IVA" sheetId="9" r:id="rId8"/>
    <sheet name="Forecast" sheetId="10" r:id="rId9"/>
    <sheet name="Data" sheetId="11" r:id="rId10"/>
  </sheets>
  <definedNames>
    <definedName name="_xlnm._FilterDatabase" localSheetId="2" hidden="1">CxC!$A$10:$V$52</definedName>
    <definedName name="_xlnm._FilterDatabase" localSheetId="3" hidden="1">CxP!$B$5:$Y$164</definedName>
    <definedName name="_xlnm._FilterDatabase" localSheetId="9" hidden="1">Data!$E$1:$G$37</definedName>
    <definedName name="_xlnm._FilterDatabase" localSheetId="1" hidden="1">'Extractos bancarios - Manglar'!$A$1:$N$1015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godlzn8HjjKT/RzcHF4lhKuvNb6GHmQQr8arU/CSuPw="/>
    </ext>
  </extLst>
</workbook>
</file>

<file path=xl/calcChain.xml><?xml version="1.0" encoding="utf-8"?>
<calcChain xmlns="http://schemas.openxmlformats.org/spreadsheetml/2006/main">
  <c r="I252" i="4" l="1"/>
  <c r="H252" i="4"/>
  <c r="F252" i="4"/>
  <c r="E252" i="4"/>
  <c r="D252" i="4"/>
  <c r="C252" i="4"/>
  <c r="I251" i="4"/>
  <c r="H251" i="4"/>
  <c r="F251" i="4"/>
  <c r="E251" i="4"/>
  <c r="D251" i="4"/>
  <c r="C251" i="4"/>
  <c r="I250" i="4"/>
  <c r="H250" i="4"/>
  <c r="F250" i="4"/>
  <c r="E250" i="4"/>
  <c r="D250" i="4"/>
  <c r="C250" i="4"/>
  <c r="I249" i="4"/>
  <c r="H249" i="4"/>
  <c r="F249" i="4"/>
  <c r="E249" i="4"/>
  <c r="D249" i="4"/>
  <c r="C249" i="4"/>
  <c r="I248" i="4"/>
  <c r="H248" i="4"/>
  <c r="F248" i="4"/>
  <c r="E248" i="4"/>
  <c r="D248" i="4"/>
  <c r="C248" i="4"/>
  <c r="I247" i="4"/>
  <c r="H247" i="4"/>
  <c r="F247" i="4"/>
  <c r="E247" i="4"/>
  <c r="D247" i="4"/>
  <c r="C247" i="4"/>
  <c r="I246" i="4"/>
  <c r="H246" i="4"/>
  <c r="F246" i="4"/>
  <c r="E246" i="4"/>
  <c r="D246" i="4"/>
  <c r="C246" i="4"/>
  <c r="I245" i="4"/>
  <c r="H245" i="4"/>
  <c r="F245" i="4"/>
  <c r="E245" i="4"/>
  <c r="D245" i="4"/>
  <c r="C245" i="4"/>
  <c r="I244" i="4"/>
  <c r="H244" i="4"/>
  <c r="F244" i="4"/>
  <c r="E244" i="4"/>
  <c r="D244" i="4"/>
  <c r="C244" i="4"/>
  <c r="I243" i="4"/>
  <c r="H243" i="4"/>
  <c r="F243" i="4"/>
  <c r="E243" i="4"/>
  <c r="D243" i="4"/>
  <c r="C243" i="4"/>
  <c r="I242" i="4"/>
  <c r="H242" i="4"/>
  <c r="F242" i="4"/>
  <c r="E242" i="4"/>
  <c r="D242" i="4"/>
  <c r="C242" i="4"/>
  <c r="I241" i="4"/>
  <c r="H241" i="4"/>
  <c r="F241" i="4"/>
  <c r="E241" i="4"/>
  <c r="D241" i="4"/>
  <c r="C241" i="4"/>
  <c r="I240" i="4"/>
  <c r="H240" i="4"/>
  <c r="F240" i="4"/>
  <c r="E240" i="4"/>
  <c r="D240" i="4"/>
  <c r="C240" i="4"/>
  <c r="I239" i="4"/>
  <c r="H239" i="4"/>
  <c r="F239" i="4"/>
  <c r="E239" i="4"/>
  <c r="D239" i="4"/>
  <c r="C239" i="4"/>
  <c r="I238" i="4"/>
  <c r="H238" i="4"/>
  <c r="F238" i="4"/>
  <c r="E238" i="4"/>
  <c r="D238" i="4"/>
  <c r="C238" i="4"/>
  <c r="Y143" i="4"/>
  <c r="U143" i="4"/>
  <c r="P143" i="4"/>
  <c r="O143" i="4"/>
  <c r="I143" i="4" a="1"/>
  <c r="I143" i="4" s="1"/>
  <c r="H143" i="4" a="1"/>
  <c r="H143" i="4" s="1"/>
  <c r="X143" i="4" s="1"/>
  <c r="A143" i="4"/>
  <c r="Y144" i="4"/>
  <c r="U144" i="4"/>
  <c r="P144" i="4"/>
  <c r="O144" i="4"/>
  <c r="I144" i="4" a="1"/>
  <c r="I144" i="4" s="1"/>
  <c r="H144" i="4" a="1"/>
  <c r="H144" i="4" s="1"/>
  <c r="X144" i="4" s="1"/>
  <c r="A144" i="4"/>
  <c r="Y145" i="4"/>
  <c r="U145" i="4"/>
  <c r="P145" i="4"/>
  <c r="O145" i="4"/>
  <c r="I145" i="4" a="1"/>
  <c r="I145" i="4" s="1"/>
  <c r="H145" i="4" a="1"/>
  <c r="H145" i="4" s="1"/>
  <c r="X145" i="4" s="1"/>
  <c r="A145" i="4"/>
  <c r="Y146" i="4"/>
  <c r="X146" i="4"/>
  <c r="W146" i="4"/>
  <c r="V146" i="4"/>
  <c r="U146" i="4"/>
  <c r="Q146" i="4"/>
  <c r="P146" i="4"/>
  <c r="O146" i="4"/>
  <c r="I146" i="4" a="1"/>
  <c r="I146" i="4" s="1"/>
  <c r="H146" i="4" a="1"/>
  <c r="H146" i="4" s="1"/>
  <c r="D146" i="4"/>
  <c r="A146" i="4"/>
  <c r="Y147" i="4"/>
  <c r="X147" i="4"/>
  <c r="W147" i="4"/>
  <c r="V147" i="4"/>
  <c r="U147" i="4"/>
  <c r="Q147" i="4"/>
  <c r="P147" i="4"/>
  <c r="O147" i="4"/>
  <c r="I147" i="4" a="1"/>
  <c r="I147" i="4" s="1"/>
  <c r="H147" i="4" a="1"/>
  <c r="H147" i="4" s="1"/>
  <c r="D147" i="4"/>
  <c r="A147" i="4"/>
  <c r="Y148" i="4"/>
  <c r="X148" i="4"/>
  <c r="W148" i="4"/>
  <c r="V148" i="4"/>
  <c r="U148" i="4"/>
  <c r="Q148" i="4"/>
  <c r="P148" i="4"/>
  <c r="O148" i="4"/>
  <c r="I148" i="4" a="1"/>
  <c r="I148" i="4" s="1"/>
  <c r="H148" i="4" a="1"/>
  <c r="H148" i="4" s="1"/>
  <c r="D148" i="4"/>
  <c r="A148" i="4"/>
  <c r="Y149" i="4"/>
  <c r="X149" i="4"/>
  <c r="W149" i="4"/>
  <c r="V149" i="4"/>
  <c r="U149" i="4"/>
  <c r="Q149" i="4"/>
  <c r="P149" i="4"/>
  <c r="O149" i="4"/>
  <c r="I149" i="4" a="1"/>
  <c r="I149" i="4" s="1"/>
  <c r="H149" i="4" a="1"/>
  <c r="H149" i="4" s="1"/>
  <c r="D149" i="4"/>
  <c r="A149" i="4"/>
  <c r="Y150" i="4"/>
  <c r="X150" i="4"/>
  <c r="W150" i="4"/>
  <c r="V150" i="4"/>
  <c r="U150" i="4"/>
  <c r="Q150" i="4"/>
  <c r="P150" i="4"/>
  <c r="O150" i="4"/>
  <c r="I150" i="4" a="1"/>
  <c r="I150" i="4" s="1"/>
  <c r="H150" i="4" a="1"/>
  <c r="H150" i="4" s="1"/>
  <c r="D150" i="4"/>
  <c r="A150" i="4"/>
  <c r="Y151" i="4"/>
  <c r="X151" i="4"/>
  <c r="W151" i="4"/>
  <c r="V151" i="4"/>
  <c r="U151" i="4"/>
  <c r="Q151" i="4"/>
  <c r="P151" i="4"/>
  <c r="O151" i="4"/>
  <c r="I151" i="4" a="1"/>
  <c r="I151" i="4" s="1"/>
  <c r="H151" i="4" a="1"/>
  <c r="H151" i="4" s="1"/>
  <c r="D151" i="4"/>
  <c r="A151" i="4"/>
  <c r="Y152" i="4"/>
  <c r="X152" i="4"/>
  <c r="W152" i="4"/>
  <c r="V152" i="4"/>
  <c r="U152" i="4"/>
  <c r="Q152" i="4"/>
  <c r="P152" i="4"/>
  <c r="O152" i="4"/>
  <c r="I152" i="4" a="1"/>
  <c r="I152" i="4" s="1"/>
  <c r="H152" i="4" a="1"/>
  <c r="H152" i="4" s="1"/>
  <c r="D152" i="4"/>
  <c r="A152" i="4"/>
  <c r="Y153" i="4"/>
  <c r="X153" i="4"/>
  <c r="W153" i="4"/>
  <c r="V153" i="4"/>
  <c r="U153" i="4"/>
  <c r="Q153" i="4"/>
  <c r="P153" i="4"/>
  <c r="O153" i="4"/>
  <c r="I153" i="4" a="1"/>
  <c r="I153" i="4" s="1"/>
  <c r="H153" i="4" a="1"/>
  <c r="H153" i="4" s="1"/>
  <c r="D153" i="4"/>
  <c r="A153" i="4"/>
  <c r="Y154" i="4"/>
  <c r="X154" i="4"/>
  <c r="W154" i="4"/>
  <c r="V154" i="4"/>
  <c r="U154" i="4"/>
  <c r="Q154" i="4"/>
  <c r="P154" i="4"/>
  <c r="O154" i="4"/>
  <c r="I154" i="4" a="1"/>
  <c r="I154" i="4" s="1"/>
  <c r="H154" i="4" a="1"/>
  <c r="H154" i="4" s="1"/>
  <c r="D154" i="4"/>
  <c r="A154" i="4"/>
  <c r="Y155" i="4"/>
  <c r="X155" i="4"/>
  <c r="W155" i="4"/>
  <c r="V155" i="4"/>
  <c r="U155" i="4"/>
  <c r="Q155" i="4"/>
  <c r="P155" i="4"/>
  <c r="O155" i="4"/>
  <c r="I155" i="4" a="1"/>
  <c r="I155" i="4" s="1"/>
  <c r="H155" i="4" a="1"/>
  <c r="H155" i="4" s="1"/>
  <c r="D155" i="4"/>
  <c r="A155" i="4"/>
  <c r="Y156" i="4"/>
  <c r="X156" i="4"/>
  <c r="W156" i="4"/>
  <c r="V156" i="4"/>
  <c r="U156" i="4"/>
  <c r="Q156" i="4"/>
  <c r="P156" i="4"/>
  <c r="O156" i="4"/>
  <c r="I156" i="4" a="1"/>
  <c r="I156" i="4" s="1"/>
  <c r="H156" i="4" a="1"/>
  <c r="H156" i="4" s="1"/>
  <c r="D156" i="4"/>
  <c r="A156" i="4"/>
  <c r="Y157" i="4"/>
  <c r="X157" i="4"/>
  <c r="W157" i="4"/>
  <c r="V157" i="4"/>
  <c r="U157" i="4"/>
  <c r="Q157" i="4"/>
  <c r="P157" i="4"/>
  <c r="O157" i="4"/>
  <c r="I157" i="4" a="1"/>
  <c r="I157" i="4" s="1"/>
  <c r="H157" i="4" a="1"/>
  <c r="H157" i="4" s="1"/>
  <c r="D157" i="4"/>
  <c r="A157" i="4"/>
  <c r="Y158" i="4"/>
  <c r="X158" i="4"/>
  <c r="W158" i="4"/>
  <c r="V158" i="4"/>
  <c r="U158" i="4"/>
  <c r="Q158" i="4"/>
  <c r="P158" i="4"/>
  <c r="O158" i="4"/>
  <c r="I158" i="4" a="1"/>
  <c r="I158" i="4" s="1"/>
  <c r="H158" i="4" a="1"/>
  <c r="H158" i="4" s="1"/>
  <c r="D158" i="4"/>
  <c r="A158" i="4"/>
  <c r="L140" i="3"/>
  <c r="J140" i="3" a="1"/>
  <c r="J140" i="3" s="1"/>
  <c r="I140" i="3" a="1"/>
  <c r="I140" i="3" s="1"/>
  <c r="G140" i="3"/>
  <c r="Y97" i="4"/>
  <c r="U97" i="4"/>
  <c r="P97" i="4"/>
  <c r="O97" i="4"/>
  <c r="I97" i="4" a="1"/>
  <c r="I97" i="4" s="1"/>
  <c r="H97" i="4" a="1"/>
  <c r="H97" i="4" s="1"/>
  <c r="X97" i="4" s="1"/>
  <c r="A97" i="4"/>
  <c r="Y162" i="4"/>
  <c r="X162" i="4"/>
  <c r="W162" i="4"/>
  <c r="V162" i="4"/>
  <c r="U162" i="4"/>
  <c r="Y161" i="4"/>
  <c r="X161" i="4"/>
  <c r="W161" i="4"/>
  <c r="V161" i="4"/>
  <c r="U161" i="4"/>
  <c r="Y160" i="4"/>
  <c r="X160" i="4"/>
  <c r="W160" i="4"/>
  <c r="V160" i="4"/>
  <c r="U160" i="4"/>
  <c r="Y159" i="4"/>
  <c r="X159" i="4"/>
  <c r="W159" i="4"/>
  <c r="V159" i="4"/>
  <c r="U159" i="4"/>
  <c r="Y142" i="4"/>
  <c r="U142" i="4"/>
  <c r="Y141" i="4"/>
  <c r="U141" i="4"/>
  <c r="Y140" i="4"/>
  <c r="U140" i="4"/>
  <c r="Y139" i="4"/>
  <c r="U139" i="4"/>
  <c r="Y138" i="4"/>
  <c r="U138" i="4"/>
  <c r="Y137" i="4"/>
  <c r="U137" i="4"/>
  <c r="Y136" i="4"/>
  <c r="U136" i="4"/>
  <c r="Y135" i="4"/>
  <c r="U135" i="4"/>
  <c r="Y134" i="4"/>
  <c r="U134" i="4"/>
  <c r="J422" i="3" a="1"/>
  <c r="J422" i="3" s="1"/>
  <c r="I422" i="3" a="1"/>
  <c r="I422" i="3" s="1"/>
  <c r="G422" i="3"/>
  <c r="J423" i="3" a="1"/>
  <c r="J423" i="3" s="1"/>
  <c r="I423" i="3" a="1"/>
  <c r="I423" i="3" s="1"/>
  <c r="G423" i="3"/>
  <c r="J424" i="3" a="1"/>
  <c r="J424" i="3" s="1"/>
  <c r="I424" i="3" a="1"/>
  <c r="I424" i="3" s="1"/>
  <c r="G424" i="3"/>
  <c r="J425" i="3" a="1"/>
  <c r="J425" i="3" s="1"/>
  <c r="I425" i="3" a="1"/>
  <c r="I425" i="3" s="1"/>
  <c r="G425" i="3"/>
  <c r="J426" i="3" a="1"/>
  <c r="J426" i="3" s="1"/>
  <c r="I426" i="3" a="1"/>
  <c r="I426" i="3" s="1"/>
  <c r="G426" i="3"/>
  <c r="Y129" i="4"/>
  <c r="U129" i="4"/>
  <c r="P129" i="4"/>
  <c r="O129" i="4"/>
  <c r="I129" i="4" a="1"/>
  <c r="I129" i="4" s="1"/>
  <c r="H129" i="4" a="1"/>
  <c r="H129" i="4" s="1"/>
  <c r="X129" i="4" s="1"/>
  <c r="A129" i="4"/>
  <c r="Y128" i="4"/>
  <c r="U128" i="4"/>
  <c r="P128" i="4"/>
  <c r="O128" i="4"/>
  <c r="I128" i="4" a="1"/>
  <c r="I128" i="4" s="1"/>
  <c r="H128" i="4" a="1"/>
  <c r="H128" i="4" s="1"/>
  <c r="X128" i="4" s="1"/>
  <c r="A128" i="4"/>
  <c r="Y131" i="4"/>
  <c r="U131" i="4"/>
  <c r="P131" i="4"/>
  <c r="O131" i="4"/>
  <c r="I131" i="4" a="1"/>
  <c r="I131" i="4" s="1"/>
  <c r="H131" i="4" a="1"/>
  <c r="H131" i="4" s="1"/>
  <c r="X131" i="4" s="1"/>
  <c r="A131" i="4"/>
  <c r="Y130" i="4"/>
  <c r="U130" i="4"/>
  <c r="P130" i="4"/>
  <c r="O130" i="4"/>
  <c r="I130" i="4" a="1"/>
  <c r="I130" i="4" s="1"/>
  <c r="H130" i="4" a="1"/>
  <c r="H130" i="4" s="1"/>
  <c r="X130" i="4" s="1"/>
  <c r="A130" i="4"/>
  <c r="Y132" i="4"/>
  <c r="U132" i="4"/>
  <c r="P132" i="4"/>
  <c r="O132" i="4"/>
  <c r="I132" i="4" a="1"/>
  <c r="I132" i="4" s="1"/>
  <c r="H132" i="4" a="1"/>
  <c r="H132" i="4" s="1"/>
  <c r="X132" i="4" s="1"/>
  <c r="A132" i="4"/>
  <c r="S119" i="4"/>
  <c r="S118" i="4"/>
  <c r="S117" i="4"/>
  <c r="S101" i="4"/>
  <c r="S93" i="4"/>
  <c r="S92" i="4"/>
  <c r="G439" i="3"/>
  <c r="A162" i="4"/>
  <c r="A161" i="4"/>
  <c r="A160" i="4"/>
  <c r="A159" i="4"/>
  <c r="A142" i="4"/>
  <c r="A141" i="4"/>
  <c r="A140" i="4"/>
  <c r="A139" i="4"/>
  <c r="A138" i="4"/>
  <c r="A137" i="4"/>
  <c r="A136" i="4"/>
  <c r="A135" i="4"/>
  <c r="A134" i="4"/>
  <c r="D162" i="4"/>
  <c r="D161" i="4"/>
  <c r="D160" i="4"/>
  <c r="D159" i="4"/>
  <c r="Q162" i="4"/>
  <c r="P162" i="4"/>
  <c r="O162" i="4"/>
  <c r="Q161" i="4"/>
  <c r="P161" i="4"/>
  <c r="O161" i="4"/>
  <c r="Q160" i="4"/>
  <c r="P160" i="4"/>
  <c r="O160" i="4"/>
  <c r="Q159" i="4"/>
  <c r="P159" i="4"/>
  <c r="O159" i="4"/>
  <c r="P142" i="4"/>
  <c r="O142" i="4"/>
  <c r="P141" i="4"/>
  <c r="O141" i="4"/>
  <c r="P140" i="4"/>
  <c r="O140" i="4"/>
  <c r="P139" i="4"/>
  <c r="O139" i="4"/>
  <c r="P138" i="4"/>
  <c r="O138" i="4"/>
  <c r="P137" i="4"/>
  <c r="O137" i="4"/>
  <c r="P136" i="4"/>
  <c r="H232" i="4" s="1"/>
  <c r="O136" i="4"/>
  <c r="P135" i="4"/>
  <c r="H231" i="4" s="1"/>
  <c r="O135" i="4"/>
  <c r="P134" i="4"/>
  <c r="H230" i="4" s="1"/>
  <c r="O134" i="4"/>
  <c r="I162" i="4" a="1"/>
  <c r="I162" i="4" s="1"/>
  <c r="H162" i="4" a="1"/>
  <c r="H162" i="4" s="1"/>
  <c r="I161" i="4" a="1"/>
  <c r="I161" i="4" s="1"/>
  <c r="H161" i="4" a="1"/>
  <c r="H161" i="4" s="1"/>
  <c r="I160" i="4" a="1"/>
  <c r="I160" i="4" s="1"/>
  <c r="H160" i="4" a="1"/>
  <c r="H160" i="4" s="1"/>
  <c r="I159" i="4" a="1"/>
  <c r="I159" i="4" s="1"/>
  <c r="H159" i="4" a="1"/>
  <c r="H159" i="4" s="1"/>
  <c r="I142" i="4" a="1"/>
  <c r="I142" i="4" s="1"/>
  <c r="H142" i="4" a="1"/>
  <c r="H142" i="4" s="1"/>
  <c r="X142" i="4" s="1"/>
  <c r="I141" i="4" a="1"/>
  <c r="I141" i="4" s="1"/>
  <c r="H141" i="4" a="1"/>
  <c r="H141" i="4" s="1"/>
  <c r="X141" i="4" s="1"/>
  <c r="I140" i="4" a="1"/>
  <c r="I140" i="4" s="1"/>
  <c r="H140" i="4" a="1"/>
  <c r="H140" i="4" s="1"/>
  <c r="X140" i="4" s="1"/>
  <c r="I139" i="4" a="1"/>
  <c r="I139" i="4" s="1"/>
  <c r="H139" i="4" a="1"/>
  <c r="H139" i="4" s="1"/>
  <c r="X139" i="4" s="1"/>
  <c r="I138" i="4" a="1"/>
  <c r="I138" i="4" s="1"/>
  <c r="H138" i="4" a="1"/>
  <c r="H138" i="4" s="1"/>
  <c r="X138" i="4" s="1"/>
  <c r="I137" i="4" a="1"/>
  <c r="I137" i="4" s="1"/>
  <c r="H137" i="4" a="1"/>
  <c r="H137" i="4" s="1"/>
  <c r="X137" i="4" s="1"/>
  <c r="I136" i="4" a="1"/>
  <c r="I136" i="4" s="1"/>
  <c r="H136" i="4" a="1"/>
  <c r="H136" i="4" s="1"/>
  <c r="X136" i="4" s="1"/>
  <c r="I135" i="4" a="1"/>
  <c r="I135" i="4" s="1"/>
  <c r="H135" i="4" a="1"/>
  <c r="H135" i="4" s="1"/>
  <c r="X135" i="4" s="1"/>
  <c r="I134" i="4" a="1"/>
  <c r="I134" i="4" s="1"/>
  <c r="H134" i="4" a="1"/>
  <c r="H134" i="4" s="1"/>
  <c r="X134" i="4" s="1"/>
  <c r="L119" i="4"/>
  <c r="K119" i="4"/>
  <c r="L118" i="4"/>
  <c r="K118" i="4"/>
  <c r="L117" i="4"/>
  <c r="E212" i="4" s="1"/>
  <c r="K117" i="4"/>
  <c r="D212" i="4" s="1"/>
  <c r="Y118" i="4"/>
  <c r="U118" i="4"/>
  <c r="P118" i="4"/>
  <c r="O118" i="4"/>
  <c r="I118" i="4" a="1"/>
  <c r="I118" i="4" s="1"/>
  <c r="H118" i="4" a="1"/>
  <c r="H118" i="4" s="1"/>
  <c r="X118" i="4" s="1"/>
  <c r="A118" i="4"/>
  <c r="Y117" i="4"/>
  <c r="U117" i="4"/>
  <c r="P117" i="4"/>
  <c r="O117" i="4"/>
  <c r="I117" i="4" a="1"/>
  <c r="I117" i="4" s="1"/>
  <c r="H117" i="4" a="1"/>
  <c r="H117" i="4" s="1"/>
  <c r="X117" i="4" s="1"/>
  <c r="A117" i="4"/>
  <c r="J421" i="3" a="1"/>
  <c r="J421" i="3" s="1"/>
  <c r="I421" i="3" a="1"/>
  <c r="I421" i="3" s="1"/>
  <c r="G421" i="3"/>
  <c r="J420" i="3" a="1"/>
  <c r="J420" i="3" s="1"/>
  <c r="I420" i="3" a="1"/>
  <c r="I420" i="3" s="1"/>
  <c r="G420" i="3"/>
  <c r="J419" i="3" a="1"/>
  <c r="J419" i="3" s="1"/>
  <c r="I419" i="3" a="1"/>
  <c r="I419" i="3" s="1"/>
  <c r="G419" i="3"/>
  <c r="J368" i="3" a="1"/>
  <c r="J368" i="3" s="1"/>
  <c r="I368" i="3" a="1"/>
  <c r="I368" i="3" s="1"/>
  <c r="G368" i="3"/>
  <c r="I253" i="4"/>
  <c r="H253" i="4"/>
  <c r="F253" i="4"/>
  <c r="E253" i="4"/>
  <c r="D253" i="4"/>
  <c r="C253" i="4"/>
  <c r="H237" i="4"/>
  <c r="F237" i="4"/>
  <c r="E237" i="4"/>
  <c r="D237" i="4"/>
  <c r="C237" i="4"/>
  <c r="H236" i="4"/>
  <c r="F236" i="4"/>
  <c r="E236" i="4"/>
  <c r="D236" i="4"/>
  <c r="C236" i="4"/>
  <c r="H235" i="4"/>
  <c r="F235" i="4"/>
  <c r="E235" i="4"/>
  <c r="D235" i="4"/>
  <c r="C235" i="4"/>
  <c r="H234" i="4"/>
  <c r="F234" i="4"/>
  <c r="E234" i="4"/>
  <c r="D234" i="4"/>
  <c r="C234" i="4"/>
  <c r="H233" i="4"/>
  <c r="F233" i="4"/>
  <c r="E233" i="4"/>
  <c r="D233" i="4"/>
  <c r="C233" i="4"/>
  <c r="F232" i="4"/>
  <c r="E232" i="4"/>
  <c r="D232" i="4"/>
  <c r="C232" i="4"/>
  <c r="F231" i="4"/>
  <c r="E231" i="4"/>
  <c r="D231" i="4"/>
  <c r="C231" i="4"/>
  <c r="F230" i="4"/>
  <c r="E230" i="4"/>
  <c r="D230" i="4"/>
  <c r="C230" i="4"/>
  <c r="E229" i="4"/>
  <c r="D229" i="4"/>
  <c r="C229" i="4"/>
  <c r="E228" i="4"/>
  <c r="D228" i="4"/>
  <c r="C228" i="4"/>
  <c r="L114" i="4"/>
  <c r="K114" i="4"/>
  <c r="L113" i="4"/>
  <c r="E221" i="4" s="1"/>
  <c r="K113" i="4"/>
  <c r="D221" i="4" s="1"/>
  <c r="Y113" i="4"/>
  <c r="U113" i="4"/>
  <c r="P113" i="4"/>
  <c r="O113" i="4"/>
  <c r="I113" i="4" a="1"/>
  <c r="I113" i="4" s="1"/>
  <c r="H113" i="4" a="1"/>
  <c r="H113" i="4" s="1"/>
  <c r="X113" i="4" s="1"/>
  <c r="A113" i="4"/>
  <c r="Y112" i="4"/>
  <c r="U112" i="4"/>
  <c r="P112" i="4"/>
  <c r="O112" i="4"/>
  <c r="I112" i="4" a="1"/>
  <c r="I112" i="4" s="1"/>
  <c r="H112" i="4" a="1"/>
  <c r="H112" i="4" s="1"/>
  <c r="X112" i="4" s="1"/>
  <c r="A112" i="4"/>
  <c r="Y114" i="4"/>
  <c r="U114" i="4"/>
  <c r="P114" i="4"/>
  <c r="O114" i="4"/>
  <c r="I114" i="4" a="1"/>
  <c r="I114" i="4" s="1"/>
  <c r="H114" i="4" a="1"/>
  <c r="H114" i="4" s="1"/>
  <c r="X114" i="4" s="1"/>
  <c r="A114" i="4"/>
  <c r="Y115" i="4"/>
  <c r="U115" i="4"/>
  <c r="P115" i="4"/>
  <c r="H222" i="4" s="1"/>
  <c r="O115" i="4"/>
  <c r="F222" i="4" s="1"/>
  <c r="I115" i="4" a="1"/>
  <c r="I115" i="4" s="1"/>
  <c r="H115" i="4" a="1"/>
  <c r="H115" i="4" s="1"/>
  <c r="X115" i="4" s="1"/>
  <c r="A115" i="4"/>
  <c r="Y116" i="4"/>
  <c r="U116" i="4"/>
  <c r="P116" i="4"/>
  <c r="O116" i="4"/>
  <c r="I116" i="4" a="1"/>
  <c r="I116" i="4" s="1"/>
  <c r="H116" i="4" a="1"/>
  <c r="H116" i="4" s="1"/>
  <c r="X116" i="4" s="1"/>
  <c r="A116" i="4"/>
  <c r="Y119" i="4"/>
  <c r="U119" i="4"/>
  <c r="P119" i="4"/>
  <c r="O119" i="4"/>
  <c r="I119" i="4" a="1"/>
  <c r="I119" i="4" s="1"/>
  <c r="H119" i="4" a="1"/>
  <c r="H119" i="4" s="1"/>
  <c r="X119" i="4" s="1"/>
  <c r="A119" i="4"/>
  <c r="Y120" i="4"/>
  <c r="U120" i="4"/>
  <c r="P120" i="4"/>
  <c r="H223" i="4" s="1"/>
  <c r="O120" i="4"/>
  <c r="F223" i="4" s="1"/>
  <c r="I120" i="4" a="1"/>
  <c r="I120" i="4" s="1"/>
  <c r="H120" i="4" a="1"/>
  <c r="H120" i="4" s="1"/>
  <c r="X120" i="4" s="1"/>
  <c r="A120" i="4"/>
  <c r="Y121" i="4"/>
  <c r="U121" i="4"/>
  <c r="P121" i="4"/>
  <c r="H224" i="4" s="1"/>
  <c r="O121" i="4"/>
  <c r="F224" i="4" s="1"/>
  <c r="I121" i="4" a="1"/>
  <c r="I121" i="4" s="1"/>
  <c r="H121" i="4" a="1"/>
  <c r="H121" i="4" s="1"/>
  <c r="X121" i="4" s="1"/>
  <c r="A121" i="4"/>
  <c r="Y122" i="4"/>
  <c r="U122" i="4"/>
  <c r="P122" i="4"/>
  <c r="H225" i="4" s="1"/>
  <c r="O122" i="4"/>
  <c r="F225" i="4" s="1"/>
  <c r="I122" i="4" a="1"/>
  <c r="I122" i="4" s="1"/>
  <c r="H122" i="4" a="1"/>
  <c r="H122" i="4" s="1"/>
  <c r="X122" i="4" s="1"/>
  <c r="A122" i="4"/>
  <c r="V44" i="5"/>
  <c r="U44" i="5"/>
  <c r="T44" i="5"/>
  <c r="R44" i="5"/>
  <c r="Q44" i="5"/>
  <c r="P44" i="5"/>
  <c r="N44" i="5"/>
  <c r="M44" i="5"/>
  <c r="L44" i="5"/>
  <c r="J44" i="5"/>
  <c r="F44" i="5" a="1"/>
  <c r="F44" i="5" s="1"/>
  <c r="E44" i="5" a="1"/>
  <c r="E44" i="5" s="1"/>
  <c r="A44" i="5" s="1"/>
  <c r="V43" i="5"/>
  <c r="U43" i="5"/>
  <c r="T43" i="5"/>
  <c r="R43" i="5"/>
  <c r="Q43" i="5"/>
  <c r="P43" i="5"/>
  <c r="N43" i="5"/>
  <c r="M43" i="5"/>
  <c r="L43" i="5"/>
  <c r="J43" i="5"/>
  <c r="F43" i="5" a="1"/>
  <c r="F43" i="5" s="1"/>
  <c r="E43" i="5" a="1"/>
  <c r="E43" i="5" s="1"/>
  <c r="A43" i="5" s="1"/>
  <c r="V42" i="5"/>
  <c r="U42" i="5"/>
  <c r="T42" i="5"/>
  <c r="R42" i="5"/>
  <c r="Q42" i="5"/>
  <c r="P42" i="5"/>
  <c r="N42" i="5"/>
  <c r="M42" i="5"/>
  <c r="L42" i="5"/>
  <c r="J42" i="5"/>
  <c r="F42" i="5" a="1"/>
  <c r="F42" i="5" s="1"/>
  <c r="E42" i="5" a="1"/>
  <c r="E42" i="5" s="1"/>
  <c r="A42" i="5" s="1"/>
  <c r="U41" i="5"/>
  <c r="V41" i="5" s="1"/>
  <c r="T41" i="5"/>
  <c r="M41" i="5"/>
  <c r="J41" i="5"/>
  <c r="L41" i="5" s="1"/>
  <c r="F41" i="5" a="1"/>
  <c r="F41" i="5" s="1"/>
  <c r="E41" i="5" a="1"/>
  <c r="E41" i="5" s="1"/>
  <c r="A41" i="5" s="1"/>
  <c r="U40" i="5"/>
  <c r="V40" i="5" s="1"/>
  <c r="T40" i="5"/>
  <c r="M40" i="5"/>
  <c r="J40" i="5"/>
  <c r="L40" i="5" s="1"/>
  <c r="F40" i="5" a="1"/>
  <c r="F40" i="5" s="1"/>
  <c r="E40" i="5" a="1"/>
  <c r="E40" i="5" s="1"/>
  <c r="A40" i="5" s="1"/>
  <c r="U39" i="5"/>
  <c r="V39" i="5" s="1"/>
  <c r="T39" i="5"/>
  <c r="M39" i="5"/>
  <c r="J39" i="5"/>
  <c r="L39" i="5" s="1"/>
  <c r="F39" i="5" a="1"/>
  <c r="F39" i="5" s="1"/>
  <c r="E39" i="5" a="1"/>
  <c r="E39" i="5" s="1"/>
  <c r="A39" i="5" s="1"/>
  <c r="J331" i="3" a="1"/>
  <c r="J331" i="3" s="1"/>
  <c r="I331" i="3" a="1"/>
  <c r="I331" i="3" s="1"/>
  <c r="G331" i="3"/>
  <c r="J332" i="3" a="1"/>
  <c r="J332" i="3" s="1"/>
  <c r="I332" i="3" a="1"/>
  <c r="I332" i="3" s="1"/>
  <c r="G332" i="3"/>
  <c r="L105" i="4"/>
  <c r="K105" i="4"/>
  <c r="O105" i="4" s="1"/>
  <c r="P105" i="4" s="1"/>
  <c r="L104" i="4"/>
  <c r="K104" i="4"/>
  <c r="D194" i="4" s="1"/>
  <c r="Y104" i="4"/>
  <c r="U104" i="4"/>
  <c r="O104" i="4"/>
  <c r="P104" i="4" s="1"/>
  <c r="I104" i="4" a="1"/>
  <c r="I104" i="4" s="1"/>
  <c r="H104" i="4" a="1"/>
  <c r="H104" i="4" s="1"/>
  <c r="X104" i="4" s="1"/>
  <c r="A104" i="4"/>
  <c r="O103" i="4"/>
  <c r="Y103" i="4"/>
  <c r="U103" i="4"/>
  <c r="P103" i="4"/>
  <c r="I103" i="4" a="1"/>
  <c r="I103" i="4" s="1"/>
  <c r="H103" i="4" a="1"/>
  <c r="H103" i="4" s="1"/>
  <c r="X103" i="4" s="1"/>
  <c r="A103" i="4"/>
  <c r="I102" i="4" a="1"/>
  <c r="I102" i="4" s="1"/>
  <c r="H102" i="4" a="1"/>
  <c r="H102" i="4" s="1"/>
  <c r="X102" i="4" s="1"/>
  <c r="L95" i="4"/>
  <c r="O95" i="4" s="1"/>
  <c r="P95" i="4" s="1"/>
  <c r="L94" i="4"/>
  <c r="E213" i="4" s="1"/>
  <c r="Y94" i="4"/>
  <c r="U94" i="4"/>
  <c r="O94" i="4"/>
  <c r="P94" i="4" s="1"/>
  <c r="I94" i="4" a="1"/>
  <c r="I94" i="4" s="1"/>
  <c r="H94" i="4" a="1"/>
  <c r="H94" i="4" s="1"/>
  <c r="X94" i="4" s="1"/>
  <c r="A94" i="4"/>
  <c r="J353" i="3" a="1"/>
  <c r="J353" i="3" s="1"/>
  <c r="I353" i="3" a="1"/>
  <c r="I353" i="3" s="1"/>
  <c r="G353" i="3"/>
  <c r="Y81" i="4"/>
  <c r="J309" i="3" a="1"/>
  <c r="J309" i="3" s="1"/>
  <c r="I309" i="3" a="1"/>
  <c r="I309" i="3" s="1"/>
  <c r="G309" i="3"/>
  <c r="J310" i="3" a="1"/>
  <c r="J310" i="3" s="1"/>
  <c r="I310" i="3" a="1"/>
  <c r="I310" i="3" s="1"/>
  <c r="I108" i="4" a="1"/>
  <c r="I108" i="4" s="1"/>
  <c r="H108" i="4" a="1"/>
  <c r="H108" i="4" s="1"/>
  <c r="X108" i="4" s="1"/>
  <c r="I105" i="4" a="1"/>
  <c r="I105" i="4" s="1"/>
  <c r="H105" i="4" a="1"/>
  <c r="H105" i="4" s="1"/>
  <c r="X105" i="4" s="1"/>
  <c r="I101" i="4" a="1"/>
  <c r="I101" i="4" s="1"/>
  <c r="H101" i="4" a="1"/>
  <c r="H101" i="4" s="1"/>
  <c r="X101" i="4" s="1"/>
  <c r="I100" i="4" a="1"/>
  <c r="I100" i="4" s="1"/>
  <c r="H100" i="4" a="1"/>
  <c r="H100" i="4" s="1"/>
  <c r="X100" i="4" s="1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3" i="3"/>
  <c r="G334" i="3"/>
  <c r="G335" i="3"/>
  <c r="G336" i="3"/>
  <c r="G337" i="3"/>
  <c r="G338" i="3"/>
  <c r="G339" i="3"/>
  <c r="G340" i="3"/>
  <c r="G341" i="3"/>
  <c r="G342" i="3"/>
  <c r="G343" i="3"/>
  <c r="N79" i="4"/>
  <c r="N164" i="4" s="1"/>
  <c r="E42" i="6"/>
  <c r="D42" i="6"/>
  <c r="C42" i="6"/>
  <c r="E41" i="6"/>
  <c r="D41" i="6"/>
  <c r="C41" i="6"/>
  <c r="E40" i="6"/>
  <c r="D40" i="6"/>
  <c r="C40" i="6"/>
  <c r="E39" i="6"/>
  <c r="D39" i="6"/>
  <c r="C39" i="6"/>
  <c r="E38" i="6"/>
  <c r="D38" i="6"/>
  <c r="C38" i="6"/>
  <c r="E37" i="6"/>
  <c r="D37" i="6"/>
  <c r="C37" i="6"/>
  <c r="E36" i="6"/>
  <c r="D36" i="6"/>
  <c r="C36" i="6"/>
  <c r="E35" i="6"/>
  <c r="D35" i="6"/>
  <c r="C35" i="6"/>
  <c r="E34" i="6"/>
  <c r="D34" i="6"/>
  <c r="C34" i="6"/>
  <c r="E33" i="6"/>
  <c r="D33" i="6"/>
  <c r="C33" i="6"/>
  <c r="E32" i="6"/>
  <c r="D32" i="6"/>
  <c r="C32" i="6"/>
  <c r="E31" i="6"/>
  <c r="D31" i="6"/>
  <c r="C31" i="6"/>
  <c r="E30" i="6"/>
  <c r="D30" i="6"/>
  <c r="C30" i="6"/>
  <c r="E29" i="6"/>
  <c r="D29" i="6"/>
  <c r="C29" i="6"/>
  <c r="E28" i="6"/>
  <c r="D28" i="6"/>
  <c r="C28" i="6"/>
  <c r="E27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J316" i="3" a="1"/>
  <c r="J316" i="3" s="1"/>
  <c r="I316" i="3" a="1"/>
  <c r="I316" i="3" s="1"/>
  <c r="G316" i="3"/>
  <c r="J296" i="3" a="1"/>
  <c r="J296" i="3" s="1"/>
  <c r="I296" i="3" a="1"/>
  <c r="I296" i="3" s="1"/>
  <c r="G296" i="3"/>
  <c r="J297" i="3" a="1"/>
  <c r="J297" i="3" s="1"/>
  <c r="I297" i="3" a="1"/>
  <c r="I297" i="3" s="1"/>
  <c r="G297" i="3"/>
  <c r="R5" i="10"/>
  <c r="Q5" i="10"/>
  <c r="P5" i="10"/>
  <c r="O5" i="10"/>
  <c r="N5" i="10"/>
  <c r="M5" i="10"/>
  <c r="L5" i="10"/>
  <c r="K5" i="10"/>
  <c r="J5" i="10"/>
  <c r="I5" i="10"/>
  <c r="H5" i="10"/>
  <c r="G5" i="10"/>
  <c r="R4" i="10"/>
  <c r="Q4" i="10"/>
  <c r="P4" i="10"/>
  <c r="O4" i="10"/>
  <c r="N4" i="10"/>
  <c r="M4" i="10"/>
  <c r="L4" i="10"/>
  <c r="K4" i="10"/>
  <c r="J4" i="10"/>
  <c r="I4" i="10"/>
  <c r="H4" i="10"/>
  <c r="G4" i="10"/>
  <c r="H27" i="9"/>
  <c r="D16" i="9"/>
  <c r="D15" i="9"/>
  <c r="D14" i="9"/>
  <c r="D12" i="9"/>
  <c r="D11" i="9"/>
  <c r="D10" i="9"/>
  <c r="D8" i="9"/>
  <c r="D7" i="9"/>
  <c r="D6" i="9"/>
  <c r="D5" i="9"/>
  <c r="P19" i="8"/>
  <c r="P18" i="8"/>
  <c r="P17" i="8"/>
  <c r="P12" i="8"/>
  <c r="C3" i="8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C12" i="7"/>
  <c r="F11" i="7"/>
  <c r="F10" i="7"/>
  <c r="C10" i="7"/>
  <c r="F9" i="7"/>
  <c r="C9" i="7"/>
  <c r="F8" i="7"/>
  <c r="F7" i="7"/>
  <c r="C7" i="7"/>
  <c r="F6" i="7"/>
  <c r="F4" i="7" s="1"/>
  <c r="C6" i="7"/>
  <c r="G5" i="7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H62" i="5"/>
  <c r="G62" i="5"/>
  <c r="I61" i="5"/>
  <c r="I60" i="5"/>
  <c r="I59" i="5"/>
  <c r="I58" i="5"/>
  <c r="I57" i="5"/>
  <c r="I56" i="5"/>
  <c r="I62" i="5" s="1"/>
  <c r="K52" i="5"/>
  <c r="E6" i="5" s="1"/>
  <c r="I52" i="5"/>
  <c r="H52" i="5"/>
  <c r="V51" i="5"/>
  <c r="U51" i="5"/>
  <c r="T51" i="5"/>
  <c r="R51" i="5"/>
  <c r="Q51" i="5"/>
  <c r="P51" i="5"/>
  <c r="N51" i="5"/>
  <c r="M51" i="5"/>
  <c r="L51" i="5"/>
  <c r="J51" i="5"/>
  <c r="F51" i="5" a="1"/>
  <c r="F51" i="5" s="1"/>
  <c r="E51" i="5" a="1"/>
  <c r="E51" i="5" s="1"/>
  <c r="A51" i="5" s="1"/>
  <c r="V50" i="5"/>
  <c r="U50" i="5"/>
  <c r="T50" i="5"/>
  <c r="R50" i="5"/>
  <c r="Q50" i="5"/>
  <c r="P50" i="5"/>
  <c r="N50" i="5"/>
  <c r="M50" i="5"/>
  <c r="L50" i="5"/>
  <c r="J50" i="5"/>
  <c r="F50" i="5" a="1"/>
  <c r="F50" i="5" s="1"/>
  <c r="E50" i="5" a="1"/>
  <c r="E50" i="5" s="1"/>
  <c r="A50" i="5" s="1"/>
  <c r="V49" i="5"/>
  <c r="U49" i="5"/>
  <c r="T49" i="5"/>
  <c r="R49" i="5"/>
  <c r="Q49" i="5"/>
  <c r="P49" i="5"/>
  <c r="N49" i="5"/>
  <c r="M49" i="5"/>
  <c r="L49" i="5"/>
  <c r="J49" i="5"/>
  <c r="F49" i="5" a="1"/>
  <c r="F49" i="5" s="1"/>
  <c r="E49" i="5" a="1"/>
  <c r="E49" i="5" s="1"/>
  <c r="A49" i="5" s="1"/>
  <c r="V48" i="5"/>
  <c r="U48" i="5"/>
  <c r="T48" i="5"/>
  <c r="R48" i="5"/>
  <c r="Q48" i="5"/>
  <c r="P48" i="5"/>
  <c r="N48" i="5"/>
  <c r="M48" i="5"/>
  <c r="L48" i="5"/>
  <c r="J48" i="5"/>
  <c r="F48" i="5" a="1"/>
  <c r="F48" i="5" s="1"/>
  <c r="E48" i="5" a="1"/>
  <c r="E48" i="5" s="1"/>
  <c r="A48" i="5" s="1"/>
  <c r="V47" i="5"/>
  <c r="U47" i="5"/>
  <c r="T47" i="5"/>
  <c r="R47" i="5"/>
  <c r="Q47" i="5"/>
  <c r="P47" i="5"/>
  <c r="N47" i="5"/>
  <c r="M47" i="5"/>
  <c r="L47" i="5"/>
  <c r="J47" i="5"/>
  <c r="F47" i="5" a="1"/>
  <c r="F47" i="5" s="1"/>
  <c r="E47" i="5" a="1"/>
  <c r="E47" i="5" s="1"/>
  <c r="A47" i="5" s="1"/>
  <c r="V46" i="5"/>
  <c r="U46" i="5"/>
  <c r="T46" i="5"/>
  <c r="R46" i="5"/>
  <c r="Q46" i="5"/>
  <c r="P46" i="5"/>
  <c r="N46" i="5"/>
  <c r="M46" i="5"/>
  <c r="L46" i="5"/>
  <c r="J46" i="5"/>
  <c r="F46" i="5" a="1"/>
  <c r="F46" i="5" s="1"/>
  <c r="E46" i="5" a="1"/>
  <c r="E46" i="5" s="1"/>
  <c r="A46" i="5" s="1"/>
  <c r="V45" i="5"/>
  <c r="U45" i="5"/>
  <c r="T45" i="5"/>
  <c r="R45" i="5"/>
  <c r="Q45" i="5"/>
  <c r="P45" i="5"/>
  <c r="N45" i="5"/>
  <c r="M45" i="5"/>
  <c r="L45" i="5"/>
  <c r="J45" i="5"/>
  <c r="F45" i="5" a="1"/>
  <c r="F45" i="5" s="1"/>
  <c r="E45" i="5" a="1"/>
  <c r="E45" i="5" s="1"/>
  <c r="A45" i="5" s="1"/>
  <c r="U38" i="5"/>
  <c r="V38" i="5" s="1"/>
  <c r="T38" i="5"/>
  <c r="M38" i="5"/>
  <c r="J38" i="5"/>
  <c r="L38" i="5" s="1"/>
  <c r="F38" i="5" a="1"/>
  <c r="F38" i="5" s="1"/>
  <c r="E38" i="5" a="1"/>
  <c r="E38" i="5" s="1"/>
  <c r="A38" i="5" s="1"/>
  <c r="U37" i="5"/>
  <c r="V37" i="5" s="1"/>
  <c r="T37" i="5"/>
  <c r="M37" i="5"/>
  <c r="J37" i="5"/>
  <c r="L37" i="5" s="1"/>
  <c r="F37" i="5" a="1"/>
  <c r="F37" i="5" s="1"/>
  <c r="E37" i="5" a="1"/>
  <c r="E37" i="5" s="1"/>
  <c r="A37" i="5" s="1"/>
  <c r="U36" i="5"/>
  <c r="V36" i="5" s="1"/>
  <c r="T36" i="5"/>
  <c r="M36" i="5"/>
  <c r="J36" i="5"/>
  <c r="L36" i="5" s="1"/>
  <c r="F36" i="5" a="1"/>
  <c r="F36" i="5" s="1"/>
  <c r="E36" i="5" a="1"/>
  <c r="E36" i="5" s="1"/>
  <c r="A36" i="5" s="1"/>
  <c r="U35" i="5"/>
  <c r="V35" i="5" s="1"/>
  <c r="T35" i="5"/>
  <c r="M35" i="5"/>
  <c r="J35" i="5"/>
  <c r="L35" i="5" s="1"/>
  <c r="F35" i="5" a="1"/>
  <c r="F35" i="5" s="1"/>
  <c r="E35" i="5" a="1"/>
  <c r="E35" i="5" s="1"/>
  <c r="A35" i="5" s="1"/>
  <c r="U34" i="5"/>
  <c r="V34" i="5" s="1"/>
  <c r="T34" i="5"/>
  <c r="M34" i="5"/>
  <c r="J34" i="5"/>
  <c r="L34" i="5" s="1"/>
  <c r="F34" i="5" a="1"/>
  <c r="F34" i="5" s="1"/>
  <c r="E34" i="5" a="1"/>
  <c r="E34" i="5" s="1"/>
  <c r="A34" i="5" s="1"/>
  <c r="U33" i="5"/>
  <c r="V33" i="5" s="1"/>
  <c r="T33" i="5"/>
  <c r="M33" i="5"/>
  <c r="J33" i="5"/>
  <c r="L33" i="5" s="1"/>
  <c r="F33" i="5" a="1"/>
  <c r="F33" i="5" s="1"/>
  <c r="E33" i="5" a="1"/>
  <c r="E33" i="5" s="1"/>
  <c r="A33" i="5" s="1"/>
  <c r="U32" i="5"/>
  <c r="V32" i="5" s="1"/>
  <c r="T32" i="5"/>
  <c r="M32" i="5"/>
  <c r="J32" i="5"/>
  <c r="L32" i="5" s="1"/>
  <c r="F32" i="5" a="1"/>
  <c r="F32" i="5" s="1"/>
  <c r="E32" i="5" a="1"/>
  <c r="E32" i="5" s="1"/>
  <c r="A32" i="5" s="1"/>
  <c r="U31" i="5"/>
  <c r="V31" i="5" s="1"/>
  <c r="T31" i="5"/>
  <c r="M31" i="5"/>
  <c r="J31" i="5"/>
  <c r="L31" i="5" s="1"/>
  <c r="F31" i="5" a="1"/>
  <c r="F31" i="5" s="1"/>
  <c r="E31" i="5" a="1"/>
  <c r="E31" i="5" s="1"/>
  <c r="A31" i="5" s="1"/>
  <c r="U30" i="5"/>
  <c r="V30" i="5" s="1"/>
  <c r="T30" i="5"/>
  <c r="M30" i="5"/>
  <c r="J30" i="5"/>
  <c r="L30" i="5" s="1"/>
  <c r="F30" i="5" a="1"/>
  <c r="F30" i="5" s="1"/>
  <c r="E30" i="5" a="1"/>
  <c r="E30" i="5" s="1"/>
  <c r="A30" i="5" s="1"/>
  <c r="U29" i="5"/>
  <c r="V29" i="5" s="1"/>
  <c r="T29" i="5"/>
  <c r="M29" i="5"/>
  <c r="J29" i="5"/>
  <c r="L29" i="5" s="1"/>
  <c r="F29" i="5" a="1"/>
  <c r="F29" i="5" s="1"/>
  <c r="E29" i="5" a="1"/>
  <c r="E29" i="5" s="1"/>
  <c r="A29" i="5" s="1"/>
  <c r="U28" i="5"/>
  <c r="V28" i="5" s="1"/>
  <c r="T28" i="5"/>
  <c r="M28" i="5"/>
  <c r="J28" i="5"/>
  <c r="L28" i="5" s="1"/>
  <c r="F28" i="5" a="1"/>
  <c r="F28" i="5" s="1"/>
  <c r="E28" i="5" a="1"/>
  <c r="E28" i="5" s="1"/>
  <c r="A28" i="5" s="1"/>
  <c r="U27" i="5"/>
  <c r="V27" i="5" s="1"/>
  <c r="T27" i="5"/>
  <c r="M27" i="5"/>
  <c r="J27" i="5"/>
  <c r="L27" i="5" s="1"/>
  <c r="F27" i="5" a="1"/>
  <c r="F27" i="5" s="1"/>
  <c r="E27" i="5" a="1"/>
  <c r="E27" i="5" s="1"/>
  <c r="A27" i="5" s="1"/>
  <c r="U26" i="5"/>
  <c r="V26" i="5" s="1"/>
  <c r="T26" i="5"/>
  <c r="M26" i="5"/>
  <c r="J26" i="5"/>
  <c r="L26" i="5" s="1"/>
  <c r="F26" i="5" a="1"/>
  <c r="F26" i="5" s="1"/>
  <c r="E26" i="5" a="1"/>
  <c r="E26" i="5" s="1"/>
  <c r="A26" i="5" s="1"/>
  <c r="U25" i="5"/>
  <c r="V25" i="5" s="1"/>
  <c r="T25" i="5"/>
  <c r="M25" i="5"/>
  <c r="J25" i="5"/>
  <c r="L25" i="5" s="1"/>
  <c r="F25" i="5" a="1"/>
  <c r="F25" i="5" s="1"/>
  <c r="E25" i="5" a="1"/>
  <c r="E25" i="5" s="1"/>
  <c r="A25" i="5" s="1"/>
  <c r="U24" i="5"/>
  <c r="V24" i="5" s="1"/>
  <c r="T24" i="5"/>
  <c r="M24" i="5"/>
  <c r="J24" i="5"/>
  <c r="L24" i="5" s="1"/>
  <c r="F24" i="5" a="1"/>
  <c r="F24" i="5" s="1"/>
  <c r="E24" i="5" a="1"/>
  <c r="E24" i="5" s="1"/>
  <c r="A24" i="5" s="1"/>
  <c r="U23" i="5"/>
  <c r="V23" i="5" s="1"/>
  <c r="T23" i="5"/>
  <c r="M23" i="5"/>
  <c r="J23" i="5"/>
  <c r="L23" i="5" s="1"/>
  <c r="F23" i="5" a="1"/>
  <c r="F23" i="5" s="1"/>
  <c r="E23" i="5" a="1"/>
  <c r="E23" i="5" s="1"/>
  <c r="A23" i="5" s="1"/>
  <c r="U22" i="5"/>
  <c r="V22" i="5" s="1"/>
  <c r="T22" i="5"/>
  <c r="M22" i="5"/>
  <c r="J22" i="5"/>
  <c r="L22" i="5" s="1"/>
  <c r="F22" i="5" a="1"/>
  <c r="F22" i="5" s="1"/>
  <c r="E22" i="5" a="1"/>
  <c r="E22" i="5" s="1"/>
  <c r="A22" i="5" s="1"/>
  <c r="U21" i="5"/>
  <c r="V21" i="5" s="1"/>
  <c r="T21" i="5"/>
  <c r="M21" i="5"/>
  <c r="J21" i="5"/>
  <c r="L21" i="5" s="1"/>
  <c r="F21" i="5" a="1"/>
  <c r="F21" i="5" s="1"/>
  <c r="E21" i="5" a="1"/>
  <c r="E21" i="5" s="1"/>
  <c r="A21" i="5" s="1"/>
  <c r="U20" i="5"/>
  <c r="V20" i="5" s="1"/>
  <c r="T20" i="5"/>
  <c r="J20" i="5"/>
  <c r="L20" i="5" s="1"/>
  <c r="F20" i="5" a="1"/>
  <c r="F20" i="5" s="1"/>
  <c r="E20" i="5" a="1"/>
  <c r="E20" i="5" s="1"/>
  <c r="A20" i="5" s="1"/>
  <c r="U19" i="5"/>
  <c r="V19" i="5" s="1"/>
  <c r="T19" i="5"/>
  <c r="J19" i="5"/>
  <c r="L19" i="5" s="1"/>
  <c r="F19" i="5" a="1"/>
  <c r="F19" i="5" s="1"/>
  <c r="E19" i="5" a="1"/>
  <c r="E19" i="5" s="1"/>
  <c r="A19" i="5" s="1"/>
  <c r="U18" i="5"/>
  <c r="V18" i="5" s="1"/>
  <c r="T18" i="5"/>
  <c r="M18" i="5"/>
  <c r="J18" i="5"/>
  <c r="L18" i="5" s="1"/>
  <c r="F18" i="5" a="1"/>
  <c r="F18" i="5" s="1"/>
  <c r="E18" i="5" a="1"/>
  <c r="E18" i="5" s="1"/>
  <c r="A18" i="5" s="1"/>
  <c r="U17" i="5"/>
  <c r="V17" i="5" s="1"/>
  <c r="T17" i="5"/>
  <c r="M17" i="5"/>
  <c r="J17" i="5"/>
  <c r="L17" i="5" s="1"/>
  <c r="F17" i="5" a="1"/>
  <c r="F17" i="5" s="1"/>
  <c r="E17" i="5" a="1"/>
  <c r="E17" i="5" s="1"/>
  <c r="A17" i="5" s="1"/>
  <c r="U16" i="5"/>
  <c r="V16" i="5" s="1"/>
  <c r="T16" i="5"/>
  <c r="M16" i="5"/>
  <c r="J16" i="5"/>
  <c r="L16" i="5" s="1"/>
  <c r="F16" i="5" a="1"/>
  <c r="F16" i="5" s="1"/>
  <c r="E16" i="5" a="1"/>
  <c r="E16" i="5" s="1"/>
  <c r="A16" i="5" s="1"/>
  <c r="U15" i="5"/>
  <c r="T15" i="5"/>
  <c r="M15" i="5"/>
  <c r="J15" i="5"/>
  <c r="F15" i="5" a="1"/>
  <c r="F15" i="5" s="1"/>
  <c r="E15" i="5" a="1"/>
  <c r="E15" i="5" s="1"/>
  <c r="U14" i="5"/>
  <c r="V14" i="5" s="1"/>
  <c r="T14" i="5"/>
  <c r="M14" i="5"/>
  <c r="J14" i="5"/>
  <c r="L14" i="5" s="1"/>
  <c r="F14" i="5" a="1"/>
  <c r="F14" i="5" s="1"/>
  <c r="E14" i="5" a="1"/>
  <c r="E14" i="5" s="1"/>
  <c r="A14" i="5" s="1"/>
  <c r="U13" i="5"/>
  <c r="V13" i="5" s="1"/>
  <c r="T13" i="5"/>
  <c r="M13" i="5"/>
  <c r="J13" i="5"/>
  <c r="L13" i="5" s="1"/>
  <c r="F13" i="5" a="1"/>
  <c r="F13" i="5" s="1"/>
  <c r="E13" i="5" a="1"/>
  <c r="E13" i="5" s="1"/>
  <c r="A13" i="5" s="1"/>
  <c r="U12" i="5"/>
  <c r="V12" i="5" s="1"/>
  <c r="T12" i="5"/>
  <c r="M12" i="5"/>
  <c r="J12" i="5"/>
  <c r="L12" i="5" s="1"/>
  <c r="F12" i="5" a="1"/>
  <c r="F12" i="5" s="1"/>
  <c r="E12" i="5" a="1"/>
  <c r="E12" i="5" s="1"/>
  <c r="A12" i="5" s="1"/>
  <c r="U11" i="5"/>
  <c r="V11" i="5" s="1"/>
  <c r="T11" i="5"/>
  <c r="M11" i="5"/>
  <c r="J11" i="5"/>
  <c r="L11" i="5" s="1"/>
  <c r="F11" i="5" a="1"/>
  <c r="F11" i="5" s="1"/>
  <c r="E11" i="5" a="1"/>
  <c r="E11" i="5" s="1"/>
  <c r="A11" i="5" s="1"/>
  <c r="E227" i="4"/>
  <c r="D227" i="4"/>
  <c r="C227" i="4"/>
  <c r="E226" i="4"/>
  <c r="D226" i="4"/>
  <c r="C226" i="4"/>
  <c r="E225" i="4"/>
  <c r="D225" i="4"/>
  <c r="C225" i="4"/>
  <c r="E224" i="4"/>
  <c r="D224" i="4"/>
  <c r="C224" i="4"/>
  <c r="E223" i="4"/>
  <c r="D223" i="4"/>
  <c r="C223" i="4"/>
  <c r="E222" i="4"/>
  <c r="D222" i="4"/>
  <c r="C222" i="4"/>
  <c r="C221" i="4"/>
  <c r="E220" i="4"/>
  <c r="D220" i="4"/>
  <c r="C220" i="4"/>
  <c r="E219" i="4"/>
  <c r="D219" i="4"/>
  <c r="C219" i="4"/>
  <c r="E218" i="4"/>
  <c r="D218" i="4"/>
  <c r="C218" i="4"/>
  <c r="E217" i="4"/>
  <c r="D217" i="4"/>
  <c r="C217" i="4"/>
  <c r="E216" i="4"/>
  <c r="D216" i="4"/>
  <c r="C216" i="4"/>
  <c r="E215" i="4"/>
  <c r="D215" i="4"/>
  <c r="C215" i="4"/>
  <c r="E214" i="4"/>
  <c r="D214" i="4"/>
  <c r="C214" i="4"/>
  <c r="D213" i="4"/>
  <c r="C213" i="4"/>
  <c r="C212" i="4"/>
  <c r="E211" i="4"/>
  <c r="D211" i="4"/>
  <c r="C211" i="4"/>
  <c r="E210" i="4"/>
  <c r="D210" i="4"/>
  <c r="C210" i="4"/>
  <c r="E209" i="4"/>
  <c r="D209" i="4"/>
  <c r="C209" i="4"/>
  <c r="E208" i="4"/>
  <c r="D208" i="4"/>
  <c r="C208" i="4"/>
  <c r="E207" i="4"/>
  <c r="D207" i="4"/>
  <c r="C207" i="4"/>
  <c r="E206" i="4"/>
  <c r="D206" i="4"/>
  <c r="C206" i="4"/>
  <c r="E205" i="4"/>
  <c r="D205" i="4"/>
  <c r="C205" i="4"/>
  <c r="E204" i="4"/>
  <c r="D204" i="4"/>
  <c r="C204" i="4"/>
  <c r="E203" i="4"/>
  <c r="D203" i="4"/>
  <c r="C203" i="4"/>
  <c r="E202" i="4"/>
  <c r="D202" i="4"/>
  <c r="C202" i="4"/>
  <c r="H201" i="4"/>
  <c r="E201" i="4"/>
  <c r="D201" i="4"/>
  <c r="C201" i="4"/>
  <c r="E200" i="4"/>
  <c r="D200" i="4"/>
  <c r="C200" i="4"/>
  <c r="E199" i="4"/>
  <c r="D199" i="4"/>
  <c r="C199" i="4"/>
  <c r="C198" i="4"/>
  <c r="E197" i="4"/>
  <c r="D197" i="4"/>
  <c r="C197" i="4"/>
  <c r="E196" i="4"/>
  <c r="D196" i="4"/>
  <c r="C196" i="4"/>
  <c r="E195" i="4"/>
  <c r="D195" i="4"/>
  <c r="C195" i="4"/>
  <c r="C194" i="4"/>
  <c r="E193" i="4"/>
  <c r="D193" i="4"/>
  <c r="C193" i="4"/>
  <c r="E192" i="4"/>
  <c r="D192" i="4"/>
  <c r="C192" i="4"/>
  <c r="H191" i="4"/>
  <c r="E191" i="4"/>
  <c r="D191" i="4"/>
  <c r="C191" i="4"/>
  <c r="E190" i="4"/>
  <c r="D190" i="4"/>
  <c r="C190" i="4"/>
  <c r="H189" i="4"/>
  <c r="E189" i="4"/>
  <c r="D189" i="4"/>
  <c r="C189" i="4"/>
  <c r="E188" i="4"/>
  <c r="D188" i="4"/>
  <c r="C188" i="4"/>
  <c r="E187" i="4"/>
  <c r="D187" i="4"/>
  <c r="C187" i="4"/>
  <c r="E186" i="4"/>
  <c r="D186" i="4"/>
  <c r="C186" i="4"/>
  <c r="E185" i="4"/>
  <c r="D185" i="4"/>
  <c r="C185" i="4"/>
  <c r="E184" i="4"/>
  <c r="D184" i="4"/>
  <c r="C184" i="4"/>
  <c r="E183" i="4"/>
  <c r="D183" i="4"/>
  <c r="C183" i="4"/>
  <c r="E182" i="4"/>
  <c r="D182" i="4"/>
  <c r="C182" i="4"/>
  <c r="E181" i="4"/>
  <c r="D181" i="4"/>
  <c r="C181" i="4"/>
  <c r="H180" i="4"/>
  <c r="E180" i="4"/>
  <c r="D180" i="4"/>
  <c r="C180" i="4"/>
  <c r="E179" i="4"/>
  <c r="D179" i="4"/>
  <c r="C179" i="4"/>
  <c r="E178" i="4"/>
  <c r="D178" i="4"/>
  <c r="C178" i="4"/>
  <c r="H177" i="4"/>
  <c r="E177" i="4"/>
  <c r="D177" i="4"/>
  <c r="C177" i="4"/>
  <c r="E176" i="4"/>
  <c r="D176" i="4"/>
  <c r="C176" i="4"/>
  <c r="E175" i="4"/>
  <c r="D175" i="4"/>
  <c r="C175" i="4"/>
  <c r="E174" i="4"/>
  <c r="D174" i="4"/>
  <c r="C174" i="4"/>
  <c r="E173" i="4"/>
  <c r="D173" i="4"/>
  <c r="C173" i="4"/>
  <c r="E172" i="4"/>
  <c r="D172" i="4"/>
  <c r="C172" i="4"/>
  <c r="E171" i="4"/>
  <c r="D171" i="4"/>
  <c r="C171" i="4"/>
  <c r="H170" i="4"/>
  <c r="E170" i="4"/>
  <c r="D170" i="4"/>
  <c r="C170" i="4"/>
  <c r="E169" i="4"/>
  <c r="D169" i="4"/>
  <c r="C169" i="4"/>
  <c r="E168" i="4"/>
  <c r="D168" i="4"/>
  <c r="C168" i="4"/>
  <c r="V164" i="4"/>
  <c r="U164" i="4"/>
  <c r="M164" i="4"/>
  <c r="Y163" i="4"/>
  <c r="Y133" i="4"/>
  <c r="U133" i="4"/>
  <c r="P133" i="4"/>
  <c r="O133" i="4"/>
  <c r="I133" i="4" a="1"/>
  <c r="I133" i="4" s="1"/>
  <c r="H133" i="4" a="1"/>
  <c r="H133" i="4" s="1"/>
  <c r="X133" i="4" s="1"/>
  <c r="A133" i="4"/>
  <c r="Y127" i="4"/>
  <c r="U127" i="4"/>
  <c r="P127" i="4"/>
  <c r="O127" i="4"/>
  <c r="I127" i="4" a="1"/>
  <c r="I127" i="4" s="1"/>
  <c r="H127" i="4" a="1"/>
  <c r="H127" i="4" s="1"/>
  <c r="X127" i="4" s="1"/>
  <c r="A127" i="4"/>
  <c r="Y126" i="4"/>
  <c r="U126" i="4"/>
  <c r="P126" i="4"/>
  <c r="O126" i="4"/>
  <c r="I126" i="4" a="1"/>
  <c r="I126" i="4" s="1"/>
  <c r="H126" i="4" a="1"/>
  <c r="H126" i="4" s="1"/>
  <c r="X126" i="4" s="1"/>
  <c r="A126" i="4"/>
  <c r="Y125" i="4"/>
  <c r="U125" i="4"/>
  <c r="P125" i="4"/>
  <c r="O125" i="4"/>
  <c r="I125" i="4" a="1"/>
  <c r="I125" i="4" s="1"/>
  <c r="H125" i="4" a="1"/>
  <c r="H125" i="4" s="1"/>
  <c r="X125" i="4" s="1"/>
  <c r="A125" i="4"/>
  <c r="Y124" i="4"/>
  <c r="U124" i="4"/>
  <c r="P124" i="4"/>
  <c r="O124" i="4"/>
  <c r="I124" i="4" a="1"/>
  <c r="I124" i="4" s="1"/>
  <c r="H124" i="4" a="1"/>
  <c r="H124" i="4" s="1"/>
  <c r="X124" i="4" s="1"/>
  <c r="A124" i="4"/>
  <c r="Y123" i="4"/>
  <c r="U123" i="4"/>
  <c r="P123" i="4"/>
  <c r="H226" i="4" s="1"/>
  <c r="O123" i="4"/>
  <c r="I123" i="4" a="1"/>
  <c r="I123" i="4" s="1"/>
  <c r="H123" i="4" a="1"/>
  <c r="H123" i="4" s="1"/>
  <c r="X123" i="4" s="1"/>
  <c r="A123" i="4"/>
  <c r="Y111" i="4"/>
  <c r="U111" i="4"/>
  <c r="P111" i="4"/>
  <c r="H220" i="4" s="1"/>
  <c r="O111" i="4"/>
  <c r="F220" i="4" s="1"/>
  <c r="I111" i="4" a="1"/>
  <c r="I111" i="4" s="1"/>
  <c r="H111" i="4" a="1"/>
  <c r="H111" i="4" s="1"/>
  <c r="X111" i="4" s="1"/>
  <c r="A111" i="4"/>
  <c r="Y110" i="4"/>
  <c r="U110" i="4"/>
  <c r="P110" i="4"/>
  <c r="H219" i="4" s="1"/>
  <c r="O110" i="4"/>
  <c r="F219" i="4" s="1"/>
  <c r="I110" i="4" a="1"/>
  <c r="I110" i="4" s="1"/>
  <c r="H110" i="4" a="1"/>
  <c r="H110" i="4" s="1"/>
  <c r="X110" i="4" s="1"/>
  <c r="A110" i="4"/>
  <c r="Y109" i="4"/>
  <c r="U109" i="4"/>
  <c r="P109" i="4"/>
  <c r="O109" i="4"/>
  <c r="I109" i="4" a="1"/>
  <c r="I109" i="4" s="1"/>
  <c r="H109" i="4" a="1"/>
  <c r="H109" i="4" s="1"/>
  <c r="X109" i="4" s="1"/>
  <c r="A109" i="4"/>
  <c r="Y108" i="4"/>
  <c r="U108" i="4"/>
  <c r="P108" i="4"/>
  <c r="O108" i="4"/>
  <c r="A108" i="4"/>
  <c r="Y107" i="4"/>
  <c r="U107" i="4"/>
  <c r="P107" i="4"/>
  <c r="H218" i="4" s="1"/>
  <c r="O107" i="4"/>
  <c r="F218" i="4" s="1"/>
  <c r="I107" i="4" a="1"/>
  <c r="I107" i="4" s="1"/>
  <c r="H107" i="4" a="1"/>
  <c r="H107" i="4" s="1"/>
  <c r="X107" i="4" s="1"/>
  <c r="A107" i="4"/>
  <c r="U106" i="4"/>
  <c r="P106" i="4"/>
  <c r="H217" i="4" s="1"/>
  <c r="O106" i="4"/>
  <c r="F217" i="4" s="1"/>
  <c r="I106" i="4" a="1"/>
  <c r="I106" i="4" s="1"/>
  <c r="H106" i="4" a="1"/>
  <c r="H106" i="4" s="1"/>
  <c r="X106" i="4" s="1"/>
  <c r="A106" i="4"/>
  <c r="Y105" i="4"/>
  <c r="U105" i="4"/>
  <c r="A105" i="4"/>
  <c r="Y102" i="4"/>
  <c r="U102" i="4"/>
  <c r="P102" i="4"/>
  <c r="O102" i="4"/>
  <c r="A102" i="4"/>
  <c r="Y101" i="4"/>
  <c r="U101" i="4"/>
  <c r="P101" i="4"/>
  <c r="O101" i="4"/>
  <c r="A101" i="4"/>
  <c r="Y100" i="4"/>
  <c r="U100" i="4"/>
  <c r="P100" i="4"/>
  <c r="H216" i="4" s="1"/>
  <c r="O100" i="4"/>
  <c r="F216" i="4" s="1"/>
  <c r="A100" i="4"/>
  <c r="Y99" i="4"/>
  <c r="U99" i="4"/>
  <c r="P99" i="4"/>
  <c r="H215" i="4" s="1"/>
  <c r="O99" i="4"/>
  <c r="F215" i="4" s="1"/>
  <c r="I99" i="4" a="1"/>
  <c r="I99" i="4" s="1"/>
  <c r="H99" i="4" a="1"/>
  <c r="H99" i="4" s="1"/>
  <c r="X99" i="4" s="1"/>
  <c r="A99" i="4"/>
  <c r="Y98" i="4"/>
  <c r="U98" i="4"/>
  <c r="P98" i="4"/>
  <c r="O98" i="4"/>
  <c r="I98" i="4" a="1"/>
  <c r="I98" i="4" s="1"/>
  <c r="H98" i="4" a="1"/>
  <c r="H98" i="4" s="1"/>
  <c r="X98" i="4" s="1"/>
  <c r="A98" i="4"/>
  <c r="Y96" i="4"/>
  <c r="U96" i="4"/>
  <c r="P96" i="4"/>
  <c r="H214" i="4" s="1"/>
  <c r="O96" i="4"/>
  <c r="F214" i="4" s="1"/>
  <c r="I96" i="4" a="1"/>
  <c r="I96" i="4" s="1"/>
  <c r="H96" i="4" a="1"/>
  <c r="H96" i="4" s="1"/>
  <c r="X96" i="4" s="1"/>
  <c r="A96" i="4"/>
  <c r="Y95" i="4"/>
  <c r="U95" i="4"/>
  <c r="I95" i="4" a="1"/>
  <c r="I95" i="4" s="1"/>
  <c r="H95" i="4" a="1"/>
  <c r="H95" i="4" s="1"/>
  <c r="X95" i="4" s="1"/>
  <c r="A95" i="4"/>
  <c r="Y93" i="4"/>
  <c r="U93" i="4"/>
  <c r="P93" i="4"/>
  <c r="O93" i="4"/>
  <c r="I93" i="4" a="1"/>
  <c r="I93" i="4" s="1"/>
  <c r="H93" i="4" a="1"/>
  <c r="H93" i="4" s="1"/>
  <c r="X93" i="4" s="1"/>
  <c r="A93" i="4"/>
  <c r="Y92" i="4"/>
  <c r="U92" i="4"/>
  <c r="P92" i="4"/>
  <c r="O92" i="4"/>
  <c r="I92" i="4" a="1"/>
  <c r="I92" i="4" s="1"/>
  <c r="H92" i="4" a="1"/>
  <c r="H92" i="4" s="1"/>
  <c r="X92" i="4" s="1"/>
  <c r="A92" i="4"/>
  <c r="Y91" i="4"/>
  <c r="U91" i="4"/>
  <c r="P91" i="4"/>
  <c r="O91" i="4"/>
  <c r="I91" i="4" a="1"/>
  <c r="I91" i="4" s="1"/>
  <c r="H91" i="4" a="1"/>
  <c r="H91" i="4" s="1"/>
  <c r="X91" i="4" s="1"/>
  <c r="A91" i="4"/>
  <c r="Y90" i="4"/>
  <c r="U90" i="4"/>
  <c r="P90" i="4"/>
  <c r="H211" i="4" s="1"/>
  <c r="O90" i="4"/>
  <c r="F211" i="4" s="1"/>
  <c r="G90" i="4" a="1"/>
  <c r="G90" i="4" s="1"/>
  <c r="A90" i="4"/>
  <c r="Y89" i="4"/>
  <c r="U89" i="4"/>
  <c r="P89" i="4"/>
  <c r="O89" i="4"/>
  <c r="G89" i="4" a="1"/>
  <c r="G89" i="4" s="1"/>
  <c r="A89" i="4"/>
  <c r="Y88" i="4"/>
  <c r="U88" i="4"/>
  <c r="P88" i="4"/>
  <c r="H210" i="4" s="1"/>
  <c r="O88" i="4"/>
  <c r="F210" i="4" s="1"/>
  <c r="G88" i="4" a="1"/>
  <c r="G88" i="4" s="1"/>
  <c r="A88" i="4"/>
  <c r="Y87" i="4"/>
  <c r="U87" i="4"/>
  <c r="P87" i="4"/>
  <c r="H209" i="4" s="1"/>
  <c r="O87" i="4"/>
  <c r="F209" i="4" s="1"/>
  <c r="G87" i="4" a="1"/>
  <c r="G87" i="4" s="1"/>
  <c r="A87" i="4"/>
  <c r="Y86" i="4"/>
  <c r="U86" i="4"/>
  <c r="P86" i="4"/>
  <c r="O86" i="4"/>
  <c r="I86" i="4" a="1"/>
  <c r="I86" i="4" s="1"/>
  <c r="H86" i="4" a="1"/>
  <c r="H86" i="4" s="1"/>
  <c r="X86" i="4" s="1"/>
  <c r="A86" i="4"/>
  <c r="Y85" i="4"/>
  <c r="U85" i="4"/>
  <c r="P85" i="4"/>
  <c r="O85" i="4"/>
  <c r="I85" i="4" a="1"/>
  <c r="I85" i="4" s="1"/>
  <c r="H85" i="4" a="1"/>
  <c r="H85" i="4" s="1"/>
  <c r="X85" i="4" s="1"/>
  <c r="A85" i="4"/>
  <c r="Y84" i="4"/>
  <c r="U84" i="4"/>
  <c r="P84" i="4"/>
  <c r="O84" i="4"/>
  <c r="I84" i="4" a="1"/>
  <c r="I84" i="4" s="1"/>
  <c r="H84" i="4" a="1"/>
  <c r="H84" i="4" s="1"/>
  <c r="X84" i="4" s="1"/>
  <c r="A84" i="4"/>
  <c r="Y83" i="4"/>
  <c r="U83" i="4"/>
  <c r="P83" i="4"/>
  <c r="H208" i="4" s="1"/>
  <c r="O83" i="4"/>
  <c r="F208" i="4" s="1"/>
  <c r="I83" i="4" a="1"/>
  <c r="I83" i="4" s="1"/>
  <c r="H83" i="4" a="1"/>
  <c r="H83" i="4" s="1"/>
  <c r="X83" i="4" s="1"/>
  <c r="A83" i="4"/>
  <c r="Y82" i="4"/>
  <c r="U82" i="4"/>
  <c r="P82" i="4"/>
  <c r="O82" i="4"/>
  <c r="I82" i="4" a="1"/>
  <c r="I82" i="4" s="1"/>
  <c r="H82" i="4" a="1"/>
  <c r="H82" i="4" s="1"/>
  <c r="X82" i="4" s="1"/>
  <c r="A82" i="4"/>
  <c r="U81" i="4"/>
  <c r="O81" i="4"/>
  <c r="I81" i="4" a="1"/>
  <c r="I81" i="4" s="1"/>
  <c r="H81" i="4" a="1"/>
  <c r="H81" i="4" s="1"/>
  <c r="X81" i="4" s="1"/>
  <c r="A81" i="4"/>
  <c r="Y80" i="4"/>
  <c r="U80" i="4"/>
  <c r="P80" i="4"/>
  <c r="O80" i="4"/>
  <c r="I80" i="4" a="1"/>
  <c r="I80" i="4" s="1"/>
  <c r="H80" i="4" a="1"/>
  <c r="H80" i="4" s="1"/>
  <c r="X80" i="4" s="1"/>
  <c r="A80" i="4"/>
  <c r="Y79" i="4"/>
  <c r="U79" i="4"/>
  <c r="P79" i="4"/>
  <c r="O79" i="4"/>
  <c r="I79" i="4" a="1"/>
  <c r="I79" i="4" s="1"/>
  <c r="H79" i="4" a="1"/>
  <c r="H79" i="4" s="1"/>
  <c r="X79" i="4" s="1"/>
  <c r="A79" i="4"/>
  <c r="Y78" i="4"/>
  <c r="U78" i="4"/>
  <c r="P78" i="4"/>
  <c r="H206" i="4" s="1"/>
  <c r="O78" i="4"/>
  <c r="F206" i="4" s="1"/>
  <c r="I78" i="4" a="1"/>
  <c r="I78" i="4" s="1"/>
  <c r="H78" i="4" a="1"/>
  <c r="H78" i="4" s="1"/>
  <c r="X78" i="4" s="1"/>
  <c r="A78" i="4"/>
  <c r="Y77" i="4"/>
  <c r="U77" i="4"/>
  <c r="P77" i="4"/>
  <c r="O77" i="4"/>
  <c r="I77" i="4" a="1"/>
  <c r="I77" i="4" s="1"/>
  <c r="H77" i="4" a="1"/>
  <c r="H77" i="4" s="1"/>
  <c r="X77" i="4" s="1"/>
  <c r="A77" i="4"/>
  <c r="Y76" i="4"/>
  <c r="U76" i="4"/>
  <c r="P76" i="4"/>
  <c r="H205" i="4" s="1"/>
  <c r="O76" i="4"/>
  <c r="F205" i="4" s="1"/>
  <c r="I76" i="4" a="1"/>
  <c r="I76" i="4" s="1"/>
  <c r="H76" i="4" a="1"/>
  <c r="H76" i="4" s="1"/>
  <c r="X76" i="4" s="1"/>
  <c r="A76" i="4"/>
  <c r="Y75" i="4"/>
  <c r="U75" i="4"/>
  <c r="P75" i="4"/>
  <c r="O75" i="4"/>
  <c r="I75" i="4" a="1"/>
  <c r="I75" i="4" s="1"/>
  <c r="H75" i="4" a="1"/>
  <c r="H75" i="4" s="1"/>
  <c r="X75" i="4" s="1"/>
  <c r="A75" i="4"/>
  <c r="Y74" i="4"/>
  <c r="U74" i="4"/>
  <c r="P74" i="4"/>
  <c r="H203" i="4" s="1"/>
  <c r="O74" i="4"/>
  <c r="F203" i="4" s="1"/>
  <c r="I74" i="4" a="1"/>
  <c r="I74" i="4" s="1"/>
  <c r="H74" i="4" a="1"/>
  <c r="H74" i="4" s="1"/>
  <c r="X74" i="4" s="1"/>
  <c r="A74" i="4"/>
  <c r="Y73" i="4"/>
  <c r="U73" i="4"/>
  <c r="P73" i="4"/>
  <c r="O73" i="4"/>
  <c r="I73" i="4" a="1"/>
  <c r="I73" i="4" s="1"/>
  <c r="H73" i="4" a="1"/>
  <c r="H73" i="4" s="1"/>
  <c r="X73" i="4" s="1"/>
  <c r="A73" i="4"/>
  <c r="Y72" i="4"/>
  <c r="U72" i="4"/>
  <c r="P72" i="4"/>
  <c r="H202" i="4" s="1"/>
  <c r="O72" i="4"/>
  <c r="F202" i="4" s="1"/>
  <c r="I72" i="4" a="1"/>
  <c r="I72" i="4" s="1"/>
  <c r="H72" i="4" a="1"/>
  <c r="H72" i="4" s="1"/>
  <c r="X72" i="4" s="1"/>
  <c r="A72" i="4"/>
  <c r="Y71" i="4"/>
  <c r="U71" i="4"/>
  <c r="O71" i="4"/>
  <c r="I71" i="4" a="1"/>
  <c r="I71" i="4" s="1"/>
  <c r="H71" i="4" a="1"/>
  <c r="H71" i="4" s="1"/>
  <c r="X71" i="4" s="1"/>
  <c r="A71" i="4"/>
  <c r="Y70" i="4"/>
  <c r="U70" i="4"/>
  <c r="P70" i="4"/>
  <c r="O70" i="4"/>
  <c r="I70" i="4" a="1"/>
  <c r="I70" i="4" s="1"/>
  <c r="H70" i="4" a="1"/>
  <c r="H70" i="4" s="1"/>
  <c r="X70" i="4" s="1"/>
  <c r="A70" i="4"/>
  <c r="Y69" i="4"/>
  <c r="U69" i="4"/>
  <c r="P69" i="4"/>
  <c r="O69" i="4"/>
  <c r="I69" i="4" a="1"/>
  <c r="I69" i="4" s="1"/>
  <c r="H69" i="4" a="1"/>
  <c r="H69" i="4" s="1"/>
  <c r="X69" i="4" s="1"/>
  <c r="A69" i="4"/>
  <c r="Y68" i="4"/>
  <c r="U68" i="4"/>
  <c r="P68" i="4"/>
  <c r="H199" i="4" s="1"/>
  <c r="O68" i="4"/>
  <c r="F199" i="4" s="1"/>
  <c r="I68" i="4" a="1"/>
  <c r="I68" i="4" s="1"/>
  <c r="H68" i="4" a="1"/>
  <c r="H68" i="4" s="1"/>
  <c r="X68" i="4" s="1"/>
  <c r="A68" i="4"/>
  <c r="U67" i="4"/>
  <c r="O67" i="4"/>
  <c r="I67" i="4" a="1"/>
  <c r="I67" i="4" s="1"/>
  <c r="H67" i="4" a="1"/>
  <c r="H67" i="4" s="1"/>
  <c r="X67" i="4" s="1"/>
  <c r="A67" i="4"/>
  <c r="Y66" i="4"/>
  <c r="U66" i="4"/>
  <c r="P66" i="4"/>
  <c r="O66" i="4"/>
  <c r="I66" i="4" a="1"/>
  <c r="I66" i="4" s="1"/>
  <c r="H66" i="4" a="1"/>
  <c r="H66" i="4" s="1"/>
  <c r="X66" i="4" s="1"/>
  <c r="A66" i="4"/>
  <c r="V65" i="4"/>
  <c r="W65" i="4" s="1"/>
  <c r="U65" i="4"/>
  <c r="P65" i="4"/>
  <c r="O65" i="4"/>
  <c r="I65" i="4" a="1"/>
  <c r="I65" i="4" s="1"/>
  <c r="H65" i="4" a="1"/>
  <c r="H65" i="4" s="1"/>
  <c r="X65" i="4" s="1"/>
  <c r="A65" i="4"/>
  <c r="V64" i="4"/>
  <c r="W64" i="4" s="1"/>
  <c r="U64" i="4"/>
  <c r="P64" i="4"/>
  <c r="O64" i="4"/>
  <c r="I64" i="4" a="1"/>
  <c r="I64" i="4" s="1"/>
  <c r="H64" i="4" a="1"/>
  <c r="H64" i="4" s="1"/>
  <c r="X64" i="4" s="1"/>
  <c r="A64" i="4"/>
  <c r="Y63" i="4"/>
  <c r="U63" i="4"/>
  <c r="P63" i="4"/>
  <c r="O63" i="4"/>
  <c r="I63" i="4" a="1"/>
  <c r="I63" i="4" s="1"/>
  <c r="H63" i="4" a="1"/>
  <c r="H63" i="4" s="1"/>
  <c r="X63" i="4" s="1"/>
  <c r="A63" i="4"/>
  <c r="Y62" i="4"/>
  <c r="U62" i="4"/>
  <c r="P62" i="4"/>
  <c r="O62" i="4"/>
  <c r="I62" i="4" a="1"/>
  <c r="I62" i="4" s="1"/>
  <c r="H62" i="4" a="1"/>
  <c r="H62" i="4" s="1"/>
  <c r="X62" i="4" s="1"/>
  <c r="A62" i="4"/>
  <c r="U61" i="4"/>
  <c r="O61" i="4"/>
  <c r="Q61" i="4" s="1"/>
  <c r="I61" i="4" a="1"/>
  <c r="I61" i="4" s="1"/>
  <c r="H61" i="4" a="1"/>
  <c r="H61" i="4" s="1"/>
  <c r="X61" i="4" s="1"/>
  <c r="A61" i="4"/>
  <c r="Y60" i="4"/>
  <c r="U60" i="4"/>
  <c r="P60" i="4"/>
  <c r="H192" i="4" s="1"/>
  <c r="O60" i="4"/>
  <c r="F192" i="4" s="1"/>
  <c r="I60" i="4" a="1"/>
  <c r="I60" i="4" s="1"/>
  <c r="H60" i="4" a="1"/>
  <c r="H60" i="4" s="1"/>
  <c r="X60" i="4" s="1"/>
  <c r="A60" i="4"/>
  <c r="Y59" i="4"/>
  <c r="U59" i="4"/>
  <c r="P59" i="4"/>
  <c r="O59" i="4"/>
  <c r="I59" i="4" a="1"/>
  <c r="I59" i="4" s="1"/>
  <c r="H59" i="4" a="1"/>
  <c r="H59" i="4" s="1"/>
  <c r="X59" i="4" s="1"/>
  <c r="A59" i="4"/>
  <c r="Y58" i="4"/>
  <c r="U58" i="4"/>
  <c r="P58" i="4"/>
  <c r="H173" i="4" s="1"/>
  <c r="O58" i="4"/>
  <c r="F173" i="4" s="1"/>
  <c r="I58" i="4" a="1"/>
  <c r="I58" i="4" s="1"/>
  <c r="H58" i="4" a="1"/>
  <c r="H58" i="4" s="1"/>
  <c r="X58" i="4" s="1"/>
  <c r="A58" i="4"/>
  <c r="Y57" i="4"/>
  <c r="U57" i="4"/>
  <c r="P57" i="4"/>
  <c r="O57" i="4"/>
  <c r="I57" i="4" a="1"/>
  <c r="I57" i="4" s="1"/>
  <c r="H57" i="4" a="1"/>
  <c r="H57" i="4" s="1"/>
  <c r="X57" i="4" s="1"/>
  <c r="A57" i="4"/>
  <c r="Y56" i="4"/>
  <c r="U56" i="4"/>
  <c r="P56" i="4"/>
  <c r="O56" i="4"/>
  <c r="I56" i="4" a="1"/>
  <c r="I56" i="4" s="1"/>
  <c r="H56" i="4" a="1"/>
  <c r="H56" i="4" s="1"/>
  <c r="X56" i="4" s="1"/>
  <c r="A56" i="4"/>
  <c r="Y55" i="4"/>
  <c r="U55" i="4"/>
  <c r="P55" i="4"/>
  <c r="O55" i="4"/>
  <c r="I55" i="4" a="1"/>
  <c r="I55" i="4" s="1"/>
  <c r="H55" i="4" a="1"/>
  <c r="H55" i="4" s="1"/>
  <c r="X55" i="4" s="1"/>
  <c r="A55" i="4"/>
  <c r="U54" i="4"/>
  <c r="O54" i="4"/>
  <c r="Q54" i="4" s="1"/>
  <c r="I54" i="4" a="1"/>
  <c r="I54" i="4" s="1"/>
  <c r="H54" i="4" a="1"/>
  <c r="H54" i="4" s="1"/>
  <c r="X54" i="4" s="1"/>
  <c r="A54" i="4"/>
  <c r="Y53" i="4"/>
  <c r="U53" i="4"/>
  <c r="P53" i="4"/>
  <c r="H182" i="4" s="1"/>
  <c r="O53" i="4"/>
  <c r="F182" i="4" s="1"/>
  <c r="I53" i="4" a="1"/>
  <c r="I53" i="4" s="1"/>
  <c r="H53" i="4" a="1"/>
  <c r="H53" i="4" s="1"/>
  <c r="X53" i="4" s="1"/>
  <c r="A53" i="4"/>
  <c r="Y52" i="4"/>
  <c r="U52" i="4"/>
  <c r="P52" i="4"/>
  <c r="H174" i="4" s="1"/>
  <c r="O52" i="4"/>
  <c r="F174" i="4" s="1"/>
  <c r="I52" i="4" a="1"/>
  <c r="I52" i="4" s="1"/>
  <c r="H52" i="4" a="1"/>
  <c r="H52" i="4" s="1"/>
  <c r="X52" i="4" s="1"/>
  <c r="A52" i="4"/>
  <c r="Y51" i="4"/>
  <c r="U51" i="4"/>
  <c r="P51" i="4"/>
  <c r="H196" i="4" s="1"/>
  <c r="O51" i="4"/>
  <c r="I51" i="4" a="1"/>
  <c r="I51" i="4" s="1"/>
  <c r="H51" i="4" a="1"/>
  <c r="H51" i="4" s="1"/>
  <c r="X51" i="4" s="1"/>
  <c r="A51" i="4"/>
  <c r="Y50" i="4"/>
  <c r="U50" i="4"/>
  <c r="P50" i="4"/>
  <c r="H171" i="4" s="1"/>
  <c r="O50" i="4"/>
  <c r="F171" i="4" s="1"/>
  <c r="I50" i="4" a="1"/>
  <c r="I50" i="4" s="1"/>
  <c r="H50" i="4" a="1"/>
  <c r="H50" i="4" s="1"/>
  <c r="X50" i="4" s="1"/>
  <c r="A50" i="4"/>
  <c r="U49" i="4"/>
  <c r="P49" i="4"/>
  <c r="O49" i="4"/>
  <c r="I49" i="4" a="1"/>
  <c r="I49" i="4" s="1"/>
  <c r="H49" i="4" a="1"/>
  <c r="H49" i="4" s="1"/>
  <c r="X49" i="4" s="1"/>
  <c r="A49" i="4"/>
  <c r="Y48" i="4"/>
  <c r="U48" i="4"/>
  <c r="P48" i="4"/>
  <c r="O48" i="4"/>
  <c r="I48" i="4" a="1"/>
  <c r="I48" i="4" s="1"/>
  <c r="H48" i="4" a="1"/>
  <c r="H48" i="4" s="1"/>
  <c r="X48" i="4" s="1"/>
  <c r="A48" i="4"/>
  <c r="V47" i="4"/>
  <c r="W47" i="4" s="1"/>
  <c r="U47" i="4"/>
  <c r="P47" i="4"/>
  <c r="O47" i="4"/>
  <c r="I47" i="4" a="1"/>
  <c r="I47" i="4" s="1"/>
  <c r="H47" i="4" a="1"/>
  <c r="H47" i="4" s="1"/>
  <c r="X47" i="4" s="1"/>
  <c r="A47" i="4"/>
  <c r="V46" i="4"/>
  <c r="W46" i="4" s="1"/>
  <c r="U46" i="4"/>
  <c r="P46" i="4"/>
  <c r="O46" i="4"/>
  <c r="I46" i="4" a="1"/>
  <c r="I46" i="4" s="1"/>
  <c r="H46" i="4" a="1"/>
  <c r="H46" i="4" s="1"/>
  <c r="X46" i="4" s="1"/>
  <c r="A46" i="4"/>
  <c r="Y45" i="4"/>
  <c r="U45" i="4"/>
  <c r="P45" i="4"/>
  <c r="O45" i="4"/>
  <c r="I45" i="4" a="1"/>
  <c r="I45" i="4" s="1"/>
  <c r="H45" i="4" a="1"/>
  <c r="H45" i="4" s="1"/>
  <c r="X45" i="4" s="1"/>
  <c r="A45" i="4"/>
  <c r="Y44" i="4"/>
  <c r="U44" i="4"/>
  <c r="O44" i="4"/>
  <c r="I44" i="4" a="1"/>
  <c r="I44" i="4" s="1"/>
  <c r="H44" i="4" a="1"/>
  <c r="H44" i="4" s="1"/>
  <c r="X44" i="4" s="1"/>
  <c r="A44" i="4"/>
  <c r="U43" i="4"/>
  <c r="O43" i="4"/>
  <c r="Q43" i="4" s="1"/>
  <c r="I43" i="4" a="1"/>
  <c r="I43" i="4" s="1"/>
  <c r="H43" i="4" a="1"/>
  <c r="H43" i="4" s="1"/>
  <c r="X43" i="4" s="1"/>
  <c r="A43" i="4"/>
  <c r="Y42" i="4"/>
  <c r="U42" i="4"/>
  <c r="O42" i="4"/>
  <c r="Q42" i="4" s="1"/>
  <c r="I42" i="4" a="1"/>
  <c r="I42" i="4" s="1"/>
  <c r="H42" i="4" a="1"/>
  <c r="H42" i="4" s="1"/>
  <c r="X42" i="4" s="1"/>
  <c r="A42" i="4"/>
  <c r="Y41" i="4"/>
  <c r="U41" i="4"/>
  <c r="P41" i="4"/>
  <c r="O41" i="4"/>
  <c r="I41" i="4" a="1"/>
  <c r="I41" i="4" s="1"/>
  <c r="H41" i="4" a="1"/>
  <c r="H41" i="4" s="1"/>
  <c r="X41" i="4" s="1"/>
  <c r="A41" i="4"/>
  <c r="Y40" i="4"/>
  <c r="U40" i="4"/>
  <c r="P40" i="4"/>
  <c r="O40" i="4"/>
  <c r="I40" i="4" a="1"/>
  <c r="I40" i="4" s="1"/>
  <c r="H40" i="4" a="1"/>
  <c r="H40" i="4" s="1"/>
  <c r="X40" i="4" s="1"/>
  <c r="A40" i="4"/>
  <c r="Y39" i="4"/>
  <c r="U39" i="4"/>
  <c r="P39" i="4"/>
  <c r="O39" i="4"/>
  <c r="I39" i="4" a="1"/>
  <c r="I39" i="4" s="1"/>
  <c r="H39" i="4" a="1"/>
  <c r="H39" i="4" s="1"/>
  <c r="X39" i="4" s="1"/>
  <c r="A39" i="4"/>
  <c r="U38" i="4"/>
  <c r="O38" i="4"/>
  <c r="I38" i="4" a="1"/>
  <c r="I38" i="4" s="1"/>
  <c r="H38" i="4" a="1"/>
  <c r="H38" i="4" s="1"/>
  <c r="X38" i="4" s="1"/>
  <c r="A38" i="4"/>
  <c r="U37" i="4"/>
  <c r="O37" i="4"/>
  <c r="I37" i="4" a="1"/>
  <c r="I37" i="4" s="1"/>
  <c r="H37" i="4" a="1"/>
  <c r="H37" i="4" s="1"/>
  <c r="X37" i="4" s="1"/>
  <c r="A37" i="4"/>
  <c r="Y36" i="4"/>
  <c r="U36" i="4"/>
  <c r="P36" i="4"/>
  <c r="O36" i="4"/>
  <c r="I36" i="4" a="1"/>
  <c r="I36" i="4" s="1"/>
  <c r="H36" i="4" a="1"/>
  <c r="H36" i="4" s="1"/>
  <c r="X36" i="4" s="1"/>
  <c r="A36" i="4"/>
  <c r="Y35" i="4"/>
  <c r="V35" i="4"/>
  <c r="W35" i="4" s="1"/>
  <c r="U35" i="4"/>
  <c r="P35" i="4"/>
  <c r="O35" i="4"/>
  <c r="I35" i="4" a="1"/>
  <c r="I35" i="4" s="1"/>
  <c r="H35" i="4" a="1"/>
  <c r="H35" i="4" s="1"/>
  <c r="X35" i="4" s="1"/>
  <c r="A35" i="4"/>
  <c r="Y34" i="4"/>
  <c r="V34" i="4"/>
  <c r="W34" i="4" s="1"/>
  <c r="U34" i="4"/>
  <c r="P34" i="4"/>
  <c r="O34" i="4"/>
  <c r="I34" i="4" a="1"/>
  <c r="I34" i="4" s="1"/>
  <c r="H34" i="4" a="1"/>
  <c r="H34" i="4" s="1"/>
  <c r="X34" i="4" s="1"/>
  <c r="A34" i="4"/>
  <c r="Y33" i="4"/>
  <c r="U33" i="4"/>
  <c r="P33" i="4"/>
  <c r="O33" i="4"/>
  <c r="I33" i="4" a="1"/>
  <c r="I33" i="4" s="1"/>
  <c r="H33" i="4" a="1"/>
  <c r="H33" i="4" s="1"/>
  <c r="X33" i="4" s="1"/>
  <c r="A33" i="4"/>
  <c r="Y32" i="4"/>
  <c r="U32" i="4"/>
  <c r="P32" i="4"/>
  <c r="O32" i="4"/>
  <c r="I32" i="4" a="1"/>
  <c r="I32" i="4" s="1"/>
  <c r="H32" i="4" a="1"/>
  <c r="H32" i="4" s="1"/>
  <c r="X32" i="4" s="1"/>
  <c r="A32" i="4"/>
  <c r="Y31" i="4"/>
  <c r="U31" i="4"/>
  <c r="P31" i="4"/>
  <c r="O31" i="4"/>
  <c r="I31" i="4" a="1"/>
  <c r="I31" i="4" s="1"/>
  <c r="H31" i="4" a="1"/>
  <c r="H31" i="4" s="1"/>
  <c r="X31" i="4" s="1"/>
  <c r="A31" i="4"/>
  <c r="Y30" i="4"/>
  <c r="U30" i="4"/>
  <c r="P30" i="4"/>
  <c r="O30" i="4"/>
  <c r="I30" i="4" a="1"/>
  <c r="I30" i="4" s="1"/>
  <c r="H30" i="4" a="1"/>
  <c r="H30" i="4" s="1"/>
  <c r="X30" i="4" s="1"/>
  <c r="A30" i="4"/>
  <c r="Y29" i="4"/>
  <c r="U29" i="4"/>
  <c r="P29" i="4"/>
  <c r="O29" i="4"/>
  <c r="I29" i="4" a="1"/>
  <c r="I29" i="4" s="1"/>
  <c r="H29" i="4" a="1"/>
  <c r="H29" i="4" s="1"/>
  <c r="X29" i="4" s="1"/>
  <c r="A29" i="4"/>
  <c r="Y28" i="4"/>
  <c r="U28" i="4"/>
  <c r="P28" i="4"/>
  <c r="O28" i="4"/>
  <c r="I28" i="4" a="1"/>
  <c r="I28" i="4" s="1"/>
  <c r="H28" i="4" a="1"/>
  <c r="H28" i="4" s="1"/>
  <c r="X28" i="4" s="1"/>
  <c r="A28" i="4"/>
  <c r="Y27" i="4"/>
  <c r="X27" i="4"/>
  <c r="U27" i="4"/>
  <c r="P27" i="4"/>
  <c r="O27" i="4"/>
  <c r="A27" i="4"/>
  <c r="U26" i="4"/>
  <c r="O26" i="4"/>
  <c r="I26" i="4" a="1"/>
  <c r="I26" i="4" s="1"/>
  <c r="H26" i="4" a="1"/>
  <c r="H26" i="4" s="1"/>
  <c r="X26" i="4" s="1"/>
  <c r="A26" i="4"/>
  <c r="Y25" i="4"/>
  <c r="U25" i="4"/>
  <c r="P25" i="4"/>
  <c r="H176" i="4" s="1"/>
  <c r="O25" i="4"/>
  <c r="F176" i="4" s="1"/>
  <c r="I25" i="4" a="1"/>
  <c r="I25" i="4" s="1"/>
  <c r="H25" i="4" a="1"/>
  <c r="H25" i="4" s="1"/>
  <c r="X25" i="4" s="1"/>
  <c r="A25" i="4"/>
  <c r="Y24" i="4"/>
  <c r="U24" i="4"/>
  <c r="K24" i="4"/>
  <c r="I24" i="4" a="1"/>
  <c r="I24" i="4" s="1"/>
  <c r="H24" i="4" a="1"/>
  <c r="H24" i="4" s="1"/>
  <c r="X24" i="4" s="1"/>
  <c r="A24" i="4"/>
  <c r="Y23" i="4"/>
  <c r="U23" i="4"/>
  <c r="K23" i="4"/>
  <c r="I23" i="4" a="1"/>
  <c r="I23" i="4" s="1"/>
  <c r="H23" i="4" a="1"/>
  <c r="H23" i="4" s="1"/>
  <c r="X23" i="4" s="1"/>
  <c r="A23" i="4"/>
  <c r="Y22" i="4"/>
  <c r="U22" i="4"/>
  <c r="K22" i="4"/>
  <c r="I22" i="4" a="1"/>
  <c r="I22" i="4" s="1"/>
  <c r="H22" i="4" a="1"/>
  <c r="H22" i="4" s="1"/>
  <c r="X22" i="4" s="1"/>
  <c r="A22" i="4"/>
  <c r="V21" i="4"/>
  <c r="W21" i="4" s="1"/>
  <c r="U21" i="4"/>
  <c r="P21" i="4"/>
  <c r="O21" i="4"/>
  <c r="I21" i="4" a="1"/>
  <c r="I21" i="4" s="1"/>
  <c r="H21" i="4" a="1"/>
  <c r="H21" i="4" s="1"/>
  <c r="X21" i="4" s="1"/>
  <c r="A21" i="4"/>
  <c r="V20" i="4"/>
  <c r="W20" i="4" s="1"/>
  <c r="U20" i="4"/>
  <c r="P20" i="4"/>
  <c r="O20" i="4"/>
  <c r="I20" i="4" a="1"/>
  <c r="I20" i="4" s="1"/>
  <c r="H20" i="4" a="1"/>
  <c r="H20" i="4" s="1"/>
  <c r="X20" i="4" s="1"/>
  <c r="A20" i="4"/>
  <c r="V19" i="4"/>
  <c r="W19" i="4" s="1"/>
  <c r="U19" i="4"/>
  <c r="P19" i="4"/>
  <c r="O19" i="4"/>
  <c r="I19" i="4" a="1"/>
  <c r="I19" i="4" s="1"/>
  <c r="H19" i="4" a="1"/>
  <c r="H19" i="4" s="1"/>
  <c r="X19" i="4" s="1"/>
  <c r="A19" i="4"/>
  <c r="V18" i="4"/>
  <c r="W18" i="4" s="1"/>
  <c r="U18" i="4"/>
  <c r="P18" i="4"/>
  <c r="O18" i="4"/>
  <c r="I18" i="4" a="1"/>
  <c r="I18" i="4" s="1"/>
  <c r="H18" i="4" a="1"/>
  <c r="H18" i="4" s="1"/>
  <c r="X18" i="4" s="1"/>
  <c r="A18" i="4"/>
  <c r="Y17" i="4"/>
  <c r="U17" i="4"/>
  <c r="P17" i="4"/>
  <c r="O17" i="4"/>
  <c r="I17" i="4" a="1"/>
  <c r="I17" i="4" s="1"/>
  <c r="H17" i="4" a="1"/>
  <c r="H17" i="4" s="1"/>
  <c r="X17" i="4" s="1"/>
  <c r="A17" i="4"/>
  <c r="Y16" i="4"/>
  <c r="U16" i="4"/>
  <c r="P16" i="4"/>
  <c r="O16" i="4"/>
  <c r="I16" i="4" a="1"/>
  <c r="I16" i="4" s="1"/>
  <c r="H16" i="4" a="1"/>
  <c r="H16" i="4" s="1"/>
  <c r="X16" i="4" s="1"/>
  <c r="A16" i="4"/>
  <c r="Y15" i="4"/>
  <c r="U15" i="4"/>
  <c r="P15" i="4"/>
  <c r="H169" i="4" s="1"/>
  <c r="O15" i="4"/>
  <c r="F169" i="4" s="1"/>
  <c r="I15" i="4" a="1"/>
  <c r="I15" i="4" s="1"/>
  <c r="H15" i="4" a="1"/>
  <c r="H15" i="4" s="1"/>
  <c r="X15" i="4" s="1"/>
  <c r="A15" i="4"/>
  <c r="Y14" i="4"/>
  <c r="U14" i="4"/>
  <c r="P14" i="4"/>
  <c r="O14" i="4"/>
  <c r="I14" i="4" a="1"/>
  <c r="I14" i="4" s="1"/>
  <c r="H14" i="4" a="1"/>
  <c r="H14" i="4" s="1"/>
  <c r="X14" i="4" s="1"/>
  <c r="A14" i="4"/>
  <c r="Y13" i="4"/>
  <c r="U13" i="4"/>
  <c r="P13" i="4"/>
  <c r="O13" i="4"/>
  <c r="I13" i="4" a="1"/>
  <c r="I13" i="4" s="1"/>
  <c r="H13" i="4" a="1"/>
  <c r="H13" i="4" s="1"/>
  <c r="X13" i="4" s="1"/>
  <c r="A13" i="4"/>
  <c r="Y12" i="4"/>
  <c r="U12" i="4"/>
  <c r="P12" i="4"/>
  <c r="O12" i="4"/>
  <c r="I12" i="4" a="1"/>
  <c r="I12" i="4" s="1"/>
  <c r="H12" i="4" a="1"/>
  <c r="H12" i="4" s="1"/>
  <c r="X12" i="4" s="1"/>
  <c r="A12" i="4"/>
  <c r="U11" i="4"/>
  <c r="O11" i="4"/>
  <c r="I11" i="4" a="1"/>
  <c r="I11" i="4" s="1"/>
  <c r="H11" i="4" a="1"/>
  <c r="H11" i="4" s="1"/>
  <c r="X11" i="4" s="1"/>
  <c r="A11" i="4"/>
  <c r="Y10" i="4"/>
  <c r="U10" i="4"/>
  <c r="P10" i="4"/>
  <c r="O10" i="4"/>
  <c r="I10" i="4" a="1"/>
  <c r="I10" i="4" s="1"/>
  <c r="H10" i="4" a="1"/>
  <c r="H10" i="4" s="1"/>
  <c r="X10" i="4" s="1"/>
  <c r="A10" i="4"/>
  <c r="Y9" i="4"/>
  <c r="U9" i="4"/>
  <c r="P9" i="4"/>
  <c r="O9" i="4"/>
  <c r="I9" i="4" a="1"/>
  <c r="I9" i="4" s="1"/>
  <c r="H9" i="4" a="1"/>
  <c r="H9" i="4" s="1"/>
  <c r="X9" i="4" s="1"/>
  <c r="A9" i="4"/>
  <c r="Y8" i="4"/>
  <c r="U8" i="4"/>
  <c r="P8" i="4"/>
  <c r="H193" i="4" s="1"/>
  <c r="O8" i="4"/>
  <c r="I8" i="4" a="1"/>
  <c r="I8" i="4" s="1"/>
  <c r="H8" i="4" a="1"/>
  <c r="H8" i="4" s="1"/>
  <c r="X8" i="4" s="1"/>
  <c r="A8" i="4"/>
  <c r="Y7" i="4"/>
  <c r="X7" i="4"/>
  <c r="U7" i="4"/>
  <c r="P7" i="4"/>
  <c r="O7" i="4"/>
  <c r="A7" i="4"/>
  <c r="Y6" i="4"/>
  <c r="U6" i="4"/>
  <c r="P6" i="4"/>
  <c r="O6" i="4"/>
  <c r="I6" i="4" a="1"/>
  <c r="I6" i="4" s="1"/>
  <c r="H6" i="4" a="1"/>
  <c r="H6" i="4" s="1"/>
  <c r="X6" i="4" s="1"/>
  <c r="A6" i="4"/>
  <c r="I1" i="4" a="1"/>
  <c r="I1" i="4" s="1"/>
  <c r="H1" i="4" a="1"/>
  <c r="H1" i="4" s="1"/>
  <c r="J1015" i="3" a="1"/>
  <c r="J1015" i="3" s="1"/>
  <c r="I1015" i="3" a="1"/>
  <c r="I1015" i="3" s="1"/>
  <c r="G1015" i="3"/>
  <c r="J1014" i="3" a="1"/>
  <c r="J1014" i="3" s="1"/>
  <c r="I1014" i="3" a="1"/>
  <c r="I1014" i="3" s="1"/>
  <c r="G1014" i="3"/>
  <c r="J1013" i="3" a="1"/>
  <c r="J1013" i="3" s="1"/>
  <c r="I1013" i="3" a="1"/>
  <c r="I1013" i="3" s="1"/>
  <c r="G1013" i="3"/>
  <c r="J1012" i="3" a="1"/>
  <c r="J1012" i="3" s="1"/>
  <c r="I1012" i="3" a="1"/>
  <c r="I1012" i="3" s="1"/>
  <c r="G1012" i="3"/>
  <c r="J1011" i="3" a="1"/>
  <c r="J1011" i="3" s="1"/>
  <c r="I1011" i="3" a="1"/>
  <c r="I1011" i="3" s="1"/>
  <c r="G1011" i="3"/>
  <c r="J1010" i="3" a="1"/>
  <c r="J1010" i="3" s="1"/>
  <c r="I1010" i="3" a="1"/>
  <c r="I1010" i="3" s="1"/>
  <c r="G1010" i="3"/>
  <c r="J1009" i="3" a="1"/>
  <c r="J1009" i="3" s="1"/>
  <c r="I1009" i="3" a="1"/>
  <c r="I1009" i="3" s="1"/>
  <c r="G1009" i="3"/>
  <c r="J1008" i="3" a="1"/>
  <c r="J1008" i="3" s="1"/>
  <c r="I1008" i="3" a="1"/>
  <c r="I1008" i="3" s="1"/>
  <c r="G1008" i="3"/>
  <c r="J1007" i="3" a="1"/>
  <c r="J1007" i="3" s="1"/>
  <c r="I1007" i="3" a="1"/>
  <c r="I1007" i="3" s="1"/>
  <c r="G1007" i="3"/>
  <c r="J1006" i="3" a="1"/>
  <c r="J1006" i="3" s="1"/>
  <c r="I1006" i="3" a="1"/>
  <c r="I1006" i="3" s="1"/>
  <c r="G1006" i="3"/>
  <c r="J1005" i="3" a="1"/>
  <c r="J1005" i="3" s="1"/>
  <c r="I1005" i="3" a="1"/>
  <c r="I1005" i="3" s="1"/>
  <c r="G1005" i="3"/>
  <c r="J1004" i="3" a="1"/>
  <c r="J1004" i="3" s="1"/>
  <c r="I1004" i="3" a="1"/>
  <c r="I1004" i="3" s="1"/>
  <c r="G1004" i="3"/>
  <c r="J1003" i="3" a="1"/>
  <c r="J1003" i="3" s="1"/>
  <c r="I1003" i="3" a="1"/>
  <c r="I1003" i="3" s="1"/>
  <c r="G1003" i="3"/>
  <c r="J1002" i="3" a="1"/>
  <c r="J1002" i="3" s="1"/>
  <c r="I1002" i="3" a="1"/>
  <c r="I1002" i="3" s="1"/>
  <c r="G1002" i="3"/>
  <c r="J1001" i="3" a="1"/>
  <c r="J1001" i="3" s="1"/>
  <c r="I1001" i="3" a="1"/>
  <c r="I1001" i="3" s="1"/>
  <c r="G1001" i="3"/>
  <c r="J1000" i="3" a="1"/>
  <c r="J1000" i="3" s="1"/>
  <c r="I1000" i="3" a="1"/>
  <c r="I1000" i="3" s="1"/>
  <c r="G1000" i="3"/>
  <c r="J999" i="3" a="1"/>
  <c r="J999" i="3" s="1"/>
  <c r="I999" i="3" a="1"/>
  <c r="I999" i="3" s="1"/>
  <c r="G999" i="3"/>
  <c r="J998" i="3" a="1"/>
  <c r="J998" i="3" s="1"/>
  <c r="I998" i="3" a="1"/>
  <c r="I998" i="3" s="1"/>
  <c r="G998" i="3"/>
  <c r="J997" i="3" a="1"/>
  <c r="J997" i="3" s="1"/>
  <c r="I997" i="3" a="1"/>
  <c r="I997" i="3" s="1"/>
  <c r="G997" i="3"/>
  <c r="J996" i="3" a="1"/>
  <c r="J996" i="3" s="1"/>
  <c r="I996" i="3" a="1"/>
  <c r="I996" i="3" s="1"/>
  <c r="G996" i="3"/>
  <c r="J995" i="3" a="1"/>
  <c r="J995" i="3" s="1"/>
  <c r="I995" i="3" a="1"/>
  <c r="I995" i="3" s="1"/>
  <c r="G995" i="3"/>
  <c r="J994" i="3" a="1"/>
  <c r="J994" i="3" s="1"/>
  <c r="I994" i="3" a="1"/>
  <c r="I994" i="3" s="1"/>
  <c r="G994" i="3"/>
  <c r="J993" i="3" a="1"/>
  <c r="J993" i="3" s="1"/>
  <c r="I993" i="3" a="1"/>
  <c r="I993" i="3" s="1"/>
  <c r="G993" i="3"/>
  <c r="J992" i="3" a="1"/>
  <c r="J992" i="3" s="1"/>
  <c r="I992" i="3" a="1"/>
  <c r="I992" i="3" s="1"/>
  <c r="G992" i="3"/>
  <c r="J991" i="3" a="1"/>
  <c r="J991" i="3" s="1"/>
  <c r="I991" i="3" a="1"/>
  <c r="I991" i="3" s="1"/>
  <c r="G991" i="3"/>
  <c r="J990" i="3" a="1"/>
  <c r="J990" i="3" s="1"/>
  <c r="I990" i="3" a="1"/>
  <c r="I990" i="3" s="1"/>
  <c r="G990" i="3"/>
  <c r="J989" i="3" a="1"/>
  <c r="J989" i="3" s="1"/>
  <c r="I989" i="3" a="1"/>
  <c r="I989" i="3" s="1"/>
  <c r="G989" i="3"/>
  <c r="J988" i="3" a="1"/>
  <c r="J988" i="3" s="1"/>
  <c r="I988" i="3" a="1"/>
  <c r="I988" i="3" s="1"/>
  <c r="G988" i="3"/>
  <c r="J987" i="3" a="1"/>
  <c r="J987" i="3" s="1"/>
  <c r="I987" i="3" a="1"/>
  <c r="I987" i="3" s="1"/>
  <c r="G987" i="3"/>
  <c r="J986" i="3" a="1"/>
  <c r="J986" i="3" s="1"/>
  <c r="I986" i="3" a="1"/>
  <c r="I986" i="3" s="1"/>
  <c r="G986" i="3"/>
  <c r="J985" i="3" a="1"/>
  <c r="J985" i="3" s="1"/>
  <c r="I985" i="3" a="1"/>
  <c r="I985" i="3" s="1"/>
  <c r="G985" i="3"/>
  <c r="J984" i="3" a="1"/>
  <c r="J984" i="3" s="1"/>
  <c r="I984" i="3" a="1"/>
  <c r="I984" i="3" s="1"/>
  <c r="G984" i="3"/>
  <c r="J983" i="3" a="1"/>
  <c r="J983" i="3" s="1"/>
  <c r="I983" i="3" a="1"/>
  <c r="I983" i="3" s="1"/>
  <c r="G983" i="3"/>
  <c r="J982" i="3" a="1"/>
  <c r="J982" i="3" s="1"/>
  <c r="I982" i="3" a="1"/>
  <c r="I982" i="3" s="1"/>
  <c r="G982" i="3"/>
  <c r="J981" i="3" a="1"/>
  <c r="J981" i="3" s="1"/>
  <c r="I981" i="3" a="1"/>
  <c r="I981" i="3" s="1"/>
  <c r="G981" i="3"/>
  <c r="J980" i="3" a="1"/>
  <c r="J980" i="3" s="1"/>
  <c r="I980" i="3" a="1"/>
  <c r="I980" i="3" s="1"/>
  <c r="G980" i="3"/>
  <c r="J979" i="3" a="1"/>
  <c r="J979" i="3" s="1"/>
  <c r="I979" i="3" a="1"/>
  <c r="I979" i="3" s="1"/>
  <c r="G979" i="3"/>
  <c r="J978" i="3" a="1"/>
  <c r="J978" i="3" s="1"/>
  <c r="I978" i="3" a="1"/>
  <c r="I978" i="3" s="1"/>
  <c r="G978" i="3"/>
  <c r="J977" i="3" a="1"/>
  <c r="J977" i="3" s="1"/>
  <c r="I977" i="3" a="1"/>
  <c r="I977" i="3" s="1"/>
  <c r="G977" i="3"/>
  <c r="J976" i="3" a="1"/>
  <c r="J976" i="3" s="1"/>
  <c r="I976" i="3" a="1"/>
  <c r="I976" i="3" s="1"/>
  <c r="G976" i="3"/>
  <c r="J975" i="3" a="1"/>
  <c r="J975" i="3" s="1"/>
  <c r="I975" i="3" a="1"/>
  <c r="I975" i="3" s="1"/>
  <c r="G975" i="3"/>
  <c r="J974" i="3" a="1"/>
  <c r="J974" i="3" s="1"/>
  <c r="I974" i="3" a="1"/>
  <c r="I974" i="3" s="1"/>
  <c r="G974" i="3"/>
  <c r="J973" i="3" a="1"/>
  <c r="J973" i="3" s="1"/>
  <c r="I973" i="3" a="1"/>
  <c r="I973" i="3" s="1"/>
  <c r="G973" i="3"/>
  <c r="J972" i="3" a="1"/>
  <c r="J972" i="3" s="1"/>
  <c r="I972" i="3" a="1"/>
  <c r="I972" i="3" s="1"/>
  <c r="G972" i="3"/>
  <c r="J971" i="3" a="1"/>
  <c r="J971" i="3" s="1"/>
  <c r="I971" i="3" a="1"/>
  <c r="I971" i="3" s="1"/>
  <c r="G971" i="3"/>
  <c r="J970" i="3" a="1"/>
  <c r="J970" i="3" s="1"/>
  <c r="I970" i="3" a="1"/>
  <c r="I970" i="3" s="1"/>
  <c r="G970" i="3"/>
  <c r="J969" i="3" a="1"/>
  <c r="J969" i="3" s="1"/>
  <c r="I969" i="3" a="1"/>
  <c r="I969" i="3" s="1"/>
  <c r="G969" i="3"/>
  <c r="J968" i="3" a="1"/>
  <c r="J968" i="3" s="1"/>
  <c r="I968" i="3" a="1"/>
  <c r="I968" i="3" s="1"/>
  <c r="G968" i="3"/>
  <c r="J967" i="3" a="1"/>
  <c r="J967" i="3" s="1"/>
  <c r="I967" i="3" a="1"/>
  <c r="I967" i="3" s="1"/>
  <c r="G967" i="3"/>
  <c r="J966" i="3" a="1"/>
  <c r="J966" i="3" s="1"/>
  <c r="I966" i="3" a="1"/>
  <c r="I966" i="3" s="1"/>
  <c r="G966" i="3"/>
  <c r="J965" i="3" a="1"/>
  <c r="J965" i="3" s="1"/>
  <c r="I965" i="3" a="1"/>
  <c r="I965" i="3" s="1"/>
  <c r="G965" i="3"/>
  <c r="J964" i="3" a="1"/>
  <c r="J964" i="3" s="1"/>
  <c r="I964" i="3" a="1"/>
  <c r="I964" i="3" s="1"/>
  <c r="G964" i="3"/>
  <c r="J963" i="3" a="1"/>
  <c r="J963" i="3" s="1"/>
  <c r="I963" i="3" a="1"/>
  <c r="I963" i="3" s="1"/>
  <c r="G963" i="3"/>
  <c r="J962" i="3" a="1"/>
  <c r="J962" i="3" s="1"/>
  <c r="I962" i="3" a="1"/>
  <c r="I962" i="3" s="1"/>
  <c r="G962" i="3"/>
  <c r="J961" i="3" a="1"/>
  <c r="J961" i="3" s="1"/>
  <c r="I961" i="3" a="1"/>
  <c r="I961" i="3" s="1"/>
  <c r="G961" i="3"/>
  <c r="J960" i="3" a="1"/>
  <c r="J960" i="3" s="1"/>
  <c r="I960" i="3" a="1"/>
  <c r="I960" i="3" s="1"/>
  <c r="G960" i="3"/>
  <c r="J959" i="3" a="1"/>
  <c r="J959" i="3" s="1"/>
  <c r="I959" i="3" a="1"/>
  <c r="I959" i="3" s="1"/>
  <c r="G959" i="3"/>
  <c r="J958" i="3" a="1"/>
  <c r="J958" i="3" s="1"/>
  <c r="I958" i="3" a="1"/>
  <c r="I958" i="3" s="1"/>
  <c r="G958" i="3"/>
  <c r="J957" i="3" a="1"/>
  <c r="J957" i="3" s="1"/>
  <c r="I957" i="3" a="1"/>
  <c r="I957" i="3" s="1"/>
  <c r="G957" i="3"/>
  <c r="J956" i="3" a="1"/>
  <c r="J956" i="3" s="1"/>
  <c r="I956" i="3" a="1"/>
  <c r="I956" i="3" s="1"/>
  <c r="G956" i="3"/>
  <c r="J955" i="3" a="1"/>
  <c r="J955" i="3" s="1"/>
  <c r="I955" i="3" a="1"/>
  <c r="I955" i="3" s="1"/>
  <c r="G955" i="3"/>
  <c r="J954" i="3" a="1"/>
  <c r="J954" i="3" s="1"/>
  <c r="I954" i="3" a="1"/>
  <c r="I954" i="3" s="1"/>
  <c r="G954" i="3"/>
  <c r="J953" i="3" a="1"/>
  <c r="J953" i="3" s="1"/>
  <c r="I953" i="3" a="1"/>
  <c r="I953" i="3" s="1"/>
  <c r="G953" i="3"/>
  <c r="J952" i="3" a="1"/>
  <c r="J952" i="3" s="1"/>
  <c r="I952" i="3" a="1"/>
  <c r="I952" i="3" s="1"/>
  <c r="G952" i="3"/>
  <c r="J951" i="3" a="1"/>
  <c r="J951" i="3" s="1"/>
  <c r="I951" i="3" a="1"/>
  <c r="I951" i="3" s="1"/>
  <c r="G951" i="3"/>
  <c r="J950" i="3" a="1"/>
  <c r="J950" i="3" s="1"/>
  <c r="I950" i="3" a="1"/>
  <c r="I950" i="3" s="1"/>
  <c r="G950" i="3"/>
  <c r="J949" i="3" a="1"/>
  <c r="J949" i="3" s="1"/>
  <c r="I949" i="3" a="1"/>
  <c r="I949" i="3" s="1"/>
  <c r="G949" i="3"/>
  <c r="J948" i="3" a="1"/>
  <c r="J948" i="3" s="1"/>
  <c r="I948" i="3" a="1"/>
  <c r="I948" i="3" s="1"/>
  <c r="G948" i="3"/>
  <c r="J947" i="3" a="1"/>
  <c r="J947" i="3" s="1"/>
  <c r="I947" i="3" a="1"/>
  <c r="I947" i="3" s="1"/>
  <c r="G947" i="3"/>
  <c r="J946" i="3" a="1"/>
  <c r="J946" i="3" s="1"/>
  <c r="I946" i="3" a="1"/>
  <c r="I946" i="3" s="1"/>
  <c r="G946" i="3"/>
  <c r="J945" i="3" a="1"/>
  <c r="J945" i="3" s="1"/>
  <c r="I945" i="3" a="1"/>
  <c r="I945" i="3" s="1"/>
  <c r="G945" i="3"/>
  <c r="J944" i="3" a="1"/>
  <c r="J944" i="3" s="1"/>
  <c r="I944" i="3" a="1"/>
  <c r="I944" i="3" s="1"/>
  <c r="G944" i="3"/>
  <c r="J943" i="3" a="1"/>
  <c r="J943" i="3" s="1"/>
  <c r="I943" i="3" a="1"/>
  <c r="I943" i="3" s="1"/>
  <c r="G943" i="3"/>
  <c r="J942" i="3" a="1"/>
  <c r="J942" i="3" s="1"/>
  <c r="I942" i="3" a="1"/>
  <c r="I942" i="3" s="1"/>
  <c r="G942" i="3"/>
  <c r="J941" i="3" a="1"/>
  <c r="J941" i="3" s="1"/>
  <c r="I941" i="3" a="1"/>
  <c r="I941" i="3" s="1"/>
  <c r="G941" i="3"/>
  <c r="J940" i="3" a="1"/>
  <c r="J940" i="3" s="1"/>
  <c r="I940" i="3" a="1"/>
  <c r="I940" i="3" s="1"/>
  <c r="G940" i="3"/>
  <c r="J939" i="3" a="1"/>
  <c r="J939" i="3" s="1"/>
  <c r="I939" i="3" a="1"/>
  <c r="I939" i="3" s="1"/>
  <c r="G939" i="3"/>
  <c r="J938" i="3" a="1"/>
  <c r="J938" i="3" s="1"/>
  <c r="I938" i="3" a="1"/>
  <c r="I938" i="3" s="1"/>
  <c r="G938" i="3"/>
  <c r="J937" i="3" a="1"/>
  <c r="J937" i="3" s="1"/>
  <c r="I937" i="3" a="1"/>
  <c r="I937" i="3" s="1"/>
  <c r="G937" i="3"/>
  <c r="J936" i="3" a="1"/>
  <c r="J936" i="3" s="1"/>
  <c r="I936" i="3" a="1"/>
  <c r="I936" i="3" s="1"/>
  <c r="G936" i="3"/>
  <c r="J935" i="3" a="1"/>
  <c r="J935" i="3" s="1"/>
  <c r="I935" i="3" a="1"/>
  <c r="I935" i="3" s="1"/>
  <c r="G935" i="3"/>
  <c r="J934" i="3" a="1"/>
  <c r="J934" i="3" s="1"/>
  <c r="I934" i="3" a="1"/>
  <c r="I934" i="3" s="1"/>
  <c r="G934" i="3"/>
  <c r="J933" i="3" a="1"/>
  <c r="J933" i="3" s="1"/>
  <c r="I933" i="3" a="1"/>
  <c r="I933" i="3" s="1"/>
  <c r="G933" i="3"/>
  <c r="J932" i="3" a="1"/>
  <c r="J932" i="3" s="1"/>
  <c r="I932" i="3" a="1"/>
  <c r="I932" i="3" s="1"/>
  <c r="G932" i="3"/>
  <c r="J931" i="3" a="1"/>
  <c r="J931" i="3" s="1"/>
  <c r="I931" i="3" a="1"/>
  <c r="I931" i="3" s="1"/>
  <c r="G931" i="3"/>
  <c r="J930" i="3" a="1"/>
  <c r="J930" i="3" s="1"/>
  <c r="I930" i="3" a="1"/>
  <c r="I930" i="3" s="1"/>
  <c r="G930" i="3"/>
  <c r="J929" i="3" a="1"/>
  <c r="J929" i="3" s="1"/>
  <c r="I929" i="3" a="1"/>
  <c r="I929" i="3" s="1"/>
  <c r="G929" i="3"/>
  <c r="J928" i="3" a="1"/>
  <c r="J928" i="3" s="1"/>
  <c r="I928" i="3" a="1"/>
  <c r="I928" i="3" s="1"/>
  <c r="G928" i="3"/>
  <c r="J927" i="3" a="1"/>
  <c r="J927" i="3" s="1"/>
  <c r="I927" i="3" a="1"/>
  <c r="I927" i="3" s="1"/>
  <c r="G927" i="3"/>
  <c r="J926" i="3" a="1"/>
  <c r="J926" i="3" s="1"/>
  <c r="I926" i="3" a="1"/>
  <c r="I926" i="3" s="1"/>
  <c r="G926" i="3"/>
  <c r="J925" i="3" a="1"/>
  <c r="J925" i="3" s="1"/>
  <c r="I925" i="3" a="1"/>
  <c r="I925" i="3" s="1"/>
  <c r="G925" i="3"/>
  <c r="J924" i="3" a="1"/>
  <c r="J924" i="3" s="1"/>
  <c r="I924" i="3" a="1"/>
  <c r="I924" i="3" s="1"/>
  <c r="G924" i="3"/>
  <c r="J923" i="3" a="1"/>
  <c r="J923" i="3" s="1"/>
  <c r="I923" i="3" a="1"/>
  <c r="I923" i="3" s="1"/>
  <c r="G923" i="3"/>
  <c r="J922" i="3" a="1"/>
  <c r="J922" i="3" s="1"/>
  <c r="I922" i="3" a="1"/>
  <c r="I922" i="3" s="1"/>
  <c r="G922" i="3"/>
  <c r="J921" i="3" a="1"/>
  <c r="J921" i="3" s="1"/>
  <c r="I921" i="3" a="1"/>
  <c r="I921" i="3" s="1"/>
  <c r="G921" i="3"/>
  <c r="J920" i="3" a="1"/>
  <c r="J920" i="3" s="1"/>
  <c r="I920" i="3" a="1"/>
  <c r="I920" i="3" s="1"/>
  <c r="G920" i="3"/>
  <c r="J919" i="3" a="1"/>
  <c r="J919" i="3" s="1"/>
  <c r="I919" i="3" a="1"/>
  <c r="I919" i="3" s="1"/>
  <c r="G919" i="3"/>
  <c r="J918" i="3" a="1"/>
  <c r="J918" i="3" s="1"/>
  <c r="I918" i="3" a="1"/>
  <c r="I918" i="3" s="1"/>
  <c r="G918" i="3"/>
  <c r="J917" i="3" a="1"/>
  <c r="J917" i="3" s="1"/>
  <c r="I917" i="3" a="1"/>
  <c r="I917" i="3" s="1"/>
  <c r="G917" i="3"/>
  <c r="J916" i="3" a="1"/>
  <c r="J916" i="3" s="1"/>
  <c r="I916" i="3" a="1"/>
  <c r="I916" i="3" s="1"/>
  <c r="G916" i="3"/>
  <c r="J915" i="3" a="1"/>
  <c r="J915" i="3" s="1"/>
  <c r="I915" i="3" a="1"/>
  <c r="I915" i="3" s="1"/>
  <c r="G915" i="3"/>
  <c r="J914" i="3" a="1"/>
  <c r="J914" i="3" s="1"/>
  <c r="I914" i="3" a="1"/>
  <c r="I914" i="3" s="1"/>
  <c r="G914" i="3"/>
  <c r="J913" i="3" a="1"/>
  <c r="J913" i="3" s="1"/>
  <c r="I913" i="3" a="1"/>
  <c r="I913" i="3" s="1"/>
  <c r="G913" i="3"/>
  <c r="J912" i="3" a="1"/>
  <c r="J912" i="3" s="1"/>
  <c r="I912" i="3" a="1"/>
  <c r="I912" i="3" s="1"/>
  <c r="G912" i="3"/>
  <c r="J911" i="3" a="1"/>
  <c r="J911" i="3" s="1"/>
  <c r="I911" i="3" a="1"/>
  <c r="I911" i="3" s="1"/>
  <c r="G911" i="3"/>
  <c r="J910" i="3" a="1"/>
  <c r="J910" i="3" s="1"/>
  <c r="I910" i="3" a="1"/>
  <c r="I910" i="3" s="1"/>
  <c r="G910" i="3"/>
  <c r="J909" i="3" a="1"/>
  <c r="J909" i="3" s="1"/>
  <c r="I909" i="3" a="1"/>
  <c r="I909" i="3" s="1"/>
  <c r="G909" i="3"/>
  <c r="J908" i="3" a="1"/>
  <c r="J908" i="3" s="1"/>
  <c r="I908" i="3" a="1"/>
  <c r="I908" i="3" s="1"/>
  <c r="G908" i="3"/>
  <c r="J907" i="3" a="1"/>
  <c r="J907" i="3" s="1"/>
  <c r="I907" i="3" a="1"/>
  <c r="I907" i="3" s="1"/>
  <c r="G907" i="3"/>
  <c r="J906" i="3" a="1"/>
  <c r="J906" i="3" s="1"/>
  <c r="I906" i="3" a="1"/>
  <c r="I906" i="3" s="1"/>
  <c r="G906" i="3"/>
  <c r="J905" i="3" a="1"/>
  <c r="J905" i="3" s="1"/>
  <c r="I905" i="3" a="1"/>
  <c r="I905" i="3" s="1"/>
  <c r="G905" i="3"/>
  <c r="J904" i="3" a="1"/>
  <c r="J904" i="3" s="1"/>
  <c r="I904" i="3" a="1"/>
  <c r="I904" i="3" s="1"/>
  <c r="G904" i="3"/>
  <c r="J903" i="3" a="1"/>
  <c r="J903" i="3" s="1"/>
  <c r="I903" i="3" a="1"/>
  <c r="I903" i="3" s="1"/>
  <c r="G903" i="3"/>
  <c r="J902" i="3" a="1"/>
  <c r="J902" i="3" s="1"/>
  <c r="I902" i="3" a="1"/>
  <c r="I902" i="3" s="1"/>
  <c r="G902" i="3"/>
  <c r="J901" i="3" a="1"/>
  <c r="J901" i="3" s="1"/>
  <c r="I901" i="3" a="1"/>
  <c r="I901" i="3" s="1"/>
  <c r="G901" i="3"/>
  <c r="J900" i="3" a="1"/>
  <c r="J900" i="3" s="1"/>
  <c r="I900" i="3" a="1"/>
  <c r="I900" i="3" s="1"/>
  <c r="G900" i="3"/>
  <c r="J899" i="3" a="1"/>
  <c r="J899" i="3" s="1"/>
  <c r="I899" i="3" a="1"/>
  <c r="I899" i="3" s="1"/>
  <c r="G899" i="3"/>
  <c r="J898" i="3" a="1"/>
  <c r="J898" i="3" s="1"/>
  <c r="I898" i="3" a="1"/>
  <c r="I898" i="3" s="1"/>
  <c r="G898" i="3"/>
  <c r="J897" i="3" a="1"/>
  <c r="J897" i="3" s="1"/>
  <c r="I897" i="3" a="1"/>
  <c r="I897" i="3" s="1"/>
  <c r="G897" i="3"/>
  <c r="J896" i="3" a="1"/>
  <c r="J896" i="3" s="1"/>
  <c r="I896" i="3" a="1"/>
  <c r="I896" i="3" s="1"/>
  <c r="G896" i="3"/>
  <c r="J895" i="3" a="1"/>
  <c r="J895" i="3" s="1"/>
  <c r="I895" i="3" a="1"/>
  <c r="I895" i="3" s="1"/>
  <c r="G895" i="3"/>
  <c r="J894" i="3" a="1"/>
  <c r="J894" i="3" s="1"/>
  <c r="I894" i="3" a="1"/>
  <c r="I894" i="3" s="1"/>
  <c r="G894" i="3"/>
  <c r="J893" i="3" a="1"/>
  <c r="J893" i="3" s="1"/>
  <c r="I893" i="3" a="1"/>
  <c r="I893" i="3" s="1"/>
  <c r="G893" i="3"/>
  <c r="J892" i="3" a="1"/>
  <c r="J892" i="3" s="1"/>
  <c r="I892" i="3" a="1"/>
  <c r="I892" i="3" s="1"/>
  <c r="G892" i="3"/>
  <c r="J891" i="3" a="1"/>
  <c r="J891" i="3" s="1"/>
  <c r="I891" i="3" a="1"/>
  <c r="I891" i="3" s="1"/>
  <c r="G891" i="3"/>
  <c r="J890" i="3" a="1"/>
  <c r="J890" i="3" s="1"/>
  <c r="I890" i="3" a="1"/>
  <c r="I890" i="3" s="1"/>
  <c r="G890" i="3"/>
  <c r="J889" i="3" a="1"/>
  <c r="J889" i="3" s="1"/>
  <c r="I889" i="3" a="1"/>
  <c r="I889" i="3" s="1"/>
  <c r="G889" i="3"/>
  <c r="J888" i="3" a="1"/>
  <c r="J888" i="3" s="1"/>
  <c r="I888" i="3" a="1"/>
  <c r="I888" i="3" s="1"/>
  <c r="G888" i="3"/>
  <c r="J887" i="3" a="1"/>
  <c r="J887" i="3" s="1"/>
  <c r="I887" i="3" a="1"/>
  <c r="I887" i="3" s="1"/>
  <c r="G887" i="3"/>
  <c r="J886" i="3" a="1"/>
  <c r="J886" i="3" s="1"/>
  <c r="I886" i="3" a="1"/>
  <c r="I886" i="3" s="1"/>
  <c r="G886" i="3"/>
  <c r="J885" i="3" a="1"/>
  <c r="J885" i="3" s="1"/>
  <c r="I885" i="3" a="1"/>
  <c r="I885" i="3" s="1"/>
  <c r="G885" i="3"/>
  <c r="J884" i="3" a="1"/>
  <c r="J884" i="3" s="1"/>
  <c r="I884" i="3" a="1"/>
  <c r="I884" i="3" s="1"/>
  <c r="G884" i="3"/>
  <c r="J883" i="3" a="1"/>
  <c r="J883" i="3" s="1"/>
  <c r="I883" i="3" a="1"/>
  <c r="I883" i="3" s="1"/>
  <c r="G883" i="3"/>
  <c r="J882" i="3" a="1"/>
  <c r="J882" i="3" s="1"/>
  <c r="I882" i="3" a="1"/>
  <c r="I882" i="3" s="1"/>
  <c r="G882" i="3"/>
  <c r="J881" i="3" a="1"/>
  <c r="J881" i="3" s="1"/>
  <c r="I881" i="3" a="1"/>
  <c r="I881" i="3" s="1"/>
  <c r="G881" i="3"/>
  <c r="J880" i="3" a="1"/>
  <c r="J880" i="3" s="1"/>
  <c r="I880" i="3" a="1"/>
  <c r="I880" i="3" s="1"/>
  <c r="G880" i="3"/>
  <c r="J879" i="3" a="1"/>
  <c r="J879" i="3" s="1"/>
  <c r="I879" i="3" a="1"/>
  <c r="I879" i="3" s="1"/>
  <c r="G879" i="3"/>
  <c r="J878" i="3" a="1"/>
  <c r="J878" i="3" s="1"/>
  <c r="I878" i="3" a="1"/>
  <c r="I878" i="3" s="1"/>
  <c r="G878" i="3"/>
  <c r="J877" i="3" a="1"/>
  <c r="J877" i="3" s="1"/>
  <c r="I877" i="3" a="1"/>
  <c r="I877" i="3" s="1"/>
  <c r="G877" i="3"/>
  <c r="J876" i="3" a="1"/>
  <c r="J876" i="3" s="1"/>
  <c r="I876" i="3" a="1"/>
  <c r="I876" i="3" s="1"/>
  <c r="G876" i="3"/>
  <c r="J875" i="3" a="1"/>
  <c r="J875" i="3" s="1"/>
  <c r="I875" i="3" a="1"/>
  <c r="I875" i="3" s="1"/>
  <c r="G875" i="3"/>
  <c r="J874" i="3" a="1"/>
  <c r="J874" i="3" s="1"/>
  <c r="I874" i="3" a="1"/>
  <c r="I874" i="3" s="1"/>
  <c r="G874" i="3"/>
  <c r="J873" i="3" a="1"/>
  <c r="J873" i="3" s="1"/>
  <c r="I873" i="3" a="1"/>
  <c r="I873" i="3" s="1"/>
  <c r="G873" i="3"/>
  <c r="J872" i="3" a="1"/>
  <c r="J872" i="3" s="1"/>
  <c r="I872" i="3" a="1"/>
  <c r="I872" i="3" s="1"/>
  <c r="G872" i="3"/>
  <c r="J871" i="3" a="1"/>
  <c r="J871" i="3" s="1"/>
  <c r="I871" i="3" a="1"/>
  <c r="I871" i="3" s="1"/>
  <c r="G871" i="3"/>
  <c r="J870" i="3" a="1"/>
  <c r="J870" i="3" s="1"/>
  <c r="I870" i="3" a="1"/>
  <c r="I870" i="3" s="1"/>
  <c r="G870" i="3"/>
  <c r="J869" i="3" a="1"/>
  <c r="J869" i="3" s="1"/>
  <c r="I869" i="3" a="1"/>
  <c r="I869" i="3" s="1"/>
  <c r="G869" i="3"/>
  <c r="J868" i="3" a="1"/>
  <c r="J868" i="3" s="1"/>
  <c r="I868" i="3" a="1"/>
  <c r="I868" i="3" s="1"/>
  <c r="G868" i="3"/>
  <c r="J867" i="3" a="1"/>
  <c r="J867" i="3" s="1"/>
  <c r="I867" i="3" a="1"/>
  <c r="I867" i="3" s="1"/>
  <c r="G867" i="3"/>
  <c r="J866" i="3" a="1"/>
  <c r="J866" i="3" s="1"/>
  <c r="I866" i="3" a="1"/>
  <c r="I866" i="3" s="1"/>
  <c r="G866" i="3"/>
  <c r="J865" i="3" a="1"/>
  <c r="J865" i="3" s="1"/>
  <c r="I865" i="3" a="1"/>
  <c r="I865" i="3" s="1"/>
  <c r="G865" i="3"/>
  <c r="J864" i="3" a="1"/>
  <c r="J864" i="3" s="1"/>
  <c r="I864" i="3" a="1"/>
  <c r="I864" i="3" s="1"/>
  <c r="G864" i="3"/>
  <c r="J863" i="3" a="1"/>
  <c r="J863" i="3" s="1"/>
  <c r="I863" i="3" a="1"/>
  <c r="I863" i="3" s="1"/>
  <c r="G863" i="3"/>
  <c r="J862" i="3" a="1"/>
  <c r="J862" i="3" s="1"/>
  <c r="I862" i="3" a="1"/>
  <c r="I862" i="3" s="1"/>
  <c r="G862" i="3"/>
  <c r="J861" i="3" a="1"/>
  <c r="J861" i="3" s="1"/>
  <c r="I861" i="3" a="1"/>
  <c r="I861" i="3" s="1"/>
  <c r="G861" i="3"/>
  <c r="J860" i="3" a="1"/>
  <c r="J860" i="3" s="1"/>
  <c r="I860" i="3" a="1"/>
  <c r="I860" i="3" s="1"/>
  <c r="G860" i="3"/>
  <c r="J859" i="3" a="1"/>
  <c r="J859" i="3" s="1"/>
  <c r="I859" i="3" a="1"/>
  <c r="I859" i="3" s="1"/>
  <c r="G859" i="3"/>
  <c r="J858" i="3" a="1"/>
  <c r="J858" i="3" s="1"/>
  <c r="I858" i="3" a="1"/>
  <c r="I858" i="3" s="1"/>
  <c r="G858" i="3"/>
  <c r="J857" i="3" a="1"/>
  <c r="J857" i="3" s="1"/>
  <c r="I857" i="3" a="1"/>
  <c r="I857" i="3" s="1"/>
  <c r="G857" i="3"/>
  <c r="J856" i="3" a="1"/>
  <c r="J856" i="3" s="1"/>
  <c r="I856" i="3" a="1"/>
  <c r="I856" i="3" s="1"/>
  <c r="G856" i="3"/>
  <c r="J855" i="3" a="1"/>
  <c r="J855" i="3" s="1"/>
  <c r="I855" i="3" a="1"/>
  <c r="I855" i="3" s="1"/>
  <c r="G855" i="3"/>
  <c r="J854" i="3" a="1"/>
  <c r="J854" i="3" s="1"/>
  <c r="I854" i="3" a="1"/>
  <c r="I854" i="3" s="1"/>
  <c r="G854" i="3"/>
  <c r="J853" i="3" a="1"/>
  <c r="J853" i="3" s="1"/>
  <c r="I853" i="3" a="1"/>
  <c r="I853" i="3" s="1"/>
  <c r="G853" i="3"/>
  <c r="J852" i="3" a="1"/>
  <c r="J852" i="3" s="1"/>
  <c r="I852" i="3" a="1"/>
  <c r="I852" i="3" s="1"/>
  <c r="G852" i="3"/>
  <c r="J851" i="3" a="1"/>
  <c r="J851" i="3" s="1"/>
  <c r="I851" i="3" a="1"/>
  <c r="I851" i="3" s="1"/>
  <c r="G851" i="3"/>
  <c r="J850" i="3" a="1"/>
  <c r="J850" i="3" s="1"/>
  <c r="I850" i="3" a="1"/>
  <c r="I850" i="3" s="1"/>
  <c r="G850" i="3"/>
  <c r="J849" i="3" a="1"/>
  <c r="J849" i="3" s="1"/>
  <c r="I849" i="3" a="1"/>
  <c r="I849" i="3" s="1"/>
  <c r="G849" i="3"/>
  <c r="J848" i="3" a="1"/>
  <c r="J848" i="3" s="1"/>
  <c r="I848" i="3" a="1"/>
  <c r="I848" i="3" s="1"/>
  <c r="G848" i="3"/>
  <c r="J847" i="3" a="1"/>
  <c r="J847" i="3" s="1"/>
  <c r="I847" i="3" a="1"/>
  <c r="I847" i="3" s="1"/>
  <c r="G847" i="3"/>
  <c r="J846" i="3" a="1"/>
  <c r="J846" i="3" s="1"/>
  <c r="I846" i="3" a="1"/>
  <c r="I846" i="3" s="1"/>
  <c r="G846" i="3"/>
  <c r="J845" i="3" a="1"/>
  <c r="J845" i="3" s="1"/>
  <c r="I845" i="3" a="1"/>
  <c r="I845" i="3" s="1"/>
  <c r="G845" i="3"/>
  <c r="J844" i="3" a="1"/>
  <c r="J844" i="3" s="1"/>
  <c r="I844" i="3" a="1"/>
  <c r="I844" i="3" s="1"/>
  <c r="G844" i="3"/>
  <c r="J843" i="3" a="1"/>
  <c r="J843" i="3" s="1"/>
  <c r="I843" i="3" a="1"/>
  <c r="I843" i="3" s="1"/>
  <c r="G843" i="3"/>
  <c r="J842" i="3" a="1"/>
  <c r="J842" i="3" s="1"/>
  <c r="I842" i="3" a="1"/>
  <c r="I842" i="3" s="1"/>
  <c r="G842" i="3"/>
  <c r="J841" i="3" a="1"/>
  <c r="J841" i="3" s="1"/>
  <c r="I841" i="3" a="1"/>
  <c r="I841" i="3" s="1"/>
  <c r="G841" i="3"/>
  <c r="J840" i="3" a="1"/>
  <c r="J840" i="3" s="1"/>
  <c r="I840" i="3" a="1"/>
  <c r="I840" i="3" s="1"/>
  <c r="G840" i="3"/>
  <c r="J839" i="3" a="1"/>
  <c r="J839" i="3" s="1"/>
  <c r="I839" i="3" a="1"/>
  <c r="I839" i="3" s="1"/>
  <c r="G839" i="3"/>
  <c r="J838" i="3" a="1"/>
  <c r="J838" i="3" s="1"/>
  <c r="I838" i="3" a="1"/>
  <c r="I838" i="3" s="1"/>
  <c r="G838" i="3"/>
  <c r="J837" i="3" a="1"/>
  <c r="J837" i="3" s="1"/>
  <c r="I837" i="3" a="1"/>
  <c r="I837" i="3" s="1"/>
  <c r="G837" i="3"/>
  <c r="J836" i="3" a="1"/>
  <c r="J836" i="3" s="1"/>
  <c r="I836" i="3" a="1"/>
  <c r="I836" i="3" s="1"/>
  <c r="G836" i="3"/>
  <c r="J835" i="3" a="1"/>
  <c r="J835" i="3" s="1"/>
  <c r="I835" i="3" a="1"/>
  <c r="I835" i="3" s="1"/>
  <c r="G835" i="3"/>
  <c r="J834" i="3" a="1"/>
  <c r="J834" i="3" s="1"/>
  <c r="I834" i="3" a="1"/>
  <c r="I834" i="3" s="1"/>
  <c r="G834" i="3"/>
  <c r="J833" i="3" a="1"/>
  <c r="J833" i="3" s="1"/>
  <c r="I833" i="3" a="1"/>
  <c r="I833" i="3" s="1"/>
  <c r="G833" i="3"/>
  <c r="J832" i="3" a="1"/>
  <c r="J832" i="3" s="1"/>
  <c r="I832" i="3" a="1"/>
  <c r="I832" i="3" s="1"/>
  <c r="G832" i="3"/>
  <c r="J831" i="3" a="1"/>
  <c r="J831" i="3" s="1"/>
  <c r="I831" i="3" a="1"/>
  <c r="I831" i="3" s="1"/>
  <c r="G831" i="3"/>
  <c r="J830" i="3" a="1"/>
  <c r="J830" i="3" s="1"/>
  <c r="I830" i="3" a="1"/>
  <c r="I830" i="3" s="1"/>
  <c r="G830" i="3"/>
  <c r="J829" i="3" a="1"/>
  <c r="J829" i="3" s="1"/>
  <c r="I829" i="3" a="1"/>
  <c r="I829" i="3" s="1"/>
  <c r="G829" i="3"/>
  <c r="J828" i="3" a="1"/>
  <c r="J828" i="3" s="1"/>
  <c r="I828" i="3" a="1"/>
  <c r="I828" i="3" s="1"/>
  <c r="G828" i="3"/>
  <c r="J827" i="3" a="1"/>
  <c r="J827" i="3" s="1"/>
  <c r="I827" i="3" a="1"/>
  <c r="I827" i="3" s="1"/>
  <c r="G827" i="3"/>
  <c r="J826" i="3" a="1"/>
  <c r="J826" i="3" s="1"/>
  <c r="I826" i="3" a="1"/>
  <c r="I826" i="3" s="1"/>
  <c r="G826" i="3"/>
  <c r="J825" i="3" a="1"/>
  <c r="J825" i="3" s="1"/>
  <c r="I825" i="3" a="1"/>
  <c r="I825" i="3" s="1"/>
  <c r="G825" i="3"/>
  <c r="J824" i="3" a="1"/>
  <c r="J824" i="3" s="1"/>
  <c r="I824" i="3" a="1"/>
  <c r="I824" i="3" s="1"/>
  <c r="G824" i="3"/>
  <c r="J823" i="3" a="1"/>
  <c r="J823" i="3" s="1"/>
  <c r="I823" i="3" a="1"/>
  <c r="I823" i="3" s="1"/>
  <c r="G823" i="3"/>
  <c r="J822" i="3" a="1"/>
  <c r="J822" i="3" s="1"/>
  <c r="I822" i="3" a="1"/>
  <c r="I822" i="3" s="1"/>
  <c r="G822" i="3"/>
  <c r="J821" i="3" a="1"/>
  <c r="J821" i="3" s="1"/>
  <c r="I821" i="3" a="1"/>
  <c r="I821" i="3" s="1"/>
  <c r="G821" i="3"/>
  <c r="J820" i="3" a="1"/>
  <c r="J820" i="3" s="1"/>
  <c r="I820" i="3" a="1"/>
  <c r="I820" i="3" s="1"/>
  <c r="G820" i="3"/>
  <c r="J819" i="3" a="1"/>
  <c r="J819" i="3" s="1"/>
  <c r="I819" i="3" a="1"/>
  <c r="I819" i="3" s="1"/>
  <c r="G819" i="3"/>
  <c r="J818" i="3" a="1"/>
  <c r="J818" i="3" s="1"/>
  <c r="I818" i="3" a="1"/>
  <c r="I818" i="3" s="1"/>
  <c r="G818" i="3"/>
  <c r="J817" i="3" a="1"/>
  <c r="J817" i="3" s="1"/>
  <c r="I817" i="3" a="1"/>
  <c r="I817" i="3" s="1"/>
  <c r="G817" i="3"/>
  <c r="J816" i="3" a="1"/>
  <c r="J816" i="3" s="1"/>
  <c r="I816" i="3" a="1"/>
  <c r="I816" i="3" s="1"/>
  <c r="G816" i="3"/>
  <c r="J815" i="3" a="1"/>
  <c r="J815" i="3" s="1"/>
  <c r="I815" i="3" a="1"/>
  <c r="I815" i="3" s="1"/>
  <c r="G815" i="3"/>
  <c r="J814" i="3" a="1"/>
  <c r="J814" i="3" s="1"/>
  <c r="I814" i="3" a="1"/>
  <c r="I814" i="3" s="1"/>
  <c r="G814" i="3"/>
  <c r="J813" i="3" a="1"/>
  <c r="J813" i="3" s="1"/>
  <c r="I813" i="3" a="1"/>
  <c r="I813" i="3" s="1"/>
  <c r="G813" i="3"/>
  <c r="J812" i="3" a="1"/>
  <c r="J812" i="3" s="1"/>
  <c r="I812" i="3" a="1"/>
  <c r="I812" i="3" s="1"/>
  <c r="G812" i="3"/>
  <c r="J811" i="3" a="1"/>
  <c r="J811" i="3" s="1"/>
  <c r="I811" i="3" a="1"/>
  <c r="I811" i="3" s="1"/>
  <c r="G811" i="3"/>
  <c r="J810" i="3" a="1"/>
  <c r="J810" i="3" s="1"/>
  <c r="I810" i="3" a="1"/>
  <c r="I810" i="3" s="1"/>
  <c r="G810" i="3"/>
  <c r="J809" i="3" a="1"/>
  <c r="J809" i="3" s="1"/>
  <c r="I809" i="3" a="1"/>
  <c r="I809" i="3" s="1"/>
  <c r="G809" i="3"/>
  <c r="J808" i="3" a="1"/>
  <c r="J808" i="3" s="1"/>
  <c r="I808" i="3" a="1"/>
  <c r="I808" i="3" s="1"/>
  <c r="G808" i="3"/>
  <c r="J807" i="3" a="1"/>
  <c r="J807" i="3" s="1"/>
  <c r="I807" i="3" a="1"/>
  <c r="I807" i="3" s="1"/>
  <c r="G807" i="3"/>
  <c r="J806" i="3" a="1"/>
  <c r="J806" i="3" s="1"/>
  <c r="I806" i="3" a="1"/>
  <c r="I806" i="3" s="1"/>
  <c r="G806" i="3"/>
  <c r="J805" i="3" a="1"/>
  <c r="J805" i="3" s="1"/>
  <c r="I805" i="3" a="1"/>
  <c r="I805" i="3" s="1"/>
  <c r="G805" i="3"/>
  <c r="J804" i="3" a="1"/>
  <c r="J804" i="3" s="1"/>
  <c r="I804" i="3" a="1"/>
  <c r="I804" i="3" s="1"/>
  <c r="G804" i="3"/>
  <c r="J803" i="3" a="1"/>
  <c r="J803" i="3" s="1"/>
  <c r="I803" i="3" a="1"/>
  <c r="I803" i="3" s="1"/>
  <c r="G803" i="3"/>
  <c r="J802" i="3" a="1"/>
  <c r="J802" i="3" s="1"/>
  <c r="I802" i="3" a="1"/>
  <c r="I802" i="3" s="1"/>
  <c r="G802" i="3"/>
  <c r="J801" i="3" a="1"/>
  <c r="J801" i="3" s="1"/>
  <c r="I801" i="3" a="1"/>
  <c r="I801" i="3" s="1"/>
  <c r="G801" i="3"/>
  <c r="J800" i="3" a="1"/>
  <c r="J800" i="3" s="1"/>
  <c r="I800" i="3" a="1"/>
  <c r="I800" i="3" s="1"/>
  <c r="G800" i="3"/>
  <c r="J799" i="3" a="1"/>
  <c r="J799" i="3" s="1"/>
  <c r="I799" i="3" a="1"/>
  <c r="I799" i="3" s="1"/>
  <c r="G799" i="3"/>
  <c r="J798" i="3" a="1"/>
  <c r="J798" i="3" s="1"/>
  <c r="I798" i="3" a="1"/>
  <c r="I798" i="3" s="1"/>
  <c r="G798" i="3"/>
  <c r="J797" i="3" a="1"/>
  <c r="J797" i="3" s="1"/>
  <c r="I797" i="3" a="1"/>
  <c r="I797" i="3" s="1"/>
  <c r="G797" i="3"/>
  <c r="J796" i="3" a="1"/>
  <c r="J796" i="3" s="1"/>
  <c r="I796" i="3" a="1"/>
  <c r="I796" i="3" s="1"/>
  <c r="G796" i="3"/>
  <c r="J795" i="3" a="1"/>
  <c r="J795" i="3" s="1"/>
  <c r="I795" i="3" a="1"/>
  <c r="I795" i="3" s="1"/>
  <c r="G795" i="3"/>
  <c r="J794" i="3" a="1"/>
  <c r="J794" i="3" s="1"/>
  <c r="I794" i="3" a="1"/>
  <c r="I794" i="3" s="1"/>
  <c r="G794" i="3"/>
  <c r="J793" i="3" a="1"/>
  <c r="J793" i="3" s="1"/>
  <c r="I793" i="3" a="1"/>
  <c r="I793" i="3" s="1"/>
  <c r="G793" i="3"/>
  <c r="J792" i="3" a="1"/>
  <c r="J792" i="3" s="1"/>
  <c r="I792" i="3" a="1"/>
  <c r="I792" i="3" s="1"/>
  <c r="G792" i="3"/>
  <c r="J791" i="3" a="1"/>
  <c r="J791" i="3" s="1"/>
  <c r="I791" i="3" a="1"/>
  <c r="I791" i="3" s="1"/>
  <c r="G791" i="3"/>
  <c r="J790" i="3" a="1"/>
  <c r="J790" i="3" s="1"/>
  <c r="I790" i="3" a="1"/>
  <c r="I790" i="3" s="1"/>
  <c r="G790" i="3"/>
  <c r="J789" i="3" a="1"/>
  <c r="J789" i="3" s="1"/>
  <c r="I789" i="3" a="1"/>
  <c r="I789" i="3" s="1"/>
  <c r="G789" i="3"/>
  <c r="J788" i="3" a="1"/>
  <c r="J788" i="3" s="1"/>
  <c r="I788" i="3" a="1"/>
  <c r="I788" i="3" s="1"/>
  <c r="G788" i="3"/>
  <c r="J787" i="3" a="1"/>
  <c r="J787" i="3" s="1"/>
  <c r="I787" i="3" a="1"/>
  <c r="I787" i="3" s="1"/>
  <c r="G787" i="3"/>
  <c r="J786" i="3" a="1"/>
  <c r="J786" i="3" s="1"/>
  <c r="I786" i="3" a="1"/>
  <c r="I786" i="3" s="1"/>
  <c r="G786" i="3"/>
  <c r="J785" i="3" a="1"/>
  <c r="J785" i="3" s="1"/>
  <c r="I785" i="3" a="1"/>
  <c r="I785" i="3" s="1"/>
  <c r="G785" i="3"/>
  <c r="J784" i="3" a="1"/>
  <c r="J784" i="3" s="1"/>
  <c r="I784" i="3" a="1"/>
  <c r="I784" i="3" s="1"/>
  <c r="G784" i="3"/>
  <c r="J783" i="3" a="1"/>
  <c r="J783" i="3" s="1"/>
  <c r="I783" i="3" a="1"/>
  <c r="I783" i="3" s="1"/>
  <c r="G783" i="3"/>
  <c r="J782" i="3" a="1"/>
  <c r="J782" i="3" s="1"/>
  <c r="I782" i="3" a="1"/>
  <c r="I782" i="3" s="1"/>
  <c r="G782" i="3"/>
  <c r="J781" i="3" a="1"/>
  <c r="J781" i="3" s="1"/>
  <c r="I781" i="3" a="1"/>
  <c r="I781" i="3" s="1"/>
  <c r="G781" i="3"/>
  <c r="J780" i="3" a="1"/>
  <c r="J780" i="3" s="1"/>
  <c r="I780" i="3" a="1"/>
  <c r="I780" i="3" s="1"/>
  <c r="G780" i="3"/>
  <c r="J779" i="3" a="1"/>
  <c r="J779" i="3" s="1"/>
  <c r="I779" i="3" a="1"/>
  <c r="I779" i="3" s="1"/>
  <c r="G779" i="3"/>
  <c r="J778" i="3" a="1"/>
  <c r="J778" i="3" s="1"/>
  <c r="I778" i="3" a="1"/>
  <c r="I778" i="3" s="1"/>
  <c r="G778" i="3"/>
  <c r="J777" i="3" a="1"/>
  <c r="J777" i="3" s="1"/>
  <c r="I777" i="3" a="1"/>
  <c r="I777" i="3" s="1"/>
  <c r="G777" i="3"/>
  <c r="J776" i="3" a="1"/>
  <c r="J776" i="3" s="1"/>
  <c r="I776" i="3" a="1"/>
  <c r="I776" i="3" s="1"/>
  <c r="G776" i="3"/>
  <c r="J775" i="3" a="1"/>
  <c r="J775" i="3" s="1"/>
  <c r="I775" i="3" a="1"/>
  <c r="I775" i="3" s="1"/>
  <c r="G775" i="3"/>
  <c r="J774" i="3" a="1"/>
  <c r="J774" i="3" s="1"/>
  <c r="I774" i="3" a="1"/>
  <c r="I774" i="3" s="1"/>
  <c r="G774" i="3"/>
  <c r="J773" i="3" a="1"/>
  <c r="J773" i="3" s="1"/>
  <c r="I773" i="3" a="1"/>
  <c r="I773" i="3" s="1"/>
  <c r="G773" i="3"/>
  <c r="J772" i="3" a="1"/>
  <c r="J772" i="3" s="1"/>
  <c r="I772" i="3" a="1"/>
  <c r="I772" i="3" s="1"/>
  <c r="G772" i="3"/>
  <c r="J771" i="3" a="1"/>
  <c r="J771" i="3" s="1"/>
  <c r="I771" i="3" a="1"/>
  <c r="I771" i="3" s="1"/>
  <c r="G771" i="3"/>
  <c r="J770" i="3" a="1"/>
  <c r="J770" i="3" s="1"/>
  <c r="I770" i="3" a="1"/>
  <c r="I770" i="3" s="1"/>
  <c r="G770" i="3"/>
  <c r="J769" i="3" a="1"/>
  <c r="J769" i="3" s="1"/>
  <c r="I769" i="3" a="1"/>
  <c r="I769" i="3" s="1"/>
  <c r="G769" i="3"/>
  <c r="J768" i="3" a="1"/>
  <c r="J768" i="3" s="1"/>
  <c r="I768" i="3" a="1"/>
  <c r="I768" i="3" s="1"/>
  <c r="G768" i="3"/>
  <c r="J767" i="3" a="1"/>
  <c r="J767" i="3" s="1"/>
  <c r="I767" i="3" a="1"/>
  <c r="I767" i="3" s="1"/>
  <c r="G767" i="3"/>
  <c r="J766" i="3" a="1"/>
  <c r="J766" i="3" s="1"/>
  <c r="I766" i="3" a="1"/>
  <c r="I766" i="3" s="1"/>
  <c r="G766" i="3"/>
  <c r="J765" i="3" a="1"/>
  <c r="J765" i="3" s="1"/>
  <c r="I765" i="3" a="1"/>
  <c r="I765" i="3" s="1"/>
  <c r="G765" i="3"/>
  <c r="J764" i="3" a="1"/>
  <c r="J764" i="3" s="1"/>
  <c r="I764" i="3" a="1"/>
  <c r="I764" i="3" s="1"/>
  <c r="G764" i="3"/>
  <c r="J763" i="3" a="1"/>
  <c r="J763" i="3" s="1"/>
  <c r="I763" i="3" a="1"/>
  <c r="I763" i="3" s="1"/>
  <c r="G763" i="3"/>
  <c r="J762" i="3" a="1"/>
  <c r="J762" i="3" s="1"/>
  <c r="I762" i="3" a="1"/>
  <c r="I762" i="3" s="1"/>
  <c r="G762" i="3"/>
  <c r="J761" i="3" a="1"/>
  <c r="J761" i="3" s="1"/>
  <c r="I761" i="3" a="1"/>
  <c r="I761" i="3" s="1"/>
  <c r="G761" i="3"/>
  <c r="J760" i="3" a="1"/>
  <c r="J760" i="3" s="1"/>
  <c r="I760" i="3" a="1"/>
  <c r="I760" i="3" s="1"/>
  <c r="G760" i="3"/>
  <c r="J759" i="3" a="1"/>
  <c r="J759" i="3" s="1"/>
  <c r="I759" i="3" a="1"/>
  <c r="I759" i="3" s="1"/>
  <c r="G759" i="3"/>
  <c r="J758" i="3" a="1"/>
  <c r="J758" i="3" s="1"/>
  <c r="I758" i="3" a="1"/>
  <c r="I758" i="3" s="1"/>
  <c r="G758" i="3"/>
  <c r="J757" i="3" a="1"/>
  <c r="J757" i="3" s="1"/>
  <c r="I757" i="3" a="1"/>
  <c r="I757" i="3" s="1"/>
  <c r="G757" i="3"/>
  <c r="J756" i="3" a="1"/>
  <c r="J756" i="3" s="1"/>
  <c r="I756" i="3" a="1"/>
  <c r="I756" i="3" s="1"/>
  <c r="G756" i="3"/>
  <c r="J755" i="3" a="1"/>
  <c r="J755" i="3" s="1"/>
  <c r="I755" i="3" a="1"/>
  <c r="I755" i="3" s="1"/>
  <c r="G755" i="3"/>
  <c r="J754" i="3" a="1"/>
  <c r="J754" i="3" s="1"/>
  <c r="I754" i="3" a="1"/>
  <c r="I754" i="3" s="1"/>
  <c r="G754" i="3"/>
  <c r="J753" i="3" a="1"/>
  <c r="J753" i="3" s="1"/>
  <c r="I753" i="3" a="1"/>
  <c r="I753" i="3" s="1"/>
  <c r="G753" i="3"/>
  <c r="J752" i="3" a="1"/>
  <c r="J752" i="3" s="1"/>
  <c r="I752" i="3" a="1"/>
  <c r="I752" i="3" s="1"/>
  <c r="G752" i="3"/>
  <c r="J751" i="3" a="1"/>
  <c r="J751" i="3" s="1"/>
  <c r="I751" i="3" a="1"/>
  <c r="I751" i="3" s="1"/>
  <c r="G751" i="3"/>
  <c r="J750" i="3" a="1"/>
  <c r="J750" i="3" s="1"/>
  <c r="I750" i="3" a="1"/>
  <c r="I750" i="3" s="1"/>
  <c r="G750" i="3"/>
  <c r="J749" i="3" a="1"/>
  <c r="J749" i="3" s="1"/>
  <c r="I749" i="3" a="1"/>
  <c r="I749" i="3" s="1"/>
  <c r="G749" i="3"/>
  <c r="J748" i="3" a="1"/>
  <c r="J748" i="3" s="1"/>
  <c r="I748" i="3" a="1"/>
  <c r="I748" i="3" s="1"/>
  <c r="G748" i="3"/>
  <c r="J747" i="3" a="1"/>
  <c r="J747" i="3" s="1"/>
  <c r="I747" i="3" a="1"/>
  <c r="I747" i="3" s="1"/>
  <c r="G747" i="3"/>
  <c r="J746" i="3" a="1"/>
  <c r="J746" i="3" s="1"/>
  <c r="I746" i="3" a="1"/>
  <c r="I746" i="3" s="1"/>
  <c r="G746" i="3"/>
  <c r="J745" i="3" a="1"/>
  <c r="J745" i="3" s="1"/>
  <c r="I745" i="3" a="1"/>
  <c r="I745" i="3" s="1"/>
  <c r="G745" i="3"/>
  <c r="J744" i="3" a="1"/>
  <c r="J744" i="3" s="1"/>
  <c r="I744" i="3" a="1"/>
  <c r="I744" i="3" s="1"/>
  <c r="G744" i="3"/>
  <c r="J743" i="3" a="1"/>
  <c r="J743" i="3" s="1"/>
  <c r="I743" i="3" a="1"/>
  <c r="I743" i="3" s="1"/>
  <c r="G743" i="3"/>
  <c r="J742" i="3" a="1"/>
  <c r="J742" i="3" s="1"/>
  <c r="I742" i="3" a="1"/>
  <c r="I742" i="3" s="1"/>
  <c r="G742" i="3"/>
  <c r="J741" i="3" a="1"/>
  <c r="J741" i="3" s="1"/>
  <c r="I741" i="3" a="1"/>
  <c r="I741" i="3" s="1"/>
  <c r="G741" i="3"/>
  <c r="J740" i="3" a="1"/>
  <c r="J740" i="3" s="1"/>
  <c r="I740" i="3" a="1"/>
  <c r="I740" i="3" s="1"/>
  <c r="G740" i="3"/>
  <c r="J739" i="3" a="1"/>
  <c r="J739" i="3" s="1"/>
  <c r="I739" i="3" a="1"/>
  <c r="I739" i="3" s="1"/>
  <c r="G739" i="3"/>
  <c r="J738" i="3" a="1"/>
  <c r="J738" i="3" s="1"/>
  <c r="I738" i="3" a="1"/>
  <c r="I738" i="3" s="1"/>
  <c r="G738" i="3"/>
  <c r="J737" i="3" a="1"/>
  <c r="J737" i="3" s="1"/>
  <c r="I737" i="3" a="1"/>
  <c r="I737" i="3" s="1"/>
  <c r="G737" i="3"/>
  <c r="J736" i="3" a="1"/>
  <c r="J736" i="3" s="1"/>
  <c r="I736" i="3" a="1"/>
  <c r="I736" i="3" s="1"/>
  <c r="G736" i="3"/>
  <c r="J735" i="3" a="1"/>
  <c r="J735" i="3" s="1"/>
  <c r="I735" i="3" a="1"/>
  <c r="I735" i="3" s="1"/>
  <c r="G735" i="3"/>
  <c r="J734" i="3" a="1"/>
  <c r="J734" i="3" s="1"/>
  <c r="I734" i="3" a="1"/>
  <c r="I734" i="3" s="1"/>
  <c r="G734" i="3"/>
  <c r="J733" i="3" a="1"/>
  <c r="J733" i="3" s="1"/>
  <c r="I733" i="3" a="1"/>
  <c r="I733" i="3" s="1"/>
  <c r="G733" i="3"/>
  <c r="J732" i="3" a="1"/>
  <c r="J732" i="3" s="1"/>
  <c r="I732" i="3" a="1"/>
  <c r="I732" i="3" s="1"/>
  <c r="G732" i="3"/>
  <c r="J731" i="3" a="1"/>
  <c r="J731" i="3" s="1"/>
  <c r="I731" i="3" a="1"/>
  <c r="I731" i="3" s="1"/>
  <c r="G731" i="3"/>
  <c r="J730" i="3" a="1"/>
  <c r="J730" i="3" s="1"/>
  <c r="I730" i="3" a="1"/>
  <c r="I730" i="3" s="1"/>
  <c r="G730" i="3"/>
  <c r="J729" i="3" a="1"/>
  <c r="J729" i="3" s="1"/>
  <c r="I729" i="3" a="1"/>
  <c r="I729" i="3" s="1"/>
  <c r="G729" i="3"/>
  <c r="J728" i="3" a="1"/>
  <c r="J728" i="3" s="1"/>
  <c r="I728" i="3" a="1"/>
  <c r="I728" i="3" s="1"/>
  <c r="G728" i="3"/>
  <c r="J727" i="3" a="1"/>
  <c r="J727" i="3" s="1"/>
  <c r="I727" i="3" a="1"/>
  <c r="I727" i="3" s="1"/>
  <c r="G727" i="3"/>
  <c r="J726" i="3" a="1"/>
  <c r="J726" i="3" s="1"/>
  <c r="I726" i="3" a="1"/>
  <c r="I726" i="3" s="1"/>
  <c r="G726" i="3"/>
  <c r="J725" i="3" a="1"/>
  <c r="J725" i="3" s="1"/>
  <c r="I725" i="3" a="1"/>
  <c r="I725" i="3" s="1"/>
  <c r="G725" i="3"/>
  <c r="J724" i="3" a="1"/>
  <c r="J724" i="3" s="1"/>
  <c r="I724" i="3" a="1"/>
  <c r="I724" i="3" s="1"/>
  <c r="G724" i="3"/>
  <c r="J723" i="3" a="1"/>
  <c r="J723" i="3" s="1"/>
  <c r="I723" i="3" a="1"/>
  <c r="I723" i="3" s="1"/>
  <c r="G723" i="3"/>
  <c r="J722" i="3" a="1"/>
  <c r="J722" i="3" s="1"/>
  <c r="I722" i="3" a="1"/>
  <c r="I722" i="3" s="1"/>
  <c r="G722" i="3"/>
  <c r="J721" i="3" a="1"/>
  <c r="J721" i="3" s="1"/>
  <c r="I721" i="3" a="1"/>
  <c r="I721" i="3" s="1"/>
  <c r="G721" i="3"/>
  <c r="J720" i="3" a="1"/>
  <c r="J720" i="3" s="1"/>
  <c r="I720" i="3" a="1"/>
  <c r="I720" i="3" s="1"/>
  <c r="G720" i="3"/>
  <c r="J719" i="3" a="1"/>
  <c r="J719" i="3" s="1"/>
  <c r="I719" i="3" a="1"/>
  <c r="I719" i="3" s="1"/>
  <c r="G719" i="3"/>
  <c r="J718" i="3" a="1"/>
  <c r="J718" i="3" s="1"/>
  <c r="I718" i="3" a="1"/>
  <c r="I718" i="3" s="1"/>
  <c r="G718" i="3"/>
  <c r="J717" i="3" a="1"/>
  <c r="J717" i="3" s="1"/>
  <c r="I717" i="3" a="1"/>
  <c r="I717" i="3" s="1"/>
  <c r="G717" i="3"/>
  <c r="J716" i="3" a="1"/>
  <c r="J716" i="3" s="1"/>
  <c r="I716" i="3" a="1"/>
  <c r="I716" i="3" s="1"/>
  <c r="G716" i="3"/>
  <c r="J715" i="3" a="1"/>
  <c r="J715" i="3" s="1"/>
  <c r="I715" i="3" a="1"/>
  <c r="I715" i="3" s="1"/>
  <c r="G715" i="3"/>
  <c r="J714" i="3" a="1"/>
  <c r="J714" i="3" s="1"/>
  <c r="I714" i="3" a="1"/>
  <c r="I714" i="3" s="1"/>
  <c r="G714" i="3"/>
  <c r="J713" i="3" a="1"/>
  <c r="J713" i="3" s="1"/>
  <c r="I713" i="3" a="1"/>
  <c r="I713" i="3" s="1"/>
  <c r="G713" i="3"/>
  <c r="J712" i="3" a="1"/>
  <c r="J712" i="3" s="1"/>
  <c r="I712" i="3" a="1"/>
  <c r="I712" i="3" s="1"/>
  <c r="G712" i="3"/>
  <c r="J711" i="3" a="1"/>
  <c r="J711" i="3" s="1"/>
  <c r="I711" i="3" a="1"/>
  <c r="I711" i="3" s="1"/>
  <c r="G711" i="3"/>
  <c r="J710" i="3" a="1"/>
  <c r="J710" i="3" s="1"/>
  <c r="I710" i="3" a="1"/>
  <c r="I710" i="3" s="1"/>
  <c r="G710" i="3"/>
  <c r="J709" i="3" a="1"/>
  <c r="J709" i="3" s="1"/>
  <c r="I709" i="3" a="1"/>
  <c r="I709" i="3" s="1"/>
  <c r="G709" i="3"/>
  <c r="J708" i="3" a="1"/>
  <c r="J708" i="3" s="1"/>
  <c r="I708" i="3" a="1"/>
  <c r="I708" i="3" s="1"/>
  <c r="G708" i="3"/>
  <c r="J707" i="3" a="1"/>
  <c r="J707" i="3" s="1"/>
  <c r="I707" i="3" a="1"/>
  <c r="I707" i="3" s="1"/>
  <c r="G707" i="3"/>
  <c r="J706" i="3" a="1"/>
  <c r="J706" i="3" s="1"/>
  <c r="I706" i="3" a="1"/>
  <c r="I706" i="3" s="1"/>
  <c r="G706" i="3"/>
  <c r="J705" i="3" a="1"/>
  <c r="J705" i="3" s="1"/>
  <c r="I705" i="3" a="1"/>
  <c r="I705" i="3" s="1"/>
  <c r="G705" i="3"/>
  <c r="J704" i="3" a="1"/>
  <c r="J704" i="3" s="1"/>
  <c r="I704" i="3" a="1"/>
  <c r="I704" i="3" s="1"/>
  <c r="G704" i="3"/>
  <c r="J703" i="3" a="1"/>
  <c r="J703" i="3" s="1"/>
  <c r="I703" i="3" a="1"/>
  <c r="I703" i="3" s="1"/>
  <c r="G703" i="3"/>
  <c r="J702" i="3" a="1"/>
  <c r="J702" i="3" s="1"/>
  <c r="I702" i="3" a="1"/>
  <c r="I702" i="3" s="1"/>
  <c r="G702" i="3"/>
  <c r="J701" i="3" a="1"/>
  <c r="J701" i="3" s="1"/>
  <c r="I701" i="3" a="1"/>
  <c r="I701" i="3" s="1"/>
  <c r="G701" i="3"/>
  <c r="J700" i="3" a="1"/>
  <c r="J700" i="3" s="1"/>
  <c r="I700" i="3" a="1"/>
  <c r="I700" i="3" s="1"/>
  <c r="G700" i="3"/>
  <c r="J699" i="3" a="1"/>
  <c r="J699" i="3" s="1"/>
  <c r="I699" i="3" a="1"/>
  <c r="I699" i="3" s="1"/>
  <c r="G699" i="3"/>
  <c r="J698" i="3" a="1"/>
  <c r="J698" i="3" s="1"/>
  <c r="I698" i="3" a="1"/>
  <c r="I698" i="3" s="1"/>
  <c r="G698" i="3"/>
  <c r="J697" i="3" a="1"/>
  <c r="J697" i="3" s="1"/>
  <c r="I697" i="3" a="1"/>
  <c r="I697" i="3" s="1"/>
  <c r="G697" i="3"/>
  <c r="J696" i="3" a="1"/>
  <c r="J696" i="3" s="1"/>
  <c r="I696" i="3" a="1"/>
  <c r="I696" i="3" s="1"/>
  <c r="G696" i="3"/>
  <c r="J695" i="3" a="1"/>
  <c r="J695" i="3" s="1"/>
  <c r="I695" i="3" a="1"/>
  <c r="I695" i="3" s="1"/>
  <c r="G695" i="3"/>
  <c r="J694" i="3" a="1"/>
  <c r="J694" i="3" s="1"/>
  <c r="I694" i="3" a="1"/>
  <c r="I694" i="3" s="1"/>
  <c r="G694" i="3"/>
  <c r="J693" i="3" a="1"/>
  <c r="J693" i="3" s="1"/>
  <c r="I693" i="3" a="1"/>
  <c r="I693" i="3" s="1"/>
  <c r="G693" i="3"/>
  <c r="J692" i="3" a="1"/>
  <c r="J692" i="3" s="1"/>
  <c r="I692" i="3" a="1"/>
  <c r="I692" i="3" s="1"/>
  <c r="G692" i="3"/>
  <c r="J691" i="3" a="1"/>
  <c r="J691" i="3" s="1"/>
  <c r="I691" i="3" a="1"/>
  <c r="I691" i="3" s="1"/>
  <c r="G691" i="3"/>
  <c r="J690" i="3" a="1"/>
  <c r="J690" i="3" s="1"/>
  <c r="I690" i="3" a="1"/>
  <c r="I690" i="3" s="1"/>
  <c r="G690" i="3"/>
  <c r="J689" i="3" a="1"/>
  <c r="J689" i="3" s="1"/>
  <c r="I689" i="3" a="1"/>
  <c r="I689" i="3" s="1"/>
  <c r="G689" i="3"/>
  <c r="J688" i="3" a="1"/>
  <c r="J688" i="3" s="1"/>
  <c r="I688" i="3" a="1"/>
  <c r="I688" i="3" s="1"/>
  <c r="G688" i="3"/>
  <c r="J687" i="3" a="1"/>
  <c r="J687" i="3" s="1"/>
  <c r="I687" i="3" a="1"/>
  <c r="I687" i="3" s="1"/>
  <c r="G687" i="3"/>
  <c r="J686" i="3" a="1"/>
  <c r="J686" i="3" s="1"/>
  <c r="I686" i="3" a="1"/>
  <c r="I686" i="3" s="1"/>
  <c r="G686" i="3"/>
  <c r="J685" i="3" a="1"/>
  <c r="J685" i="3" s="1"/>
  <c r="I685" i="3" a="1"/>
  <c r="I685" i="3" s="1"/>
  <c r="G685" i="3"/>
  <c r="J684" i="3" a="1"/>
  <c r="J684" i="3" s="1"/>
  <c r="I684" i="3" a="1"/>
  <c r="I684" i="3" s="1"/>
  <c r="G684" i="3"/>
  <c r="J683" i="3" a="1"/>
  <c r="J683" i="3" s="1"/>
  <c r="I683" i="3" a="1"/>
  <c r="I683" i="3" s="1"/>
  <c r="G683" i="3"/>
  <c r="J682" i="3" a="1"/>
  <c r="J682" i="3" s="1"/>
  <c r="I682" i="3" a="1"/>
  <c r="I682" i="3" s="1"/>
  <c r="G682" i="3"/>
  <c r="J681" i="3" a="1"/>
  <c r="J681" i="3" s="1"/>
  <c r="I681" i="3" a="1"/>
  <c r="I681" i="3" s="1"/>
  <c r="G681" i="3"/>
  <c r="J680" i="3" a="1"/>
  <c r="J680" i="3" s="1"/>
  <c r="I680" i="3" a="1"/>
  <c r="I680" i="3" s="1"/>
  <c r="G680" i="3"/>
  <c r="J679" i="3" a="1"/>
  <c r="J679" i="3" s="1"/>
  <c r="I679" i="3" a="1"/>
  <c r="I679" i="3" s="1"/>
  <c r="G679" i="3"/>
  <c r="J678" i="3" a="1"/>
  <c r="J678" i="3" s="1"/>
  <c r="I678" i="3" a="1"/>
  <c r="I678" i="3" s="1"/>
  <c r="G678" i="3"/>
  <c r="J677" i="3" a="1"/>
  <c r="J677" i="3" s="1"/>
  <c r="I677" i="3" a="1"/>
  <c r="I677" i="3" s="1"/>
  <c r="G677" i="3"/>
  <c r="J676" i="3" a="1"/>
  <c r="J676" i="3" s="1"/>
  <c r="I676" i="3" a="1"/>
  <c r="I676" i="3" s="1"/>
  <c r="G676" i="3"/>
  <c r="J675" i="3" a="1"/>
  <c r="J675" i="3" s="1"/>
  <c r="I675" i="3" a="1"/>
  <c r="I675" i="3" s="1"/>
  <c r="G675" i="3"/>
  <c r="J674" i="3" a="1"/>
  <c r="J674" i="3" s="1"/>
  <c r="I674" i="3" a="1"/>
  <c r="I674" i="3" s="1"/>
  <c r="G674" i="3"/>
  <c r="J673" i="3" a="1"/>
  <c r="J673" i="3" s="1"/>
  <c r="I673" i="3" a="1"/>
  <c r="I673" i="3" s="1"/>
  <c r="G673" i="3"/>
  <c r="J672" i="3" a="1"/>
  <c r="J672" i="3" s="1"/>
  <c r="I672" i="3" a="1"/>
  <c r="I672" i="3" s="1"/>
  <c r="G672" i="3"/>
  <c r="J671" i="3" a="1"/>
  <c r="J671" i="3" s="1"/>
  <c r="I671" i="3" a="1"/>
  <c r="I671" i="3" s="1"/>
  <c r="G671" i="3"/>
  <c r="J670" i="3" a="1"/>
  <c r="J670" i="3" s="1"/>
  <c r="I670" i="3" a="1"/>
  <c r="I670" i="3" s="1"/>
  <c r="G670" i="3"/>
  <c r="J669" i="3" a="1"/>
  <c r="J669" i="3" s="1"/>
  <c r="I669" i="3" a="1"/>
  <c r="I669" i="3" s="1"/>
  <c r="G669" i="3"/>
  <c r="J668" i="3" a="1"/>
  <c r="J668" i="3" s="1"/>
  <c r="I668" i="3" a="1"/>
  <c r="I668" i="3" s="1"/>
  <c r="G668" i="3"/>
  <c r="J667" i="3" a="1"/>
  <c r="J667" i="3" s="1"/>
  <c r="I667" i="3" a="1"/>
  <c r="I667" i="3" s="1"/>
  <c r="G667" i="3"/>
  <c r="J666" i="3" a="1"/>
  <c r="J666" i="3" s="1"/>
  <c r="I666" i="3" a="1"/>
  <c r="I666" i="3" s="1"/>
  <c r="G666" i="3"/>
  <c r="J665" i="3" a="1"/>
  <c r="J665" i="3" s="1"/>
  <c r="I665" i="3" a="1"/>
  <c r="I665" i="3" s="1"/>
  <c r="G665" i="3"/>
  <c r="J664" i="3" a="1"/>
  <c r="J664" i="3" s="1"/>
  <c r="I664" i="3" a="1"/>
  <c r="I664" i="3" s="1"/>
  <c r="G664" i="3"/>
  <c r="J663" i="3" a="1"/>
  <c r="J663" i="3" s="1"/>
  <c r="I663" i="3" a="1"/>
  <c r="I663" i="3" s="1"/>
  <c r="G663" i="3"/>
  <c r="J662" i="3" a="1"/>
  <c r="J662" i="3" s="1"/>
  <c r="I662" i="3" a="1"/>
  <c r="I662" i="3" s="1"/>
  <c r="G662" i="3"/>
  <c r="J661" i="3" a="1"/>
  <c r="J661" i="3" s="1"/>
  <c r="I661" i="3" a="1"/>
  <c r="I661" i="3" s="1"/>
  <c r="G661" i="3"/>
  <c r="J660" i="3" a="1"/>
  <c r="J660" i="3" s="1"/>
  <c r="I660" i="3" a="1"/>
  <c r="I660" i="3" s="1"/>
  <c r="G660" i="3"/>
  <c r="J659" i="3" a="1"/>
  <c r="J659" i="3" s="1"/>
  <c r="I659" i="3" a="1"/>
  <c r="I659" i="3" s="1"/>
  <c r="G659" i="3"/>
  <c r="J658" i="3" a="1"/>
  <c r="J658" i="3" s="1"/>
  <c r="I658" i="3" a="1"/>
  <c r="I658" i="3" s="1"/>
  <c r="G658" i="3"/>
  <c r="J657" i="3" a="1"/>
  <c r="J657" i="3" s="1"/>
  <c r="I657" i="3" a="1"/>
  <c r="I657" i="3" s="1"/>
  <c r="G657" i="3"/>
  <c r="J656" i="3" a="1"/>
  <c r="J656" i="3" s="1"/>
  <c r="I656" i="3" a="1"/>
  <c r="I656" i="3" s="1"/>
  <c r="G656" i="3"/>
  <c r="J655" i="3" a="1"/>
  <c r="J655" i="3" s="1"/>
  <c r="I655" i="3" a="1"/>
  <c r="I655" i="3" s="1"/>
  <c r="G655" i="3"/>
  <c r="J654" i="3" a="1"/>
  <c r="J654" i="3" s="1"/>
  <c r="I654" i="3" a="1"/>
  <c r="I654" i="3" s="1"/>
  <c r="G654" i="3"/>
  <c r="J653" i="3" a="1"/>
  <c r="J653" i="3" s="1"/>
  <c r="I653" i="3" a="1"/>
  <c r="I653" i="3" s="1"/>
  <c r="G653" i="3"/>
  <c r="J652" i="3" a="1"/>
  <c r="J652" i="3" s="1"/>
  <c r="I652" i="3" a="1"/>
  <c r="I652" i="3" s="1"/>
  <c r="G652" i="3"/>
  <c r="J651" i="3" a="1"/>
  <c r="J651" i="3" s="1"/>
  <c r="I651" i="3" a="1"/>
  <c r="I651" i="3" s="1"/>
  <c r="G651" i="3"/>
  <c r="J650" i="3" a="1"/>
  <c r="J650" i="3" s="1"/>
  <c r="I650" i="3" a="1"/>
  <c r="I650" i="3" s="1"/>
  <c r="G650" i="3"/>
  <c r="J649" i="3" a="1"/>
  <c r="J649" i="3" s="1"/>
  <c r="I649" i="3" a="1"/>
  <c r="I649" i="3" s="1"/>
  <c r="G649" i="3"/>
  <c r="J648" i="3" a="1"/>
  <c r="J648" i="3" s="1"/>
  <c r="I648" i="3" a="1"/>
  <c r="I648" i="3" s="1"/>
  <c r="G648" i="3"/>
  <c r="J647" i="3" a="1"/>
  <c r="J647" i="3" s="1"/>
  <c r="I647" i="3" a="1"/>
  <c r="I647" i="3" s="1"/>
  <c r="G647" i="3"/>
  <c r="J646" i="3" a="1"/>
  <c r="J646" i="3" s="1"/>
  <c r="I646" i="3" a="1"/>
  <c r="I646" i="3" s="1"/>
  <c r="G646" i="3"/>
  <c r="J645" i="3" a="1"/>
  <c r="J645" i="3" s="1"/>
  <c r="I645" i="3" a="1"/>
  <c r="I645" i="3" s="1"/>
  <c r="G645" i="3"/>
  <c r="J644" i="3" a="1"/>
  <c r="J644" i="3" s="1"/>
  <c r="I644" i="3" a="1"/>
  <c r="I644" i="3" s="1"/>
  <c r="G644" i="3"/>
  <c r="J643" i="3" a="1"/>
  <c r="J643" i="3" s="1"/>
  <c r="I643" i="3" a="1"/>
  <c r="I643" i="3" s="1"/>
  <c r="G643" i="3"/>
  <c r="J642" i="3" a="1"/>
  <c r="J642" i="3" s="1"/>
  <c r="I642" i="3" a="1"/>
  <c r="I642" i="3" s="1"/>
  <c r="G642" i="3"/>
  <c r="J641" i="3" a="1"/>
  <c r="J641" i="3" s="1"/>
  <c r="I641" i="3" a="1"/>
  <c r="I641" i="3" s="1"/>
  <c r="G641" i="3"/>
  <c r="J640" i="3" a="1"/>
  <c r="J640" i="3" s="1"/>
  <c r="I640" i="3" a="1"/>
  <c r="I640" i="3" s="1"/>
  <c r="G640" i="3"/>
  <c r="J639" i="3" a="1"/>
  <c r="J639" i="3" s="1"/>
  <c r="I639" i="3" a="1"/>
  <c r="I639" i="3" s="1"/>
  <c r="G639" i="3"/>
  <c r="J638" i="3" a="1"/>
  <c r="J638" i="3" s="1"/>
  <c r="I638" i="3" a="1"/>
  <c r="I638" i="3" s="1"/>
  <c r="G638" i="3"/>
  <c r="J637" i="3" a="1"/>
  <c r="J637" i="3" s="1"/>
  <c r="I637" i="3" a="1"/>
  <c r="I637" i="3" s="1"/>
  <c r="G637" i="3"/>
  <c r="J636" i="3" a="1"/>
  <c r="J636" i="3" s="1"/>
  <c r="I636" i="3" a="1"/>
  <c r="I636" i="3" s="1"/>
  <c r="G636" i="3"/>
  <c r="J635" i="3" a="1"/>
  <c r="J635" i="3" s="1"/>
  <c r="I635" i="3" a="1"/>
  <c r="I635" i="3" s="1"/>
  <c r="G635" i="3"/>
  <c r="J634" i="3" a="1"/>
  <c r="J634" i="3" s="1"/>
  <c r="I634" i="3" a="1"/>
  <c r="I634" i="3" s="1"/>
  <c r="G634" i="3"/>
  <c r="J633" i="3" a="1"/>
  <c r="J633" i="3" s="1"/>
  <c r="I633" i="3" a="1"/>
  <c r="I633" i="3" s="1"/>
  <c r="G633" i="3"/>
  <c r="J632" i="3" a="1"/>
  <c r="J632" i="3" s="1"/>
  <c r="I632" i="3" a="1"/>
  <c r="I632" i="3" s="1"/>
  <c r="G632" i="3"/>
  <c r="J631" i="3" a="1"/>
  <c r="J631" i="3" s="1"/>
  <c r="I631" i="3" a="1"/>
  <c r="I631" i="3" s="1"/>
  <c r="G631" i="3"/>
  <c r="J630" i="3" a="1"/>
  <c r="J630" i="3" s="1"/>
  <c r="I630" i="3" a="1"/>
  <c r="I630" i="3" s="1"/>
  <c r="G630" i="3"/>
  <c r="J629" i="3" a="1"/>
  <c r="J629" i="3" s="1"/>
  <c r="I629" i="3" a="1"/>
  <c r="I629" i="3" s="1"/>
  <c r="G629" i="3"/>
  <c r="J628" i="3" a="1"/>
  <c r="J628" i="3" s="1"/>
  <c r="I628" i="3" a="1"/>
  <c r="I628" i="3" s="1"/>
  <c r="G628" i="3"/>
  <c r="J627" i="3" a="1"/>
  <c r="J627" i="3" s="1"/>
  <c r="I627" i="3" a="1"/>
  <c r="I627" i="3" s="1"/>
  <c r="G627" i="3"/>
  <c r="J626" i="3" a="1"/>
  <c r="J626" i="3" s="1"/>
  <c r="I626" i="3" a="1"/>
  <c r="I626" i="3" s="1"/>
  <c r="G626" i="3"/>
  <c r="J625" i="3" a="1"/>
  <c r="J625" i="3" s="1"/>
  <c r="I625" i="3" a="1"/>
  <c r="I625" i="3" s="1"/>
  <c r="G625" i="3"/>
  <c r="J624" i="3" a="1"/>
  <c r="J624" i="3" s="1"/>
  <c r="I624" i="3" a="1"/>
  <c r="I624" i="3" s="1"/>
  <c r="G624" i="3"/>
  <c r="J623" i="3" a="1"/>
  <c r="J623" i="3" s="1"/>
  <c r="I623" i="3" a="1"/>
  <c r="I623" i="3" s="1"/>
  <c r="G623" i="3"/>
  <c r="J622" i="3" a="1"/>
  <c r="J622" i="3" s="1"/>
  <c r="I622" i="3" a="1"/>
  <c r="I622" i="3" s="1"/>
  <c r="G622" i="3"/>
  <c r="J621" i="3" a="1"/>
  <c r="J621" i="3" s="1"/>
  <c r="I621" i="3" a="1"/>
  <c r="I621" i="3" s="1"/>
  <c r="G621" i="3"/>
  <c r="J620" i="3" a="1"/>
  <c r="J620" i="3" s="1"/>
  <c r="I620" i="3" a="1"/>
  <c r="I620" i="3" s="1"/>
  <c r="G620" i="3"/>
  <c r="J619" i="3" a="1"/>
  <c r="J619" i="3" s="1"/>
  <c r="I619" i="3" a="1"/>
  <c r="I619" i="3" s="1"/>
  <c r="G619" i="3"/>
  <c r="J618" i="3" a="1"/>
  <c r="J618" i="3" s="1"/>
  <c r="I618" i="3" a="1"/>
  <c r="I618" i="3" s="1"/>
  <c r="G618" i="3"/>
  <c r="J617" i="3" a="1"/>
  <c r="J617" i="3" s="1"/>
  <c r="I617" i="3" a="1"/>
  <c r="I617" i="3" s="1"/>
  <c r="G617" i="3"/>
  <c r="J616" i="3" a="1"/>
  <c r="J616" i="3" s="1"/>
  <c r="I616" i="3" a="1"/>
  <c r="I616" i="3" s="1"/>
  <c r="G616" i="3"/>
  <c r="J615" i="3" a="1"/>
  <c r="J615" i="3" s="1"/>
  <c r="I615" i="3" a="1"/>
  <c r="I615" i="3" s="1"/>
  <c r="G615" i="3"/>
  <c r="J614" i="3" a="1"/>
  <c r="J614" i="3" s="1"/>
  <c r="I614" i="3" a="1"/>
  <c r="I614" i="3" s="1"/>
  <c r="G614" i="3"/>
  <c r="J613" i="3" a="1"/>
  <c r="J613" i="3" s="1"/>
  <c r="I613" i="3" a="1"/>
  <c r="I613" i="3" s="1"/>
  <c r="G613" i="3"/>
  <c r="J612" i="3" a="1"/>
  <c r="J612" i="3" s="1"/>
  <c r="I612" i="3" a="1"/>
  <c r="I612" i="3" s="1"/>
  <c r="G612" i="3"/>
  <c r="J611" i="3" a="1"/>
  <c r="J611" i="3" s="1"/>
  <c r="I611" i="3" a="1"/>
  <c r="I611" i="3" s="1"/>
  <c r="G611" i="3"/>
  <c r="J610" i="3" a="1"/>
  <c r="J610" i="3" s="1"/>
  <c r="I610" i="3" a="1"/>
  <c r="I610" i="3" s="1"/>
  <c r="G610" i="3"/>
  <c r="J609" i="3" a="1"/>
  <c r="J609" i="3" s="1"/>
  <c r="I609" i="3" a="1"/>
  <c r="I609" i="3" s="1"/>
  <c r="G609" i="3"/>
  <c r="J608" i="3" a="1"/>
  <c r="J608" i="3" s="1"/>
  <c r="I608" i="3" a="1"/>
  <c r="I608" i="3" s="1"/>
  <c r="G608" i="3"/>
  <c r="J607" i="3" a="1"/>
  <c r="J607" i="3" s="1"/>
  <c r="I607" i="3" a="1"/>
  <c r="I607" i="3" s="1"/>
  <c r="G607" i="3"/>
  <c r="J606" i="3" a="1"/>
  <c r="J606" i="3" s="1"/>
  <c r="I606" i="3" a="1"/>
  <c r="I606" i="3" s="1"/>
  <c r="G606" i="3"/>
  <c r="J605" i="3" a="1"/>
  <c r="J605" i="3" s="1"/>
  <c r="I605" i="3" a="1"/>
  <c r="I605" i="3" s="1"/>
  <c r="G605" i="3"/>
  <c r="J604" i="3" a="1"/>
  <c r="J604" i="3" s="1"/>
  <c r="I604" i="3" a="1"/>
  <c r="I604" i="3" s="1"/>
  <c r="G604" i="3"/>
  <c r="J603" i="3" a="1"/>
  <c r="J603" i="3" s="1"/>
  <c r="I603" i="3" a="1"/>
  <c r="I603" i="3" s="1"/>
  <c r="G603" i="3"/>
  <c r="J602" i="3" a="1"/>
  <c r="J602" i="3" s="1"/>
  <c r="I602" i="3" a="1"/>
  <c r="I602" i="3" s="1"/>
  <c r="G602" i="3"/>
  <c r="J601" i="3" a="1"/>
  <c r="J601" i="3" s="1"/>
  <c r="I601" i="3" a="1"/>
  <c r="I601" i="3" s="1"/>
  <c r="G601" i="3"/>
  <c r="J600" i="3" a="1"/>
  <c r="J600" i="3" s="1"/>
  <c r="I600" i="3" a="1"/>
  <c r="I600" i="3" s="1"/>
  <c r="G600" i="3"/>
  <c r="J599" i="3" a="1"/>
  <c r="J599" i="3" s="1"/>
  <c r="I599" i="3" a="1"/>
  <c r="I599" i="3" s="1"/>
  <c r="G599" i="3"/>
  <c r="J598" i="3" a="1"/>
  <c r="J598" i="3" s="1"/>
  <c r="I598" i="3" a="1"/>
  <c r="I598" i="3" s="1"/>
  <c r="G598" i="3"/>
  <c r="J597" i="3" a="1"/>
  <c r="J597" i="3" s="1"/>
  <c r="I597" i="3" a="1"/>
  <c r="I597" i="3" s="1"/>
  <c r="G597" i="3"/>
  <c r="J596" i="3" a="1"/>
  <c r="J596" i="3" s="1"/>
  <c r="I596" i="3" a="1"/>
  <c r="I596" i="3" s="1"/>
  <c r="G596" i="3"/>
  <c r="J595" i="3" a="1"/>
  <c r="J595" i="3" s="1"/>
  <c r="I595" i="3" a="1"/>
  <c r="I595" i="3" s="1"/>
  <c r="G595" i="3"/>
  <c r="J594" i="3" a="1"/>
  <c r="J594" i="3" s="1"/>
  <c r="I594" i="3" a="1"/>
  <c r="I594" i="3" s="1"/>
  <c r="G594" i="3"/>
  <c r="J593" i="3" a="1"/>
  <c r="J593" i="3" s="1"/>
  <c r="I593" i="3" a="1"/>
  <c r="I593" i="3" s="1"/>
  <c r="G593" i="3"/>
  <c r="J592" i="3" a="1"/>
  <c r="J592" i="3" s="1"/>
  <c r="I592" i="3" a="1"/>
  <c r="I592" i="3" s="1"/>
  <c r="G592" i="3"/>
  <c r="J591" i="3" a="1"/>
  <c r="J591" i="3" s="1"/>
  <c r="I591" i="3" a="1"/>
  <c r="I591" i="3" s="1"/>
  <c r="G591" i="3"/>
  <c r="J590" i="3" a="1"/>
  <c r="J590" i="3" s="1"/>
  <c r="I590" i="3" a="1"/>
  <c r="I590" i="3" s="1"/>
  <c r="G590" i="3"/>
  <c r="J589" i="3" a="1"/>
  <c r="J589" i="3" s="1"/>
  <c r="I589" i="3" a="1"/>
  <c r="I589" i="3" s="1"/>
  <c r="G589" i="3"/>
  <c r="J588" i="3" a="1"/>
  <c r="J588" i="3" s="1"/>
  <c r="I588" i="3" a="1"/>
  <c r="I588" i="3" s="1"/>
  <c r="G588" i="3"/>
  <c r="J587" i="3" a="1"/>
  <c r="J587" i="3" s="1"/>
  <c r="I587" i="3" a="1"/>
  <c r="I587" i="3" s="1"/>
  <c r="G587" i="3"/>
  <c r="J586" i="3" a="1"/>
  <c r="J586" i="3" s="1"/>
  <c r="I586" i="3" a="1"/>
  <c r="I586" i="3" s="1"/>
  <c r="G586" i="3"/>
  <c r="J585" i="3" a="1"/>
  <c r="J585" i="3" s="1"/>
  <c r="I585" i="3" a="1"/>
  <c r="I585" i="3" s="1"/>
  <c r="G585" i="3"/>
  <c r="J584" i="3" a="1"/>
  <c r="J584" i="3" s="1"/>
  <c r="I584" i="3" a="1"/>
  <c r="I584" i="3" s="1"/>
  <c r="G584" i="3"/>
  <c r="J583" i="3" a="1"/>
  <c r="J583" i="3" s="1"/>
  <c r="I583" i="3" a="1"/>
  <c r="I583" i="3" s="1"/>
  <c r="G583" i="3"/>
  <c r="J582" i="3" a="1"/>
  <c r="J582" i="3" s="1"/>
  <c r="I582" i="3" a="1"/>
  <c r="I582" i="3" s="1"/>
  <c r="G582" i="3"/>
  <c r="J581" i="3" a="1"/>
  <c r="J581" i="3" s="1"/>
  <c r="I581" i="3" a="1"/>
  <c r="I581" i="3" s="1"/>
  <c r="G581" i="3"/>
  <c r="J580" i="3" a="1"/>
  <c r="J580" i="3" s="1"/>
  <c r="I580" i="3" a="1"/>
  <c r="I580" i="3" s="1"/>
  <c r="G580" i="3"/>
  <c r="J579" i="3" a="1"/>
  <c r="J579" i="3" s="1"/>
  <c r="I579" i="3" a="1"/>
  <c r="I579" i="3" s="1"/>
  <c r="G579" i="3"/>
  <c r="J578" i="3" a="1"/>
  <c r="J578" i="3" s="1"/>
  <c r="I578" i="3" a="1"/>
  <c r="I578" i="3" s="1"/>
  <c r="G578" i="3"/>
  <c r="J577" i="3" a="1"/>
  <c r="J577" i="3" s="1"/>
  <c r="I577" i="3" a="1"/>
  <c r="I577" i="3" s="1"/>
  <c r="G577" i="3"/>
  <c r="J576" i="3" a="1"/>
  <c r="J576" i="3" s="1"/>
  <c r="I576" i="3" a="1"/>
  <c r="I576" i="3" s="1"/>
  <c r="G576" i="3"/>
  <c r="J575" i="3" a="1"/>
  <c r="J575" i="3" s="1"/>
  <c r="I575" i="3" a="1"/>
  <c r="I575" i="3" s="1"/>
  <c r="G575" i="3"/>
  <c r="J574" i="3" a="1"/>
  <c r="J574" i="3" s="1"/>
  <c r="I574" i="3" a="1"/>
  <c r="I574" i="3" s="1"/>
  <c r="G574" i="3"/>
  <c r="J573" i="3" a="1"/>
  <c r="J573" i="3" s="1"/>
  <c r="I573" i="3" a="1"/>
  <c r="I573" i="3" s="1"/>
  <c r="G573" i="3"/>
  <c r="J572" i="3" a="1"/>
  <c r="J572" i="3" s="1"/>
  <c r="I572" i="3" a="1"/>
  <c r="I572" i="3" s="1"/>
  <c r="G572" i="3"/>
  <c r="J571" i="3" a="1"/>
  <c r="J571" i="3" s="1"/>
  <c r="I571" i="3" a="1"/>
  <c r="I571" i="3" s="1"/>
  <c r="G571" i="3"/>
  <c r="J570" i="3" a="1"/>
  <c r="J570" i="3" s="1"/>
  <c r="I570" i="3" a="1"/>
  <c r="I570" i="3" s="1"/>
  <c r="G570" i="3"/>
  <c r="J569" i="3" a="1"/>
  <c r="J569" i="3" s="1"/>
  <c r="I569" i="3" a="1"/>
  <c r="I569" i="3" s="1"/>
  <c r="G569" i="3"/>
  <c r="J568" i="3" a="1"/>
  <c r="J568" i="3" s="1"/>
  <c r="I568" i="3" a="1"/>
  <c r="I568" i="3" s="1"/>
  <c r="G568" i="3"/>
  <c r="J567" i="3" a="1"/>
  <c r="J567" i="3" s="1"/>
  <c r="I567" i="3" a="1"/>
  <c r="I567" i="3" s="1"/>
  <c r="G567" i="3"/>
  <c r="J566" i="3" a="1"/>
  <c r="J566" i="3" s="1"/>
  <c r="I566" i="3" a="1"/>
  <c r="I566" i="3" s="1"/>
  <c r="G566" i="3"/>
  <c r="J565" i="3" a="1"/>
  <c r="J565" i="3" s="1"/>
  <c r="I565" i="3" a="1"/>
  <c r="I565" i="3" s="1"/>
  <c r="G565" i="3"/>
  <c r="J564" i="3" a="1"/>
  <c r="J564" i="3" s="1"/>
  <c r="I564" i="3" a="1"/>
  <c r="I564" i="3" s="1"/>
  <c r="G564" i="3"/>
  <c r="J563" i="3" a="1"/>
  <c r="J563" i="3" s="1"/>
  <c r="I563" i="3" a="1"/>
  <c r="I563" i="3" s="1"/>
  <c r="G563" i="3"/>
  <c r="J562" i="3" a="1"/>
  <c r="J562" i="3" s="1"/>
  <c r="I562" i="3" a="1"/>
  <c r="I562" i="3" s="1"/>
  <c r="G562" i="3"/>
  <c r="J561" i="3" a="1"/>
  <c r="J561" i="3" s="1"/>
  <c r="I561" i="3" a="1"/>
  <c r="I561" i="3" s="1"/>
  <c r="G561" i="3"/>
  <c r="J560" i="3" a="1"/>
  <c r="J560" i="3" s="1"/>
  <c r="I560" i="3" a="1"/>
  <c r="I560" i="3" s="1"/>
  <c r="G560" i="3"/>
  <c r="J559" i="3" a="1"/>
  <c r="J559" i="3" s="1"/>
  <c r="I559" i="3" a="1"/>
  <c r="I559" i="3" s="1"/>
  <c r="G559" i="3"/>
  <c r="J558" i="3" a="1"/>
  <c r="J558" i="3" s="1"/>
  <c r="I558" i="3" a="1"/>
  <c r="I558" i="3" s="1"/>
  <c r="G558" i="3"/>
  <c r="J557" i="3" a="1"/>
  <c r="J557" i="3" s="1"/>
  <c r="I557" i="3" a="1"/>
  <c r="I557" i="3" s="1"/>
  <c r="G557" i="3"/>
  <c r="J556" i="3" a="1"/>
  <c r="J556" i="3" s="1"/>
  <c r="I556" i="3" a="1"/>
  <c r="I556" i="3" s="1"/>
  <c r="G556" i="3"/>
  <c r="J555" i="3" a="1"/>
  <c r="J555" i="3" s="1"/>
  <c r="I555" i="3" a="1"/>
  <c r="I555" i="3" s="1"/>
  <c r="G555" i="3"/>
  <c r="J554" i="3" a="1"/>
  <c r="J554" i="3" s="1"/>
  <c r="I554" i="3" a="1"/>
  <c r="I554" i="3" s="1"/>
  <c r="G554" i="3"/>
  <c r="J553" i="3" a="1"/>
  <c r="J553" i="3" s="1"/>
  <c r="I553" i="3" a="1"/>
  <c r="I553" i="3" s="1"/>
  <c r="G553" i="3"/>
  <c r="J552" i="3" a="1"/>
  <c r="J552" i="3" s="1"/>
  <c r="I552" i="3" a="1"/>
  <c r="I552" i="3" s="1"/>
  <c r="G552" i="3"/>
  <c r="J551" i="3" a="1"/>
  <c r="J551" i="3" s="1"/>
  <c r="I551" i="3" a="1"/>
  <c r="I551" i="3" s="1"/>
  <c r="G551" i="3"/>
  <c r="J550" i="3" a="1"/>
  <c r="J550" i="3" s="1"/>
  <c r="I550" i="3" a="1"/>
  <c r="I550" i="3" s="1"/>
  <c r="G550" i="3"/>
  <c r="J549" i="3" a="1"/>
  <c r="J549" i="3" s="1"/>
  <c r="I549" i="3" a="1"/>
  <c r="I549" i="3" s="1"/>
  <c r="G549" i="3"/>
  <c r="J548" i="3" a="1"/>
  <c r="J548" i="3" s="1"/>
  <c r="I548" i="3" a="1"/>
  <c r="I548" i="3" s="1"/>
  <c r="G548" i="3"/>
  <c r="J547" i="3" a="1"/>
  <c r="J547" i="3" s="1"/>
  <c r="I547" i="3" a="1"/>
  <c r="I547" i="3" s="1"/>
  <c r="G547" i="3"/>
  <c r="J546" i="3" a="1"/>
  <c r="J546" i="3" s="1"/>
  <c r="I546" i="3" a="1"/>
  <c r="I546" i="3" s="1"/>
  <c r="G546" i="3"/>
  <c r="J545" i="3" a="1"/>
  <c r="J545" i="3" s="1"/>
  <c r="I545" i="3" a="1"/>
  <c r="I545" i="3" s="1"/>
  <c r="G545" i="3"/>
  <c r="J544" i="3" a="1"/>
  <c r="J544" i="3" s="1"/>
  <c r="I544" i="3" a="1"/>
  <c r="I544" i="3" s="1"/>
  <c r="G544" i="3"/>
  <c r="J543" i="3" a="1"/>
  <c r="J543" i="3" s="1"/>
  <c r="I543" i="3" a="1"/>
  <c r="I543" i="3" s="1"/>
  <c r="G543" i="3"/>
  <c r="J542" i="3" a="1"/>
  <c r="J542" i="3" s="1"/>
  <c r="I542" i="3" a="1"/>
  <c r="I542" i="3" s="1"/>
  <c r="G542" i="3"/>
  <c r="J541" i="3" a="1"/>
  <c r="J541" i="3" s="1"/>
  <c r="I541" i="3" a="1"/>
  <c r="I541" i="3" s="1"/>
  <c r="G541" i="3"/>
  <c r="J540" i="3" a="1"/>
  <c r="J540" i="3" s="1"/>
  <c r="I540" i="3" a="1"/>
  <c r="I540" i="3" s="1"/>
  <c r="G540" i="3"/>
  <c r="J539" i="3" a="1"/>
  <c r="J539" i="3" s="1"/>
  <c r="I539" i="3" a="1"/>
  <c r="I539" i="3" s="1"/>
  <c r="G539" i="3"/>
  <c r="J538" i="3" a="1"/>
  <c r="J538" i="3" s="1"/>
  <c r="I538" i="3" a="1"/>
  <c r="I538" i="3" s="1"/>
  <c r="G538" i="3"/>
  <c r="J537" i="3" a="1"/>
  <c r="J537" i="3" s="1"/>
  <c r="I537" i="3" a="1"/>
  <c r="I537" i="3" s="1"/>
  <c r="G537" i="3"/>
  <c r="J536" i="3" a="1"/>
  <c r="J536" i="3" s="1"/>
  <c r="I536" i="3" a="1"/>
  <c r="I536" i="3" s="1"/>
  <c r="G536" i="3"/>
  <c r="J535" i="3" a="1"/>
  <c r="J535" i="3" s="1"/>
  <c r="I535" i="3" a="1"/>
  <c r="I535" i="3" s="1"/>
  <c r="G535" i="3"/>
  <c r="J534" i="3" a="1"/>
  <c r="J534" i="3" s="1"/>
  <c r="I534" i="3" a="1"/>
  <c r="I534" i="3" s="1"/>
  <c r="G534" i="3"/>
  <c r="J533" i="3" a="1"/>
  <c r="J533" i="3" s="1"/>
  <c r="I533" i="3" a="1"/>
  <c r="I533" i="3" s="1"/>
  <c r="G533" i="3"/>
  <c r="J532" i="3" a="1"/>
  <c r="J532" i="3" s="1"/>
  <c r="I532" i="3" a="1"/>
  <c r="I532" i="3" s="1"/>
  <c r="G532" i="3"/>
  <c r="J531" i="3" a="1"/>
  <c r="J531" i="3" s="1"/>
  <c r="I531" i="3" a="1"/>
  <c r="I531" i="3" s="1"/>
  <c r="G531" i="3"/>
  <c r="J530" i="3" a="1"/>
  <c r="J530" i="3" s="1"/>
  <c r="I530" i="3" a="1"/>
  <c r="I530" i="3" s="1"/>
  <c r="G530" i="3"/>
  <c r="J529" i="3" a="1"/>
  <c r="J529" i="3" s="1"/>
  <c r="I529" i="3" a="1"/>
  <c r="I529" i="3" s="1"/>
  <c r="G529" i="3"/>
  <c r="J528" i="3" a="1"/>
  <c r="J528" i="3" s="1"/>
  <c r="I528" i="3" a="1"/>
  <c r="I528" i="3" s="1"/>
  <c r="G528" i="3"/>
  <c r="J527" i="3" a="1"/>
  <c r="J527" i="3" s="1"/>
  <c r="I527" i="3" a="1"/>
  <c r="I527" i="3" s="1"/>
  <c r="G527" i="3"/>
  <c r="J526" i="3" a="1"/>
  <c r="J526" i="3" s="1"/>
  <c r="I526" i="3" a="1"/>
  <c r="I526" i="3" s="1"/>
  <c r="G526" i="3"/>
  <c r="J525" i="3" a="1"/>
  <c r="J525" i="3" s="1"/>
  <c r="I525" i="3" a="1"/>
  <c r="I525" i="3" s="1"/>
  <c r="G525" i="3"/>
  <c r="J524" i="3" a="1"/>
  <c r="J524" i="3" s="1"/>
  <c r="I524" i="3" a="1"/>
  <c r="I524" i="3" s="1"/>
  <c r="G524" i="3"/>
  <c r="J523" i="3" a="1"/>
  <c r="J523" i="3" s="1"/>
  <c r="I523" i="3" a="1"/>
  <c r="I523" i="3" s="1"/>
  <c r="G523" i="3"/>
  <c r="J522" i="3" a="1"/>
  <c r="J522" i="3" s="1"/>
  <c r="I522" i="3" a="1"/>
  <c r="I522" i="3" s="1"/>
  <c r="G522" i="3"/>
  <c r="J521" i="3" a="1"/>
  <c r="J521" i="3" s="1"/>
  <c r="I521" i="3" a="1"/>
  <c r="I521" i="3" s="1"/>
  <c r="G521" i="3"/>
  <c r="J520" i="3" a="1"/>
  <c r="J520" i="3" s="1"/>
  <c r="I520" i="3" a="1"/>
  <c r="I520" i="3" s="1"/>
  <c r="G520" i="3"/>
  <c r="J519" i="3" a="1"/>
  <c r="J519" i="3" s="1"/>
  <c r="I519" i="3" a="1"/>
  <c r="I519" i="3" s="1"/>
  <c r="G519" i="3"/>
  <c r="J518" i="3" a="1"/>
  <c r="J518" i="3" s="1"/>
  <c r="I518" i="3" a="1"/>
  <c r="I518" i="3" s="1"/>
  <c r="G518" i="3"/>
  <c r="J517" i="3" a="1"/>
  <c r="J517" i="3" s="1"/>
  <c r="I517" i="3" a="1"/>
  <c r="I517" i="3" s="1"/>
  <c r="G517" i="3"/>
  <c r="J516" i="3" a="1"/>
  <c r="J516" i="3" s="1"/>
  <c r="I516" i="3" a="1"/>
  <c r="I516" i="3" s="1"/>
  <c r="G516" i="3"/>
  <c r="J515" i="3" a="1"/>
  <c r="J515" i="3" s="1"/>
  <c r="I515" i="3" a="1"/>
  <c r="I515" i="3" s="1"/>
  <c r="G515" i="3"/>
  <c r="J514" i="3" a="1"/>
  <c r="J514" i="3" s="1"/>
  <c r="I514" i="3" a="1"/>
  <c r="I514" i="3" s="1"/>
  <c r="G514" i="3"/>
  <c r="J513" i="3" a="1"/>
  <c r="J513" i="3" s="1"/>
  <c r="I513" i="3" a="1"/>
  <c r="I513" i="3" s="1"/>
  <c r="G513" i="3"/>
  <c r="J512" i="3" a="1"/>
  <c r="J512" i="3" s="1"/>
  <c r="I512" i="3" a="1"/>
  <c r="I512" i="3" s="1"/>
  <c r="G512" i="3"/>
  <c r="J511" i="3" a="1"/>
  <c r="J511" i="3" s="1"/>
  <c r="I511" i="3" a="1"/>
  <c r="I511" i="3" s="1"/>
  <c r="G511" i="3"/>
  <c r="J510" i="3" a="1"/>
  <c r="J510" i="3" s="1"/>
  <c r="I510" i="3" a="1"/>
  <c r="I510" i="3" s="1"/>
  <c r="G510" i="3"/>
  <c r="J509" i="3" a="1"/>
  <c r="J509" i="3" s="1"/>
  <c r="I509" i="3" a="1"/>
  <c r="I509" i="3" s="1"/>
  <c r="G509" i="3"/>
  <c r="J508" i="3" a="1"/>
  <c r="J508" i="3" s="1"/>
  <c r="I508" i="3" a="1"/>
  <c r="I508" i="3" s="1"/>
  <c r="G508" i="3"/>
  <c r="J507" i="3" a="1"/>
  <c r="J507" i="3" s="1"/>
  <c r="I507" i="3" a="1"/>
  <c r="I507" i="3" s="1"/>
  <c r="G507" i="3"/>
  <c r="J506" i="3" a="1"/>
  <c r="J506" i="3" s="1"/>
  <c r="I506" i="3" a="1"/>
  <c r="I506" i="3" s="1"/>
  <c r="G506" i="3"/>
  <c r="J505" i="3" a="1"/>
  <c r="J505" i="3" s="1"/>
  <c r="I505" i="3" a="1"/>
  <c r="I505" i="3" s="1"/>
  <c r="G505" i="3"/>
  <c r="J504" i="3" a="1"/>
  <c r="J504" i="3" s="1"/>
  <c r="I504" i="3" a="1"/>
  <c r="I504" i="3" s="1"/>
  <c r="G504" i="3"/>
  <c r="J503" i="3" a="1"/>
  <c r="J503" i="3" s="1"/>
  <c r="I503" i="3" a="1"/>
  <c r="I503" i="3" s="1"/>
  <c r="G503" i="3"/>
  <c r="J502" i="3" a="1"/>
  <c r="J502" i="3" s="1"/>
  <c r="I502" i="3" a="1"/>
  <c r="I502" i="3" s="1"/>
  <c r="G502" i="3"/>
  <c r="J501" i="3" a="1"/>
  <c r="J501" i="3" s="1"/>
  <c r="I501" i="3" a="1"/>
  <c r="I501" i="3" s="1"/>
  <c r="G501" i="3"/>
  <c r="J500" i="3" a="1"/>
  <c r="J500" i="3" s="1"/>
  <c r="I500" i="3" a="1"/>
  <c r="I500" i="3" s="1"/>
  <c r="G500" i="3"/>
  <c r="J499" i="3" a="1"/>
  <c r="J499" i="3" s="1"/>
  <c r="I499" i="3" a="1"/>
  <c r="I499" i="3" s="1"/>
  <c r="G499" i="3"/>
  <c r="J498" i="3" a="1"/>
  <c r="J498" i="3" s="1"/>
  <c r="I498" i="3" a="1"/>
  <c r="I498" i="3" s="1"/>
  <c r="G498" i="3"/>
  <c r="J497" i="3" a="1"/>
  <c r="J497" i="3" s="1"/>
  <c r="I497" i="3" a="1"/>
  <c r="I497" i="3" s="1"/>
  <c r="G497" i="3"/>
  <c r="J496" i="3" a="1"/>
  <c r="J496" i="3" s="1"/>
  <c r="I496" i="3" a="1"/>
  <c r="I496" i="3" s="1"/>
  <c r="G496" i="3"/>
  <c r="J495" i="3" a="1"/>
  <c r="J495" i="3" s="1"/>
  <c r="I495" i="3" a="1"/>
  <c r="I495" i="3" s="1"/>
  <c r="G495" i="3"/>
  <c r="J494" i="3" a="1"/>
  <c r="J494" i="3" s="1"/>
  <c r="I494" i="3" a="1"/>
  <c r="I494" i="3" s="1"/>
  <c r="G494" i="3"/>
  <c r="J493" i="3" a="1"/>
  <c r="J493" i="3" s="1"/>
  <c r="I493" i="3" a="1"/>
  <c r="I493" i="3" s="1"/>
  <c r="G493" i="3"/>
  <c r="J492" i="3" a="1"/>
  <c r="J492" i="3" s="1"/>
  <c r="I492" i="3" a="1"/>
  <c r="I492" i="3" s="1"/>
  <c r="G492" i="3"/>
  <c r="J491" i="3" a="1"/>
  <c r="J491" i="3" s="1"/>
  <c r="I491" i="3" a="1"/>
  <c r="I491" i="3" s="1"/>
  <c r="G491" i="3"/>
  <c r="J490" i="3" a="1"/>
  <c r="J490" i="3" s="1"/>
  <c r="I490" i="3" a="1"/>
  <c r="I490" i="3" s="1"/>
  <c r="G490" i="3"/>
  <c r="J489" i="3" a="1"/>
  <c r="J489" i="3" s="1"/>
  <c r="I489" i="3" a="1"/>
  <c r="I489" i="3" s="1"/>
  <c r="G489" i="3"/>
  <c r="J488" i="3" a="1"/>
  <c r="J488" i="3" s="1"/>
  <c r="I488" i="3" a="1"/>
  <c r="I488" i="3" s="1"/>
  <c r="G488" i="3"/>
  <c r="J487" i="3" a="1"/>
  <c r="J487" i="3" s="1"/>
  <c r="I487" i="3" a="1"/>
  <c r="I487" i="3" s="1"/>
  <c r="G487" i="3"/>
  <c r="J486" i="3" a="1"/>
  <c r="J486" i="3" s="1"/>
  <c r="I486" i="3" a="1"/>
  <c r="I486" i="3" s="1"/>
  <c r="G486" i="3"/>
  <c r="J485" i="3" a="1"/>
  <c r="J485" i="3" s="1"/>
  <c r="I485" i="3" a="1"/>
  <c r="I485" i="3" s="1"/>
  <c r="G485" i="3"/>
  <c r="J484" i="3" a="1"/>
  <c r="J484" i="3" s="1"/>
  <c r="I484" i="3" a="1"/>
  <c r="I484" i="3" s="1"/>
  <c r="G484" i="3"/>
  <c r="J483" i="3" a="1"/>
  <c r="J483" i="3" s="1"/>
  <c r="I483" i="3" a="1"/>
  <c r="I483" i="3" s="1"/>
  <c r="G483" i="3"/>
  <c r="J482" i="3" a="1"/>
  <c r="J482" i="3" s="1"/>
  <c r="I482" i="3" a="1"/>
  <c r="I482" i="3" s="1"/>
  <c r="G482" i="3"/>
  <c r="J481" i="3" a="1"/>
  <c r="J481" i="3" s="1"/>
  <c r="I481" i="3" a="1"/>
  <c r="I481" i="3" s="1"/>
  <c r="G481" i="3"/>
  <c r="J480" i="3" a="1"/>
  <c r="J480" i="3" s="1"/>
  <c r="I480" i="3" a="1"/>
  <c r="I480" i="3" s="1"/>
  <c r="G480" i="3"/>
  <c r="J479" i="3" a="1"/>
  <c r="J479" i="3" s="1"/>
  <c r="I479" i="3" a="1"/>
  <c r="I479" i="3" s="1"/>
  <c r="G479" i="3"/>
  <c r="J478" i="3" a="1"/>
  <c r="J478" i="3" s="1"/>
  <c r="I478" i="3" a="1"/>
  <c r="I478" i="3" s="1"/>
  <c r="G478" i="3"/>
  <c r="J477" i="3" a="1"/>
  <c r="J477" i="3" s="1"/>
  <c r="I477" i="3" a="1"/>
  <c r="I477" i="3" s="1"/>
  <c r="G477" i="3"/>
  <c r="J476" i="3" a="1"/>
  <c r="J476" i="3" s="1"/>
  <c r="I476" i="3" a="1"/>
  <c r="I476" i="3" s="1"/>
  <c r="G476" i="3"/>
  <c r="J475" i="3" a="1"/>
  <c r="J475" i="3" s="1"/>
  <c r="I475" i="3" a="1"/>
  <c r="I475" i="3" s="1"/>
  <c r="G475" i="3"/>
  <c r="J474" i="3" a="1"/>
  <c r="J474" i="3" s="1"/>
  <c r="I474" i="3" a="1"/>
  <c r="I474" i="3" s="1"/>
  <c r="G474" i="3"/>
  <c r="J473" i="3" a="1"/>
  <c r="J473" i="3" s="1"/>
  <c r="I473" i="3" a="1"/>
  <c r="I473" i="3" s="1"/>
  <c r="G473" i="3"/>
  <c r="J472" i="3" a="1"/>
  <c r="J472" i="3" s="1"/>
  <c r="I472" i="3" a="1"/>
  <c r="I472" i="3" s="1"/>
  <c r="G472" i="3"/>
  <c r="J471" i="3" a="1"/>
  <c r="J471" i="3" s="1"/>
  <c r="I471" i="3" a="1"/>
  <c r="I471" i="3" s="1"/>
  <c r="G471" i="3"/>
  <c r="J470" i="3" a="1"/>
  <c r="J470" i="3" s="1"/>
  <c r="I470" i="3" a="1"/>
  <c r="I470" i="3" s="1"/>
  <c r="G470" i="3"/>
  <c r="J469" i="3" a="1"/>
  <c r="J469" i="3" s="1"/>
  <c r="I469" i="3" a="1"/>
  <c r="I469" i="3" s="1"/>
  <c r="G469" i="3"/>
  <c r="J468" i="3" a="1"/>
  <c r="J468" i="3" s="1"/>
  <c r="I468" i="3" a="1"/>
  <c r="I468" i="3" s="1"/>
  <c r="G468" i="3"/>
  <c r="J467" i="3" a="1"/>
  <c r="J467" i="3" s="1"/>
  <c r="I467" i="3" a="1"/>
  <c r="I467" i="3" s="1"/>
  <c r="G467" i="3"/>
  <c r="J466" i="3" a="1"/>
  <c r="J466" i="3" s="1"/>
  <c r="I466" i="3" a="1"/>
  <c r="I466" i="3" s="1"/>
  <c r="G466" i="3"/>
  <c r="J465" i="3" a="1"/>
  <c r="J465" i="3" s="1"/>
  <c r="I465" i="3" a="1"/>
  <c r="I465" i="3" s="1"/>
  <c r="G465" i="3"/>
  <c r="J464" i="3" a="1"/>
  <c r="J464" i="3" s="1"/>
  <c r="I464" i="3" a="1"/>
  <c r="I464" i="3" s="1"/>
  <c r="G464" i="3"/>
  <c r="J463" i="3" a="1"/>
  <c r="J463" i="3" s="1"/>
  <c r="I463" i="3" a="1"/>
  <c r="I463" i="3" s="1"/>
  <c r="G463" i="3"/>
  <c r="J462" i="3" a="1"/>
  <c r="J462" i="3" s="1"/>
  <c r="I462" i="3" a="1"/>
  <c r="I462" i="3" s="1"/>
  <c r="G462" i="3"/>
  <c r="J461" i="3" a="1"/>
  <c r="J461" i="3" s="1"/>
  <c r="I461" i="3" a="1"/>
  <c r="I461" i="3" s="1"/>
  <c r="G461" i="3"/>
  <c r="J460" i="3" a="1"/>
  <c r="J460" i="3" s="1"/>
  <c r="I460" i="3" a="1"/>
  <c r="I460" i="3" s="1"/>
  <c r="G460" i="3"/>
  <c r="J459" i="3" a="1"/>
  <c r="J459" i="3" s="1"/>
  <c r="I459" i="3" a="1"/>
  <c r="I459" i="3" s="1"/>
  <c r="G459" i="3"/>
  <c r="J458" i="3" a="1"/>
  <c r="J458" i="3" s="1"/>
  <c r="I458" i="3" a="1"/>
  <c r="I458" i="3" s="1"/>
  <c r="G458" i="3"/>
  <c r="J457" i="3" a="1"/>
  <c r="J457" i="3" s="1"/>
  <c r="I457" i="3" a="1"/>
  <c r="I457" i="3" s="1"/>
  <c r="G457" i="3"/>
  <c r="J456" i="3" a="1"/>
  <c r="J456" i="3" s="1"/>
  <c r="I456" i="3" a="1"/>
  <c r="I456" i="3" s="1"/>
  <c r="G456" i="3"/>
  <c r="J455" i="3" a="1"/>
  <c r="J455" i="3" s="1"/>
  <c r="I455" i="3" a="1"/>
  <c r="I455" i="3" s="1"/>
  <c r="G455" i="3"/>
  <c r="J454" i="3" a="1"/>
  <c r="J454" i="3" s="1"/>
  <c r="I454" i="3" a="1"/>
  <c r="I454" i="3" s="1"/>
  <c r="G454" i="3"/>
  <c r="J453" i="3" a="1"/>
  <c r="J453" i="3" s="1"/>
  <c r="I453" i="3" a="1"/>
  <c r="I453" i="3" s="1"/>
  <c r="G453" i="3"/>
  <c r="J452" i="3" a="1"/>
  <c r="J452" i="3" s="1"/>
  <c r="I452" i="3" a="1"/>
  <c r="I452" i="3" s="1"/>
  <c r="G452" i="3"/>
  <c r="J451" i="3" a="1"/>
  <c r="J451" i="3" s="1"/>
  <c r="I451" i="3" a="1"/>
  <c r="I451" i="3" s="1"/>
  <c r="G451" i="3"/>
  <c r="J450" i="3" a="1"/>
  <c r="J450" i="3" s="1"/>
  <c r="I450" i="3" a="1"/>
  <c r="I450" i="3" s="1"/>
  <c r="G450" i="3"/>
  <c r="J449" i="3" a="1"/>
  <c r="J449" i="3" s="1"/>
  <c r="I449" i="3" a="1"/>
  <c r="I449" i="3" s="1"/>
  <c r="G449" i="3"/>
  <c r="J448" i="3" a="1"/>
  <c r="J448" i="3" s="1"/>
  <c r="I448" i="3" a="1"/>
  <c r="I448" i="3" s="1"/>
  <c r="G448" i="3"/>
  <c r="J447" i="3" a="1"/>
  <c r="J447" i="3" s="1"/>
  <c r="I447" i="3" a="1"/>
  <c r="I447" i="3" s="1"/>
  <c r="G447" i="3"/>
  <c r="J446" i="3" a="1"/>
  <c r="J446" i="3" s="1"/>
  <c r="I446" i="3" a="1"/>
  <c r="I446" i="3" s="1"/>
  <c r="G446" i="3"/>
  <c r="J445" i="3" a="1"/>
  <c r="J445" i="3" s="1"/>
  <c r="I445" i="3" a="1"/>
  <c r="I445" i="3" s="1"/>
  <c r="G445" i="3"/>
  <c r="J444" i="3" a="1"/>
  <c r="J444" i="3" s="1"/>
  <c r="I444" i="3" a="1"/>
  <c r="I444" i="3" s="1"/>
  <c r="G444" i="3"/>
  <c r="J443" i="3" a="1"/>
  <c r="J443" i="3" s="1"/>
  <c r="I443" i="3" a="1"/>
  <c r="I443" i="3" s="1"/>
  <c r="G443" i="3"/>
  <c r="J442" i="3" a="1"/>
  <c r="J442" i="3" s="1"/>
  <c r="I442" i="3" a="1"/>
  <c r="I442" i="3" s="1"/>
  <c r="G442" i="3"/>
  <c r="J441" i="3" a="1"/>
  <c r="J441" i="3" s="1"/>
  <c r="I441" i="3" a="1"/>
  <c r="I441" i="3" s="1"/>
  <c r="G441" i="3"/>
  <c r="J440" i="3" a="1"/>
  <c r="J440" i="3" s="1"/>
  <c r="I440" i="3" a="1"/>
  <c r="I440" i="3" s="1"/>
  <c r="G440" i="3"/>
  <c r="J439" i="3" a="1"/>
  <c r="J439" i="3" s="1"/>
  <c r="I439" i="3" a="1"/>
  <c r="I439" i="3" s="1"/>
  <c r="J438" i="3" a="1"/>
  <c r="J438" i="3" s="1"/>
  <c r="I438" i="3" a="1"/>
  <c r="I438" i="3" s="1"/>
  <c r="G438" i="3"/>
  <c r="J437" i="3" a="1"/>
  <c r="J437" i="3" s="1"/>
  <c r="I437" i="3" a="1"/>
  <c r="I437" i="3" s="1"/>
  <c r="G437" i="3"/>
  <c r="J436" i="3" a="1"/>
  <c r="J436" i="3" s="1"/>
  <c r="I436" i="3" a="1"/>
  <c r="I436" i="3" s="1"/>
  <c r="G436" i="3"/>
  <c r="J435" i="3" a="1"/>
  <c r="J435" i="3" s="1"/>
  <c r="I435" i="3" a="1"/>
  <c r="I435" i="3" s="1"/>
  <c r="G435" i="3"/>
  <c r="J434" i="3" a="1"/>
  <c r="J434" i="3" s="1"/>
  <c r="I434" i="3" a="1"/>
  <c r="I434" i="3" s="1"/>
  <c r="G434" i="3"/>
  <c r="J433" i="3" a="1"/>
  <c r="J433" i="3" s="1"/>
  <c r="I433" i="3" a="1"/>
  <c r="I433" i="3" s="1"/>
  <c r="G433" i="3"/>
  <c r="J432" i="3" a="1"/>
  <c r="J432" i="3" s="1"/>
  <c r="I432" i="3" a="1"/>
  <c r="I432" i="3" s="1"/>
  <c r="G432" i="3"/>
  <c r="J431" i="3" a="1"/>
  <c r="J431" i="3" s="1"/>
  <c r="I431" i="3" a="1"/>
  <c r="I431" i="3" s="1"/>
  <c r="G431" i="3"/>
  <c r="J430" i="3" a="1"/>
  <c r="J430" i="3" s="1"/>
  <c r="I430" i="3" a="1"/>
  <c r="I430" i="3" s="1"/>
  <c r="G430" i="3"/>
  <c r="J429" i="3" a="1"/>
  <c r="J429" i="3" s="1"/>
  <c r="I429" i="3" a="1"/>
  <c r="I429" i="3" s="1"/>
  <c r="G429" i="3"/>
  <c r="J428" i="3" a="1"/>
  <c r="J428" i="3" s="1"/>
  <c r="I428" i="3" a="1"/>
  <c r="I428" i="3" s="1"/>
  <c r="G428" i="3"/>
  <c r="J427" i="3" a="1"/>
  <c r="J427" i="3" s="1"/>
  <c r="I427" i="3" a="1"/>
  <c r="I427" i="3" s="1"/>
  <c r="G427" i="3"/>
  <c r="J418" i="3" a="1"/>
  <c r="J418" i="3" s="1"/>
  <c r="I418" i="3" a="1"/>
  <c r="I418" i="3" s="1"/>
  <c r="G418" i="3"/>
  <c r="J417" i="3" a="1"/>
  <c r="J417" i="3" s="1"/>
  <c r="I417" i="3" a="1"/>
  <c r="I417" i="3" s="1"/>
  <c r="G417" i="3"/>
  <c r="J416" i="3" a="1"/>
  <c r="J416" i="3" s="1"/>
  <c r="I416" i="3" a="1"/>
  <c r="I416" i="3" s="1"/>
  <c r="G416" i="3"/>
  <c r="J415" i="3" a="1"/>
  <c r="J415" i="3" s="1"/>
  <c r="I415" i="3" a="1"/>
  <c r="I415" i="3" s="1"/>
  <c r="G415" i="3"/>
  <c r="J414" i="3" a="1"/>
  <c r="J414" i="3" s="1"/>
  <c r="I414" i="3" a="1"/>
  <c r="I414" i="3" s="1"/>
  <c r="G414" i="3"/>
  <c r="J413" i="3" a="1"/>
  <c r="J413" i="3" s="1"/>
  <c r="I413" i="3" a="1"/>
  <c r="I413" i="3" s="1"/>
  <c r="G413" i="3"/>
  <c r="J412" i="3" a="1"/>
  <c r="J412" i="3" s="1"/>
  <c r="I412" i="3" a="1"/>
  <c r="I412" i="3" s="1"/>
  <c r="G412" i="3"/>
  <c r="J411" i="3" a="1"/>
  <c r="J411" i="3" s="1"/>
  <c r="I411" i="3" a="1"/>
  <c r="I411" i="3" s="1"/>
  <c r="G411" i="3"/>
  <c r="J410" i="3" a="1"/>
  <c r="J410" i="3" s="1"/>
  <c r="I410" i="3" a="1"/>
  <c r="I410" i="3" s="1"/>
  <c r="G410" i="3"/>
  <c r="J409" i="3" a="1"/>
  <c r="J409" i="3" s="1"/>
  <c r="I409" i="3" a="1"/>
  <c r="I409" i="3" s="1"/>
  <c r="G409" i="3"/>
  <c r="J408" i="3" a="1"/>
  <c r="J408" i="3" s="1"/>
  <c r="I408" i="3" a="1"/>
  <c r="I408" i="3" s="1"/>
  <c r="G408" i="3"/>
  <c r="J407" i="3" a="1"/>
  <c r="J407" i="3" s="1"/>
  <c r="I407" i="3" a="1"/>
  <c r="I407" i="3" s="1"/>
  <c r="G407" i="3"/>
  <c r="J406" i="3" a="1"/>
  <c r="J406" i="3" s="1"/>
  <c r="I406" i="3" a="1"/>
  <c r="I406" i="3" s="1"/>
  <c r="G406" i="3"/>
  <c r="J405" i="3" a="1"/>
  <c r="J405" i="3" s="1"/>
  <c r="I405" i="3" a="1"/>
  <c r="I405" i="3" s="1"/>
  <c r="G405" i="3"/>
  <c r="J404" i="3" a="1"/>
  <c r="J404" i="3" s="1"/>
  <c r="I404" i="3" a="1"/>
  <c r="I404" i="3" s="1"/>
  <c r="G404" i="3"/>
  <c r="J403" i="3" a="1"/>
  <c r="J403" i="3" s="1"/>
  <c r="I403" i="3" a="1"/>
  <c r="I403" i="3" s="1"/>
  <c r="G403" i="3"/>
  <c r="J402" i="3" a="1"/>
  <c r="J402" i="3" s="1"/>
  <c r="I402" i="3" a="1"/>
  <c r="I402" i="3" s="1"/>
  <c r="G402" i="3"/>
  <c r="J401" i="3" a="1"/>
  <c r="J401" i="3" s="1"/>
  <c r="I401" i="3" a="1"/>
  <c r="I401" i="3" s="1"/>
  <c r="G401" i="3"/>
  <c r="J400" i="3" a="1"/>
  <c r="J400" i="3" s="1"/>
  <c r="I400" i="3" a="1"/>
  <c r="I400" i="3" s="1"/>
  <c r="G400" i="3"/>
  <c r="J399" i="3" a="1"/>
  <c r="J399" i="3" s="1"/>
  <c r="I399" i="3" a="1"/>
  <c r="I399" i="3" s="1"/>
  <c r="G399" i="3"/>
  <c r="J398" i="3" a="1"/>
  <c r="J398" i="3" s="1"/>
  <c r="I398" i="3" a="1"/>
  <c r="I398" i="3" s="1"/>
  <c r="G398" i="3"/>
  <c r="J397" i="3" a="1"/>
  <c r="J397" i="3" s="1"/>
  <c r="I397" i="3" a="1"/>
  <c r="I397" i="3" s="1"/>
  <c r="G397" i="3"/>
  <c r="J396" i="3" a="1"/>
  <c r="J396" i="3" s="1"/>
  <c r="I396" i="3" a="1"/>
  <c r="I396" i="3" s="1"/>
  <c r="G396" i="3"/>
  <c r="J395" i="3" a="1"/>
  <c r="J395" i="3" s="1"/>
  <c r="I395" i="3" a="1"/>
  <c r="I395" i="3" s="1"/>
  <c r="G395" i="3"/>
  <c r="J394" i="3" a="1"/>
  <c r="J394" i="3" s="1"/>
  <c r="I394" i="3" a="1"/>
  <c r="I394" i="3" s="1"/>
  <c r="G394" i="3"/>
  <c r="J393" i="3" a="1"/>
  <c r="J393" i="3" s="1"/>
  <c r="I393" i="3" a="1"/>
  <c r="I393" i="3" s="1"/>
  <c r="G393" i="3"/>
  <c r="J392" i="3" a="1"/>
  <c r="J392" i="3" s="1"/>
  <c r="I392" i="3" a="1"/>
  <c r="I392" i="3" s="1"/>
  <c r="G392" i="3"/>
  <c r="J391" i="3" a="1"/>
  <c r="J391" i="3" s="1"/>
  <c r="I391" i="3" a="1"/>
  <c r="I391" i="3" s="1"/>
  <c r="G391" i="3"/>
  <c r="J390" i="3" a="1"/>
  <c r="J390" i="3" s="1"/>
  <c r="I390" i="3" a="1"/>
  <c r="I390" i="3" s="1"/>
  <c r="G390" i="3"/>
  <c r="J389" i="3" a="1"/>
  <c r="J389" i="3" s="1"/>
  <c r="I389" i="3" a="1"/>
  <c r="I389" i="3" s="1"/>
  <c r="G389" i="3"/>
  <c r="J388" i="3" a="1"/>
  <c r="J388" i="3" s="1"/>
  <c r="I388" i="3" a="1"/>
  <c r="I388" i="3" s="1"/>
  <c r="G388" i="3"/>
  <c r="J387" i="3" a="1"/>
  <c r="J387" i="3" s="1"/>
  <c r="I387" i="3" a="1"/>
  <c r="I387" i="3" s="1"/>
  <c r="G387" i="3"/>
  <c r="J386" i="3" a="1"/>
  <c r="J386" i="3" s="1"/>
  <c r="I386" i="3" a="1"/>
  <c r="I386" i="3" s="1"/>
  <c r="G386" i="3"/>
  <c r="J385" i="3" a="1"/>
  <c r="J385" i="3" s="1"/>
  <c r="I385" i="3" a="1"/>
  <c r="I385" i="3" s="1"/>
  <c r="G385" i="3"/>
  <c r="J384" i="3" a="1"/>
  <c r="J384" i="3" s="1"/>
  <c r="I384" i="3" a="1"/>
  <c r="I384" i="3" s="1"/>
  <c r="G384" i="3"/>
  <c r="J383" i="3" a="1"/>
  <c r="J383" i="3" s="1"/>
  <c r="I383" i="3" a="1"/>
  <c r="I383" i="3" s="1"/>
  <c r="G383" i="3"/>
  <c r="J382" i="3" a="1"/>
  <c r="J382" i="3" s="1"/>
  <c r="I382" i="3" a="1"/>
  <c r="I382" i="3" s="1"/>
  <c r="G382" i="3"/>
  <c r="J381" i="3" a="1"/>
  <c r="J381" i="3" s="1"/>
  <c r="I381" i="3" a="1"/>
  <c r="I381" i="3" s="1"/>
  <c r="G381" i="3"/>
  <c r="J380" i="3" a="1"/>
  <c r="J380" i="3" s="1"/>
  <c r="I380" i="3" a="1"/>
  <c r="I380" i="3" s="1"/>
  <c r="G380" i="3"/>
  <c r="J379" i="3" a="1"/>
  <c r="J379" i="3" s="1"/>
  <c r="I379" i="3" a="1"/>
  <c r="I379" i="3" s="1"/>
  <c r="G379" i="3"/>
  <c r="J378" i="3" a="1"/>
  <c r="J378" i="3" s="1"/>
  <c r="I378" i="3" a="1"/>
  <c r="I378" i="3" s="1"/>
  <c r="G378" i="3"/>
  <c r="J377" i="3" a="1"/>
  <c r="J377" i="3" s="1"/>
  <c r="I377" i="3" a="1"/>
  <c r="I377" i="3" s="1"/>
  <c r="G377" i="3"/>
  <c r="J376" i="3" a="1"/>
  <c r="J376" i="3" s="1"/>
  <c r="I376" i="3" a="1"/>
  <c r="I376" i="3" s="1"/>
  <c r="G376" i="3"/>
  <c r="J375" i="3" a="1"/>
  <c r="J375" i="3" s="1"/>
  <c r="I375" i="3" a="1"/>
  <c r="I375" i="3" s="1"/>
  <c r="G375" i="3"/>
  <c r="J374" i="3" a="1"/>
  <c r="J374" i="3" s="1"/>
  <c r="I374" i="3" a="1"/>
  <c r="I374" i="3" s="1"/>
  <c r="G374" i="3"/>
  <c r="J373" i="3" a="1"/>
  <c r="J373" i="3" s="1"/>
  <c r="I373" i="3" a="1"/>
  <c r="I373" i="3" s="1"/>
  <c r="G373" i="3"/>
  <c r="J372" i="3" a="1"/>
  <c r="J372" i="3" s="1"/>
  <c r="I372" i="3" a="1"/>
  <c r="I372" i="3" s="1"/>
  <c r="G372" i="3"/>
  <c r="J371" i="3" a="1"/>
  <c r="J371" i="3" s="1"/>
  <c r="I371" i="3" a="1"/>
  <c r="I371" i="3" s="1"/>
  <c r="G371" i="3"/>
  <c r="J370" i="3" a="1"/>
  <c r="J370" i="3" s="1"/>
  <c r="I370" i="3" a="1"/>
  <c r="I370" i="3" s="1"/>
  <c r="G370" i="3"/>
  <c r="J369" i="3" a="1"/>
  <c r="J369" i="3" s="1"/>
  <c r="I369" i="3" a="1"/>
  <c r="I369" i="3" s="1"/>
  <c r="G369" i="3"/>
  <c r="J367" i="3" a="1"/>
  <c r="J367" i="3" s="1"/>
  <c r="I367" i="3" a="1"/>
  <c r="I367" i="3" s="1"/>
  <c r="G367" i="3"/>
  <c r="J366" i="3" a="1"/>
  <c r="J366" i="3" s="1"/>
  <c r="I366" i="3" a="1"/>
  <c r="I366" i="3" s="1"/>
  <c r="G366" i="3"/>
  <c r="J365" i="3" a="1"/>
  <c r="J365" i="3" s="1"/>
  <c r="I365" i="3" a="1"/>
  <c r="I365" i="3" s="1"/>
  <c r="G365" i="3"/>
  <c r="J364" i="3" a="1"/>
  <c r="J364" i="3" s="1"/>
  <c r="I364" i="3" a="1"/>
  <c r="I364" i="3" s="1"/>
  <c r="G364" i="3"/>
  <c r="J363" i="3" a="1"/>
  <c r="J363" i="3" s="1"/>
  <c r="I363" i="3" a="1"/>
  <c r="I363" i="3" s="1"/>
  <c r="G363" i="3"/>
  <c r="J362" i="3" a="1"/>
  <c r="J362" i="3" s="1"/>
  <c r="I362" i="3" a="1"/>
  <c r="I362" i="3" s="1"/>
  <c r="G362" i="3"/>
  <c r="J361" i="3" a="1"/>
  <c r="J361" i="3" s="1"/>
  <c r="I361" i="3" a="1"/>
  <c r="I361" i="3" s="1"/>
  <c r="G361" i="3"/>
  <c r="J360" i="3" a="1"/>
  <c r="J360" i="3" s="1"/>
  <c r="I360" i="3" a="1"/>
  <c r="I360" i="3" s="1"/>
  <c r="G360" i="3"/>
  <c r="J359" i="3" a="1"/>
  <c r="J359" i="3" s="1"/>
  <c r="I359" i="3" a="1"/>
  <c r="I359" i="3" s="1"/>
  <c r="G359" i="3"/>
  <c r="J358" i="3" a="1"/>
  <c r="J358" i="3" s="1"/>
  <c r="I358" i="3" a="1"/>
  <c r="I358" i="3" s="1"/>
  <c r="G358" i="3"/>
  <c r="J357" i="3" a="1"/>
  <c r="J357" i="3" s="1"/>
  <c r="I357" i="3" a="1"/>
  <c r="I357" i="3" s="1"/>
  <c r="G357" i="3"/>
  <c r="J356" i="3" a="1"/>
  <c r="J356" i="3" s="1"/>
  <c r="I356" i="3" a="1"/>
  <c r="I356" i="3" s="1"/>
  <c r="G356" i="3"/>
  <c r="J355" i="3" a="1"/>
  <c r="J355" i="3" s="1"/>
  <c r="I355" i="3" a="1"/>
  <c r="I355" i="3" s="1"/>
  <c r="G355" i="3"/>
  <c r="J354" i="3" a="1"/>
  <c r="J354" i="3" s="1"/>
  <c r="I354" i="3" a="1"/>
  <c r="I354" i="3" s="1"/>
  <c r="G354" i="3"/>
  <c r="J352" i="3" a="1"/>
  <c r="J352" i="3" s="1"/>
  <c r="I352" i="3" a="1"/>
  <c r="I352" i="3" s="1"/>
  <c r="G352" i="3"/>
  <c r="J351" i="3" a="1"/>
  <c r="J351" i="3" s="1"/>
  <c r="I351" i="3" a="1"/>
  <c r="I351" i="3" s="1"/>
  <c r="G351" i="3"/>
  <c r="J350" i="3" a="1"/>
  <c r="J350" i="3" s="1"/>
  <c r="I350" i="3" a="1"/>
  <c r="I350" i="3" s="1"/>
  <c r="G350" i="3"/>
  <c r="J349" i="3" a="1"/>
  <c r="J349" i="3" s="1"/>
  <c r="I349" i="3" a="1"/>
  <c r="I349" i="3" s="1"/>
  <c r="G349" i="3"/>
  <c r="J348" i="3" a="1"/>
  <c r="J348" i="3" s="1"/>
  <c r="I348" i="3" a="1"/>
  <c r="I348" i="3" s="1"/>
  <c r="G348" i="3"/>
  <c r="J347" i="3" a="1"/>
  <c r="J347" i="3" s="1"/>
  <c r="I347" i="3" a="1"/>
  <c r="I347" i="3" s="1"/>
  <c r="G347" i="3"/>
  <c r="J346" i="3" a="1"/>
  <c r="J346" i="3" s="1"/>
  <c r="I346" i="3" a="1"/>
  <c r="I346" i="3" s="1"/>
  <c r="G346" i="3"/>
  <c r="J345" i="3" a="1"/>
  <c r="J345" i="3" s="1"/>
  <c r="I345" i="3" a="1"/>
  <c r="I345" i="3" s="1"/>
  <c r="G345" i="3"/>
  <c r="J344" i="3" a="1"/>
  <c r="J344" i="3" s="1"/>
  <c r="I344" i="3" a="1"/>
  <c r="I344" i="3" s="1"/>
  <c r="G344" i="3"/>
  <c r="J343" i="3" a="1"/>
  <c r="J343" i="3" s="1"/>
  <c r="I343" i="3" a="1"/>
  <c r="I343" i="3" s="1"/>
  <c r="J342" i="3" a="1"/>
  <c r="J342" i="3" s="1"/>
  <c r="I342" i="3" a="1"/>
  <c r="I342" i="3" s="1"/>
  <c r="J341" i="3" a="1"/>
  <c r="J341" i="3" s="1"/>
  <c r="I341" i="3" a="1"/>
  <c r="I341" i="3" s="1"/>
  <c r="J340" i="3" a="1"/>
  <c r="J340" i="3" s="1"/>
  <c r="I340" i="3" a="1"/>
  <c r="I340" i="3" s="1"/>
  <c r="J339" i="3" a="1"/>
  <c r="J339" i="3" s="1"/>
  <c r="I339" i="3" a="1"/>
  <c r="I339" i="3" s="1"/>
  <c r="J338" i="3" a="1"/>
  <c r="J338" i="3" s="1"/>
  <c r="I338" i="3" a="1"/>
  <c r="I338" i="3" s="1"/>
  <c r="J337" i="3" a="1"/>
  <c r="J337" i="3" s="1"/>
  <c r="I337" i="3" a="1"/>
  <c r="I337" i="3" s="1"/>
  <c r="J336" i="3" a="1"/>
  <c r="J336" i="3" s="1"/>
  <c r="I336" i="3" a="1"/>
  <c r="I336" i="3" s="1"/>
  <c r="J335" i="3" a="1"/>
  <c r="J335" i="3" s="1"/>
  <c r="I335" i="3" a="1"/>
  <c r="I335" i="3" s="1"/>
  <c r="J334" i="3" a="1"/>
  <c r="J334" i="3" s="1"/>
  <c r="I334" i="3" a="1"/>
  <c r="I334" i="3" s="1"/>
  <c r="J333" i="3" a="1"/>
  <c r="J333" i="3" s="1"/>
  <c r="I333" i="3" a="1"/>
  <c r="I333" i="3" s="1"/>
  <c r="J330" i="3" a="1"/>
  <c r="J330" i="3" s="1"/>
  <c r="I330" i="3" a="1"/>
  <c r="I330" i="3" s="1"/>
  <c r="J329" i="3" a="1"/>
  <c r="J329" i="3" s="1"/>
  <c r="I329" i="3" a="1"/>
  <c r="I329" i="3" s="1"/>
  <c r="J328" i="3" a="1"/>
  <c r="J328" i="3" s="1"/>
  <c r="I328" i="3" a="1"/>
  <c r="I328" i="3" s="1"/>
  <c r="J327" i="3" a="1"/>
  <c r="J327" i="3" s="1"/>
  <c r="I327" i="3" a="1"/>
  <c r="I327" i="3" s="1"/>
  <c r="J326" i="3" a="1"/>
  <c r="J326" i="3" s="1"/>
  <c r="I326" i="3" a="1"/>
  <c r="I326" i="3" s="1"/>
  <c r="J325" i="3" a="1"/>
  <c r="J325" i="3" s="1"/>
  <c r="I325" i="3" a="1"/>
  <c r="I325" i="3" s="1"/>
  <c r="J324" i="3" a="1"/>
  <c r="J324" i="3" s="1"/>
  <c r="I324" i="3" a="1"/>
  <c r="I324" i="3" s="1"/>
  <c r="J323" i="3" a="1"/>
  <c r="J323" i="3" s="1"/>
  <c r="I323" i="3" a="1"/>
  <c r="I323" i="3" s="1"/>
  <c r="J322" i="3" a="1"/>
  <c r="J322" i="3" s="1"/>
  <c r="I322" i="3" a="1"/>
  <c r="I322" i="3" s="1"/>
  <c r="J321" i="3" a="1"/>
  <c r="J321" i="3" s="1"/>
  <c r="I321" i="3" a="1"/>
  <c r="I321" i="3" s="1"/>
  <c r="J320" i="3" a="1"/>
  <c r="J320" i="3" s="1"/>
  <c r="I320" i="3" a="1"/>
  <c r="I320" i="3" s="1"/>
  <c r="J319" i="3" a="1"/>
  <c r="J319" i="3" s="1"/>
  <c r="I319" i="3" a="1"/>
  <c r="I319" i="3" s="1"/>
  <c r="J318" i="3" a="1"/>
  <c r="J318" i="3" s="1"/>
  <c r="I318" i="3" a="1"/>
  <c r="I318" i="3" s="1"/>
  <c r="J317" i="3" a="1"/>
  <c r="J317" i="3" s="1"/>
  <c r="I317" i="3" a="1"/>
  <c r="I317" i="3" s="1"/>
  <c r="G317" i="3"/>
  <c r="J315" i="3" a="1"/>
  <c r="J315" i="3" s="1"/>
  <c r="I315" i="3" a="1"/>
  <c r="I315" i="3" s="1"/>
  <c r="G315" i="3"/>
  <c r="J314" i="3" a="1"/>
  <c r="J314" i="3" s="1"/>
  <c r="I314" i="3" a="1"/>
  <c r="I314" i="3" s="1"/>
  <c r="G314" i="3"/>
  <c r="J313" i="3" a="1"/>
  <c r="J313" i="3" s="1"/>
  <c r="I313" i="3" a="1"/>
  <c r="I313" i="3" s="1"/>
  <c r="G313" i="3"/>
  <c r="J312" i="3" a="1"/>
  <c r="J312" i="3" s="1"/>
  <c r="I312" i="3" a="1"/>
  <c r="I312" i="3" s="1"/>
  <c r="G312" i="3"/>
  <c r="J311" i="3" a="1"/>
  <c r="J311" i="3" s="1"/>
  <c r="I311" i="3" a="1"/>
  <c r="I311" i="3" s="1"/>
  <c r="G311" i="3"/>
  <c r="G310" i="3"/>
  <c r="J308" i="3" a="1"/>
  <c r="J308" i="3" s="1"/>
  <c r="I308" i="3" a="1"/>
  <c r="I308" i="3" s="1"/>
  <c r="G308" i="3"/>
  <c r="J307" i="3" a="1"/>
  <c r="J307" i="3" s="1"/>
  <c r="I307" i="3" a="1"/>
  <c r="I307" i="3" s="1"/>
  <c r="G307" i="3"/>
  <c r="J306" i="3" a="1"/>
  <c r="J306" i="3" s="1"/>
  <c r="I306" i="3" a="1"/>
  <c r="I306" i="3" s="1"/>
  <c r="G306" i="3"/>
  <c r="J305" i="3" a="1"/>
  <c r="J305" i="3" s="1"/>
  <c r="I305" i="3" a="1"/>
  <c r="I305" i="3" s="1"/>
  <c r="G305" i="3"/>
  <c r="J304" i="3" a="1"/>
  <c r="J304" i="3" s="1"/>
  <c r="I304" i="3" a="1"/>
  <c r="I304" i="3" s="1"/>
  <c r="G304" i="3"/>
  <c r="J303" i="3" a="1"/>
  <c r="J303" i="3" s="1"/>
  <c r="I303" i="3" a="1"/>
  <c r="I303" i="3" s="1"/>
  <c r="G303" i="3"/>
  <c r="J302" i="3" a="1"/>
  <c r="J302" i="3" s="1"/>
  <c r="I302" i="3" a="1"/>
  <c r="I302" i="3" s="1"/>
  <c r="G302" i="3"/>
  <c r="J301" i="3" a="1"/>
  <c r="J301" i="3" s="1"/>
  <c r="I301" i="3" a="1"/>
  <c r="I301" i="3" s="1"/>
  <c r="G301" i="3"/>
  <c r="J300" i="3" a="1"/>
  <c r="J300" i="3" s="1"/>
  <c r="I300" i="3" a="1"/>
  <c r="I300" i="3" s="1"/>
  <c r="G300" i="3"/>
  <c r="J299" i="3" a="1"/>
  <c r="J299" i="3" s="1"/>
  <c r="I299" i="3" a="1"/>
  <c r="I299" i="3" s="1"/>
  <c r="G299" i="3"/>
  <c r="J298" i="3" a="1"/>
  <c r="J298" i="3" s="1"/>
  <c r="I298" i="3" a="1"/>
  <c r="I298" i="3" s="1"/>
  <c r="G298" i="3"/>
  <c r="J295" i="3" a="1"/>
  <c r="J295" i="3" s="1"/>
  <c r="I295" i="3" a="1"/>
  <c r="I295" i="3" s="1"/>
  <c r="G295" i="3"/>
  <c r="J294" i="3" a="1"/>
  <c r="J294" i="3" s="1"/>
  <c r="I294" i="3" a="1"/>
  <c r="I294" i="3" s="1"/>
  <c r="G294" i="3"/>
  <c r="J293" i="3" a="1"/>
  <c r="J293" i="3" s="1"/>
  <c r="I293" i="3" a="1"/>
  <c r="I293" i="3" s="1"/>
  <c r="G293" i="3"/>
  <c r="J292" i="3" a="1"/>
  <c r="J292" i="3" s="1"/>
  <c r="I292" i="3" a="1"/>
  <c r="I292" i="3" s="1"/>
  <c r="G292" i="3"/>
  <c r="J291" i="3" a="1"/>
  <c r="J291" i="3" s="1"/>
  <c r="I291" i="3" a="1"/>
  <c r="I291" i="3" s="1"/>
  <c r="G291" i="3"/>
  <c r="J290" i="3" a="1"/>
  <c r="J290" i="3" s="1"/>
  <c r="I290" i="3" a="1"/>
  <c r="I290" i="3" s="1"/>
  <c r="G290" i="3"/>
  <c r="J289" i="3" a="1"/>
  <c r="J289" i="3" s="1"/>
  <c r="I289" i="3" a="1"/>
  <c r="I289" i="3" s="1"/>
  <c r="G289" i="3"/>
  <c r="J288" i="3" a="1"/>
  <c r="J288" i="3" s="1"/>
  <c r="I288" i="3" a="1"/>
  <c r="I288" i="3" s="1"/>
  <c r="G288" i="3"/>
  <c r="J287" i="3" a="1"/>
  <c r="J287" i="3" s="1"/>
  <c r="I287" i="3" a="1"/>
  <c r="I287" i="3" s="1"/>
  <c r="G287" i="3"/>
  <c r="J286" i="3" a="1"/>
  <c r="J286" i="3" s="1"/>
  <c r="I286" i="3" a="1"/>
  <c r="I286" i="3" s="1"/>
  <c r="G286" i="3"/>
  <c r="J285" i="3" a="1"/>
  <c r="J285" i="3" s="1"/>
  <c r="I285" i="3" a="1"/>
  <c r="I285" i="3" s="1"/>
  <c r="G285" i="3"/>
  <c r="J284" i="3" a="1"/>
  <c r="J284" i="3" s="1"/>
  <c r="I284" i="3" a="1"/>
  <c r="I284" i="3" s="1"/>
  <c r="G284" i="3"/>
  <c r="J283" i="3" a="1"/>
  <c r="J283" i="3" s="1"/>
  <c r="I283" i="3" a="1"/>
  <c r="I283" i="3" s="1"/>
  <c r="G283" i="3"/>
  <c r="J282" i="3" a="1"/>
  <c r="J282" i="3" s="1"/>
  <c r="I282" i="3" a="1"/>
  <c r="I282" i="3" s="1"/>
  <c r="G282" i="3"/>
  <c r="J281" i="3" a="1"/>
  <c r="J281" i="3" s="1"/>
  <c r="I281" i="3" a="1"/>
  <c r="I281" i="3" s="1"/>
  <c r="G281" i="3"/>
  <c r="J280" i="3" a="1"/>
  <c r="J280" i="3" s="1"/>
  <c r="I280" i="3" a="1"/>
  <c r="I280" i="3" s="1"/>
  <c r="G280" i="3"/>
  <c r="J279" i="3" a="1"/>
  <c r="J279" i="3" s="1"/>
  <c r="I279" i="3" a="1"/>
  <c r="I279" i="3" s="1"/>
  <c r="G279" i="3"/>
  <c r="J278" i="3" a="1"/>
  <c r="J278" i="3" s="1"/>
  <c r="I278" i="3" a="1"/>
  <c r="I278" i="3" s="1"/>
  <c r="G278" i="3"/>
  <c r="J277" i="3" a="1"/>
  <c r="J277" i="3" s="1"/>
  <c r="I277" i="3" a="1"/>
  <c r="I277" i="3" s="1"/>
  <c r="G277" i="3"/>
  <c r="J276" i="3" a="1"/>
  <c r="J276" i="3" s="1"/>
  <c r="I276" i="3" a="1"/>
  <c r="I276" i="3" s="1"/>
  <c r="G276" i="3"/>
  <c r="J275" i="3" a="1"/>
  <c r="J275" i="3" s="1"/>
  <c r="I275" i="3" a="1"/>
  <c r="I275" i="3" s="1"/>
  <c r="G275" i="3"/>
  <c r="J274" i="3" a="1"/>
  <c r="J274" i="3" s="1"/>
  <c r="I274" i="3" a="1"/>
  <c r="I274" i="3" s="1"/>
  <c r="G274" i="3"/>
  <c r="J273" i="3" a="1"/>
  <c r="J273" i="3" s="1"/>
  <c r="I273" i="3" a="1"/>
  <c r="I273" i="3" s="1"/>
  <c r="G273" i="3"/>
  <c r="J272" i="3" a="1"/>
  <c r="J272" i="3" s="1"/>
  <c r="I272" i="3" a="1"/>
  <c r="I272" i="3" s="1"/>
  <c r="G272" i="3"/>
  <c r="J271" i="3" a="1"/>
  <c r="J271" i="3" s="1"/>
  <c r="I271" i="3" a="1"/>
  <c r="I271" i="3" s="1"/>
  <c r="G271" i="3"/>
  <c r="J270" i="3" a="1"/>
  <c r="J270" i="3" s="1"/>
  <c r="I270" i="3" a="1"/>
  <c r="I270" i="3" s="1"/>
  <c r="G270" i="3"/>
  <c r="J269" i="3" a="1"/>
  <c r="J269" i="3" s="1"/>
  <c r="I269" i="3" a="1"/>
  <c r="I269" i="3" s="1"/>
  <c r="G269" i="3"/>
  <c r="J268" i="3" a="1"/>
  <c r="J268" i="3" s="1"/>
  <c r="I268" i="3" a="1"/>
  <c r="I268" i="3" s="1"/>
  <c r="G268" i="3"/>
  <c r="J267" i="3" a="1"/>
  <c r="J267" i="3" s="1"/>
  <c r="I267" i="3" a="1"/>
  <c r="I267" i="3" s="1"/>
  <c r="G267" i="3"/>
  <c r="J266" i="3" a="1"/>
  <c r="J266" i="3" s="1"/>
  <c r="I266" i="3" a="1"/>
  <c r="I266" i="3" s="1"/>
  <c r="G266" i="3"/>
  <c r="J265" i="3" a="1"/>
  <c r="J265" i="3" s="1"/>
  <c r="I265" i="3" a="1"/>
  <c r="I265" i="3" s="1"/>
  <c r="G265" i="3"/>
  <c r="J264" i="3" a="1"/>
  <c r="J264" i="3" s="1"/>
  <c r="I264" i="3" a="1"/>
  <c r="I264" i="3" s="1"/>
  <c r="G264" i="3"/>
  <c r="J263" i="3" a="1"/>
  <c r="J263" i="3" s="1"/>
  <c r="I263" i="3" a="1"/>
  <c r="I263" i="3" s="1"/>
  <c r="G263" i="3"/>
  <c r="J262" i="3" a="1"/>
  <c r="J262" i="3" s="1"/>
  <c r="I262" i="3" a="1"/>
  <c r="I262" i="3" s="1"/>
  <c r="G262" i="3"/>
  <c r="J261" i="3" a="1"/>
  <c r="J261" i="3" s="1"/>
  <c r="I261" i="3" a="1"/>
  <c r="I261" i="3" s="1"/>
  <c r="G261" i="3"/>
  <c r="J260" i="3" a="1"/>
  <c r="J260" i="3" s="1"/>
  <c r="I260" i="3" a="1"/>
  <c r="I260" i="3" s="1"/>
  <c r="G260" i="3"/>
  <c r="J259" i="3" a="1"/>
  <c r="J259" i="3" s="1"/>
  <c r="I259" i="3" a="1"/>
  <c r="I259" i="3" s="1"/>
  <c r="G259" i="3"/>
  <c r="J258" i="3" a="1"/>
  <c r="J258" i="3" s="1"/>
  <c r="I258" i="3" a="1"/>
  <c r="I258" i="3" s="1"/>
  <c r="G258" i="3"/>
  <c r="J257" i="3" a="1"/>
  <c r="J257" i="3" s="1"/>
  <c r="I257" i="3" a="1"/>
  <c r="I257" i="3" s="1"/>
  <c r="G257" i="3"/>
  <c r="J256" i="3" a="1"/>
  <c r="J256" i="3" s="1"/>
  <c r="I256" i="3" a="1"/>
  <c r="I256" i="3" s="1"/>
  <c r="G256" i="3"/>
  <c r="J255" i="3" a="1"/>
  <c r="J255" i="3" s="1"/>
  <c r="I255" i="3" a="1"/>
  <c r="I255" i="3" s="1"/>
  <c r="G255" i="3"/>
  <c r="J254" i="3" a="1"/>
  <c r="J254" i="3" s="1"/>
  <c r="I254" i="3" a="1"/>
  <c r="I254" i="3" s="1"/>
  <c r="G254" i="3"/>
  <c r="J253" i="3" a="1"/>
  <c r="J253" i="3" s="1"/>
  <c r="I253" i="3" a="1"/>
  <c r="I253" i="3" s="1"/>
  <c r="G253" i="3"/>
  <c r="J252" i="3" a="1"/>
  <c r="J252" i="3" s="1"/>
  <c r="I252" i="3" a="1"/>
  <c r="I252" i="3" s="1"/>
  <c r="G252" i="3"/>
  <c r="J251" i="3" a="1"/>
  <c r="J251" i="3" s="1"/>
  <c r="I251" i="3" a="1"/>
  <c r="I251" i="3" s="1"/>
  <c r="G251" i="3"/>
  <c r="J250" i="3" a="1"/>
  <c r="J250" i="3" s="1"/>
  <c r="I250" i="3" a="1"/>
  <c r="I250" i="3" s="1"/>
  <c r="G250" i="3"/>
  <c r="J249" i="3" a="1"/>
  <c r="J249" i="3" s="1"/>
  <c r="I249" i="3" a="1"/>
  <c r="I249" i="3" s="1"/>
  <c r="G249" i="3"/>
  <c r="J248" i="3" a="1"/>
  <c r="J248" i="3" s="1"/>
  <c r="I248" i="3" a="1"/>
  <c r="I248" i="3" s="1"/>
  <c r="G248" i="3"/>
  <c r="J247" i="3" a="1"/>
  <c r="J247" i="3" s="1"/>
  <c r="I247" i="3" a="1"/>
  <c r="I247" i="3" s="1"/>
  <c r="G247" i="3"/>
  <c r="J246" i="3" a="1"/>
  <c r="J246" i="3" s="1"/>
  <c r="I246" i="3" a="1"/>
  <c r="I246" i="3" s="1"/>
  <c r="G246" i="3"/>
  <c r="J245" i="3" a="1"/>
  <c r="J245" i="3" s="1"/>
  <c r="I245" i="3" a="1"/>
  <c r="I245" i="3" s="1"/>
  <c r="G245" i="3"/>
  <c r="J244" i="3" a="1"/>
  <c r="J244" i="3" s="1"/>
  <c r="I244" i="3" a="1"/>
  <c r="I244" i="3" s="1"/>
  <c r="G244" i="3"/>
  <c r="J243" i="3" a="1"/>
  <c r="J243" i="3" s="1"/>
  <c r="I243" i="3" a="1"/>
  <c r="I243" i="3" s="1"/>
  <c r="G243" i="3"/>
  <c r="J242" i="3" a="1"/>
  <c r="J242" i="3" s="1"/>
  <c r="I242" i="3" a="1"/>
  <c r="I242" i="3" s="1"/>
  <c r="G242" i="3"/>
  <c r="J241" i="3" a="1"/>
  <c r="J241" i="3" s="1"/>
  <c r="I241" i="3" a="1"/>
  <c r="I241" i="3" s="1"/>
  <c r="G241" i="3"/>
  <c r="J240" i="3" a="1"/>
  <c r="J240" i="3" s="1"/>
  <c r="I240" i="3" a="1"/>
  <c r="I240" i="3" s="1"/>
  <c r="G240" i="3"/>
  <c r="J239" i="3" a="1"/>
  <c r="J239" i="3" s="1"/>
  <c r="I239" i="3" a="1"/>
  <c r="I239" i="3" s="1"/>
  <c r="G239" i="3"/>
  <c r="J238" i="3" a="1"/>
  <c r="J238" i="3" s="1"/>
  <c r="I238" i="3" a="1"/>
  <c r="I238" i="3" s="1"/>
  <c r="G238" i="3"/>
  <c r="J237" i="3" a="1"/>
  <c r="J237" i="3" s="1"/>
  <c r="I237" i="3" a="1"/>
  <c r="I237" i="3" s="1"/>
  <c r="G237" i="3"/>
  <c r="J236" i="3" a="1"/>
  <c r="J236" i="3" s="1"/>
  <c r="I236" i="3" a="1"/>
  <c r="I236" i="3" s="1"/>
  <c r="G236" i="3"/>
  <c r="J235" i="3" a="1"/>
  <c r="J235" i="3" s="1"/>
  <c r="I235" i="3" a="1"/>
  <c r="I235" i="3" s="1"/>
  <c r="G235" i="3"/>
  <c r="J234" i="3" a="1"/>
  <c r="J234" i="3" s="1"/>
  <c r="I234" i="3" a="1"/>
  <c r="I234" i="3" s="1"/>
  <c r="G234" i="3"/>
  <c r="J233" i="3" a="1"/>
  <c r="J233" i="3" s="1"/>
  <c r="I233" i="3" a="1"/>
  <c r="I233" i="3" s="1"/>
  <c r="G233" i="3"/>
  <c r="J232" i="3" a="1"/>
  <c r="J232" i="3" s="1"/>
  <c r="I232" i="3" a="1"/>
  <c r="I232" i="3" s="1"/>
  <c r="G232" i="3"/>
  <c r="J231" i="3" a="1"/>
  <c r="J231" i="3" s="1"/>
  <c r="I231" i="3" a="1"/>
  <c r="I231" i="3" s="1"/>
  <c r="G231" i="3"/>
  <c r="J230" i="3" a="1"/>
  <c r="J230" i="3" s="1"/>
  <c r="I230" i="3" a="1"/>
  <c r="I230" i="3" s="1"/>
  <c r="G230" i="3"/>
  <c r="J229" i="3" a="1"/>
  <c r="J229" i="3" s="1"/>
  <c r="I229" i="3" a="1"/>
  <c r="I229" i="3" s="1"/>
  <c r="G229" i="3"/>
  <c r="J228" i="3" a="1"/>
  <c r="J228" i="3" s="1"/>
  <c r="I228" i="3" a="1"/>
  <c r="I228" i="3" s="1"/>
  <c r="G228" i="3"/>
  <c r="J227" i="3" a="1"/>
  <c r="J227" i="3" s="1"/>
  <c r="I227" i="3" a="1"/>
  <c r="I227" i="3" s="1"/>
  <c r="G227" i="3"/>
  <c r="J226" i="3" a="1"/>
  <c r="J226" i="3" s="1"/>
  <c r="I226" i="3" a="1"/>
  <c r="I226" i="3" s="1"/>
  <c r="G226" i="3"/>
  <c r="J225" i="3" a="1"/>
  <c r="J225" i="3" s="1"/>
  <c r="I225" i="3" a="1"/>
  <c r="I225" i="3" s="1"/>
  <c r="G225" i="3"/>
  <c r="J224" i="3" a="1"/>
  <c r="J224" i="3" s="1"/>
  <c r="I224" i="3" a="1"/>
  <c r="I224" i="3" s="1"/>
  <c r="G224" i="3"/>
  <c r="J223" i="3" a="1"/>
  <c r="J223" i="3" s="1"/>
  <c r="I223" i="3" a="1"/>
  <c r="I223" i="3" s="1"/>
  <c r="G223" i="3"/>
  <c r="J222" i="3" a="1"/>
  <c r="J222" i="3" s="1"/>
  <c r="I222" i="3" a="1"/>
  <c r="I222" i="3" s="1"/>
  <c r="G222" i="3"/>
  <c r="J221" i="3" a="1"/>
  <c r="J221" i="3" s="1"/>
  <c r="I221" i="3" a="1"/>
  <c r="I221" i="3" s="1"/>
  <c r="G221" i="3"/>
  <c r="J220" i="3" a="1"/>
  <c r="J220" i="3" s="1"/>
  <c r="I220" i="3" a="1"/>
  <c r="I220" i="3" s="1"/>
  <c r="G220" i="3"/>
  <c r="J219" i="3" a="1"/>
  <c r="J219" i="3" s="1"/>
  <c r="I219" i="3" a="1"/>
  <c r="I219" i="3" s="1"/>
  <c r="G219" i="3"/>
  <c r="J218" i="3" a="1"/>
  <c r="J218" i="3" s="1"/>
  <c r="I218" i="3" a="1"/>
  <c r="I218" i="3" s="1"/>
  <c r="G218" i="3"/>
  <c r="J217" i="3" a="1"/>
  <c r="J217" i="3" s="1"/>
  <c r="I217" i="3" a="1"/>
  <c r="I217" i="3" s="1"/>
  <c r="G217" i="3"/>
  <c r="J216" i="3" a="1"/>
  <c r="J216" i="3" s="1"/>
  <c r="I216" i="3" a="1"/>
  <c r="I216" i="3" s="1"/>
  <c r="G216" i="3"/>
  <c r="J215" i="3" a="1"/>
  <c r="J215" i="3" s="1"/>
  <c r="I215" i="3" a="1"/>
  <c r="I215" i="3" s="1"/>
  <c r="G215" i="3"/>
  <c r="J214" i="3" a="1"/>
  <c r="J214" i="3" s="1"/>
  <c r="I214" i="3" a="1"/>
  <c r="I214" i="3" s="1"/>
  <c r="G214" i="3"/>
  <c r="J213" i="3" a="1"/>
  <c r="J213" i="3" s="1"/>
  <c r="I213" i="3" a="1"/>
  <c r="I213" i="3" s="1"/>
  <c r="G213" i="3"/>
  <c r="J212" i="3" a="1"/>
  <c r="J212" i="3" s="1"/>
  <c r="I212" i="3" a="1"/>
  <c r="I212" i="3" s="1"/>
  <c r="G212" i="3"/>
  <c r="J211" i="3" a="1"/>
  <c r="J211" i="3" s="1"/>
  <c r="I211" i="3" a="1"/>
  <c r="I211" i="3" s="1"/>
  <c r="G211" i="3"/>
  <c r="J210" i="3" a="1"/>
  <c r="J210" i="3" s="1"/>
  <c r="I210" i="3" a="1"/>
  <c r="I210" i="3" s="1"/>
  <c r="G210" i="3"/>
  <c r="J209" i="3" a="1"/>
  <c r="J209" i="3" s="1"/>
  <c r="I209" i="3" a="1"/>
  <c r="I209" i="3" s="1"/>
  <c r="G209" i="3"/>
  <c r="J208" i="3" a="1"/>
  <c r="J208" i="3" s="1"/>
  <c r="I208" i="3" a="1"/>
  <c r="I208" i="3" s="1"/>
  <c r="G208" i="3"/>
  <c r="J207" i="3" a="1"/>
  <c r="J207" i="3" s="1"/>
  <c r="I207" i="3" a="1"/>
  <c r="I207" i="3" s="1"/>
  <c r="G207" i="3"/>
  <c r="J206" i="3" a="1"/>
  <c r="J206" i="3" s="1"/>
  <c r="I206" i="3" a="1"/>
  <c r="I206" i="3" s="1"/>
  <c r="G206" i="3"/>
  <c r="J205" i="3" a="1"/>
  <c r="J205" i="3" s="1"/>
  <c r="I205" i="3" a="1"/>
  <c r="I205" i="3" s="1"/>
  <c r="G205" i="3"/>
  <c r="J204" i="3" a="1"/>
  <c r="J204" i="3" s="1"/>
  <c r="I204" i="3" a="1"/>
  <c r="I204" i="3" s="1"/>
  <c r="G204" i="3"/>
  <c r="J203" i="3" a="1"/>
  <c r="J203" i="3" s="1"/>
  <c r="I203" i="3" a="1"/>
  <c r="I203" i="3" s="1"/>
  <c r="G203" i="3"/>
  <c r="J202" i="3" a="1"/>
  <c r="J202" i="3" s="1"/>
  <c r="I202" i="3" a="1"/>
  <c r="I202" i="3" s="1"/>
  <c r="G202" i="3"/>
  <c r="J201" i="3" a="1"/>
  <c r="J201" i="3" s="1"/>
  <c r="I201" i="3" a="1"/>
  <c r="I201" i="3" s="1"/>
  <c r="G201" i="3"/>
  <c r="J200" i="3" a="1"/>
  <c r="J200" i="3" s="1"/>
  <c r="I200" i="3" a="1"/>
  <c r="I200" i="3" s="1"/>
  <c r="G200" i="3"/>
  <c r="J199" i="3" a="1"/>
  <c r="J199" i="3" s="1"/>
  <c r="I199" i="3" a="1"/>
  <c r="I199" i="3" s="1"/>
  <c r="G199" i="3"/>
  <c r="J198" i="3" a="1"/>
  <c r="J198" i="3" s="1"/>
  <c r="I198" i="3" a="1"/>
  <c r="I198" i="3" s="1"/>
  <c r="G198" i="3"/>
  <c r="L197" i="3"/>
  <c r="J197" i="3" a="1"/>
  <c r="J197" i="3" s="1"/>
  <c r="I197" i="3" a="1"/>
  <c r="I197" i="3" s="1"/>
  <c r="G197" i="3"/>
  <c r="J196" i="3" a="1"/>
  <c r="J196" i="3" s="1"/>
  <c r="I196" i="3" a="1"/>
  <c r="I196" i="3" s="1"/>
  <c r="G196" i="3"/>
  <c r="J195" i="3" a="1"/>
  <c r="J195" i="3" s="1"/>
  <c r="I195" i="3" a="1"/>
  <c r="I195" i="3" s="1"/>
  <c r="G195" i="3"/>
  <c r="J194" i="3" a="1"/>
  <c r="J194" i="3" s="1"/>
  <c r="I194" i="3" a="1"/>
  <c r="I194" i="3" s="1"/>
  <c r="G194" i="3"/>
  <c r="J193" i="3" a="1"/>
  <c r="J193" i="3" s="1"/>
  <c r="I193" i="3" a="1"/>
  <c r="I193" i="3" s="1"/>
  <c r="G193" i="3"/>
  <c r="J192" i="3" a="1"/>
  <c r="J192" i="3" s="1"/>
  <c r="I192" i="3" a="1"/>
  <c r="I192" i="3" s="1"/>
  <c r="G192" i="3"/>
  <c r="J191" i="3" a="1"/>
  <c r="J191" i="3" s="1"/>
  <c r="I191" i="3" a="1"/>
  <c r="I191" i="3" s="1"/>
  <c r="G191" i="3"/>
  <c r="J190" i="3" a="1"/>
  <c r="J190" i="3" s="1"/>
  <c r="I190" i="3" a="1"/>
  <c r="I190" i="3" s="1"/>
  <c r="G190" i="3"/>
  <c r="J189" i="3" a="1"/>
  <c r="J189" i="3" s="1"/>
  <c r="I189" i="3" a="1"/>
  <c r="I189" i="3" s="1"/>
  <c r="G189" i="3"/>
  <c r="J188" i="3" a="1"/>
  <c r="J188" i="3" s="1"/>
  <c r="I188" i="3" a="1"/>
  <c r="I188" i="3" s="1"/>
  <c r="G188" i="3"/>
  <c r="J187" i="3" a="1"/>
  <c r="J187" i="3" s="1"/>
  <c r="I187" i="3" a="1"/>
  <c r="I187" i="3" s="1"/>
  <c r="G187" i="3"/>
  <c r="J186" i="3" a="1"/>
  <c r="J186" i="3" s="1"/>
  <c r="I186" i="3" a="1"/>
  <c r="I186" i="3" s="1"/>
  <c r="G186" i="3"/>
  <c r="L185" i="3"/>
  <c r="J185" i="3" a="1"/>
  <c r="J185" i="3" s="1"/>
  <c r="I185" i="3" a="1"/>
  <c r="I185" i="3" s="1"/>
  <c r="G185" i="3"/>
  <c r="L184" i="3"/>
  <c r="J184" i="3" a="1"/>
  <c r="J184" i="3" s="1"/>
  <c r="I184" i="3" a="1"/>
  <c r="I184" i="3" s="1"/>
  <c r="G184" i="3"/>
  <c r="L183" i="3"/>
  <c r="J183" i="3" a="1"/>
  <c r="J183" i="3" s="1"/>
  <c r="I183" i="3" a="1"/>
  <c r="I183" i="3" s="1"/>
  <c r="G183" i="3"/>
  <c r="C183" i="3"/>
  <c r="L182" i="3"/>
  <c r="J182" i="3" a="1"/>
  <c r="J182" i="3" s="1"/>
  <c r="I182" i="3" a="1"/>
  <c r="I182" i="3" s="1"/>
  <c r="G182" i="3"/>
  <c r="L181" i="3"/>
  <c r="J181" i="3" a="1"/>
  <c r="J181" i="3" s="1"/>
  <c r="I181" i="3" a="1"/>
  <c r="I181" i="3" s="1"/>
  <c r="G181" i="3"/>
  <c r="L180" i="3"/>
  <c r="J180" i="3" a="1"/>
  <c r="J180" i="3" s="1"/>
  <c r="I180" i="3" a="1"/>
  <c r="I180" i="3" s="1"/>
  <c r="G180" i="3"/>
  <c r="L179" i="3"/>
  <c r="J179" i="3" a="1"/>
  <c r="J179" i="3" s="1"/>
  <c r="I179" i="3" a="1"/>
  <c r="I179" i="3" s="1"/>
  <c r="G179" i="3"/>
  <c r="J178" i="3" a="1"/>
  <c r="J178" i="3" s="1"/>
  <c r="I178" i="3" a="1"/>
  <c r="I178" i="3" s="1"/>
  <c r="G178" i="3"/>
  <c r="L177" i="3"/>
  <c r="J177" i="3" a="1"/>
  <c r="J177" i="3" s="1"/>
  <c r="I177" i="3" a="1"/>
  <c r="I177" i="3" s="1"/>
  <c r="G177" i="3"/>
  <c r="L176" i="3"/>
  <c r="J176" i="3" a="1"/>
  <c r="J176" i="3" s="1"/>
  <c r="I176" i="3" a="1"/>
  <c r="I176" i="3" s="1"/>
  <c r="G176" i="3"/>
  <c r="L175" i="3"/>
  <c r="J175" i="3" a="1"/>
  <c r="J175" i="3" s="1"/>
  <c r="I175" i="3" a="1"/>
  <c r="I175" i="3" s="1"/>
  <c r="G175" i="3"/>
  <c r="L174" i="3"/>
  <c r="J174" i="3" a="1"/>
  <c r="J174" i="3" s="1"/>
  <c r="I174" i="3" a="1"/>
  <c r="I174" i="3" s="1"/>
  <c r="G174" i="3"/>
  <c r="L173" i="3"/>
  <c r="J173" i="3" a="1"/>
  <c r="J173" i="3" s="1"/>
  <c r="I173" i="3" a="1"/>
  <c r="I173" i="3" s="1"/>
  <c r="G173" i="3"/>
  <c r="L172" i="3"/>
  <c r="J172" i="3" a="1"/>
  <c r="J172" i="3" s="1"/>
  <c r="I172" i="3" a="1"/>
  <c r="I172" i="3" s="1"/>
  <c r="G172" i="3"/>
  <c r="J171" i="3" a="1"/>
  <c r="J171" i="3" s="1"/>
  <c r="I171" i="3" a="1"/>
  <c r="I171" i="3" s="1"/>
  <c r="G171" i="3"/>
  <c r="J170" i="3" a="1"/>
  <c r="J170" i="3" s="1"/>
  <c r="I170" i="3" a="1"/>
  <c r="I170" i="3" s="1"/>
  <c r="G170" i="3"/>
  <c r="J169" i="3" a="1"/>
  <c r="J169" i="3" s="1"/>
  <c r="I169" i="3" a="1"/>
  <c r="I169" i="3" s="1"/>
  <c r="G169" i="3"/>
  <c r="J168" i="3" a="1"/>
  <c r="J168" i="3" s="1"/>
  <c r="I168" i="3" a="1"/>
  <c r="I168" i="3" s="1"/>
  <c r="G168" i="3"/>
  <c r="J167" i="3" a="1"/>
  <c r="J167" i="3" s="1"/>
  <c r="I167" i="3" a="1"/>
  <c r="I167" i="3" s="1"/>
  <c r="G167" i="3"/>
  <c r="J166" i="3" a="1"/>
  <c r="J166" i="3" s="1"/>
  <c r="I166" i="3" a="1"/>
  <c r="I166" i="3" s="1"/>
  <c r="G166" i="3"/>
  <c r="J165" i="3" a="1"/>
  <c r="J165" i="3" s="1"/>
  <c r="I165" i="3" a="1"/>
  <c r="I165" i="3" s="1"/>
  <c r="G165" i="3"/>
  <c r="J164" i="3" a="1"/>
  <c r="J164" i="3" s="1"/>
  <c r="I164" i="3" a="1"/>
  <c r="I164" i="3" s="1"/>
  <c r="G164" i="3"/>
  <c r="J163" i="3" a="1"/>
  <c r="J163" i="3" s="1"/>
  <c r="I163" i="3" a="1"/>
  <c r="I163" i="3" s="1"/>
  <c r="G163" i="3"/>
  <c r="J162" i="3" a="1"/>
  <c r="J162" i="3" s="1"/>
  <c r="I162" i="3" a="1"/>
  <c r="I162" i="3" s="1"/>
  <c r="G162" i="3"/>
  <c r="J161" i="3" a="1"/>
  <c r="J161" i="3" s="1"/>
  <c r="I161" i="3" a="1"/>
  <c r="I161" i="3" s="1"/>
  <c r="G161" i="3"/>
  <c r="J160" i="3" a="1"/>
  <c r="J160" i="3" s="1"/>
  <c r="I160" i="3" a="1"/>
  <c r="I160" i="3" s="1"/>
  <c r="G160" i="3"/>
  <c r="J159" i="3" a="1"/>
  <c r="J159" i="3" s="1"/>
  <c r="I159" i="3" a="1"/>
  <c r="I159" i="3" s="1"/>
  <c r="G159" i="3"/>
  <c r="J158" i="3" a="1"/>
  <c r="J158" i="3" s="1"/>
  <c r="I158" i="3" a="1"/>
  <c r="I158" i="3" s="1"/>
  <c r="G158" i="3"/>
  <c r="J157" i="3" a="1"/>
  <c r="J157" i="3" s="1"/>
  <c r="I157" i="3" a="1"/>
  <c r="I157" i="3" s="1"/>
  <c r="G157" i="3"/>
  <c r="L156" i="3"/>
  <c r="J156" i="3" a="1"/>
  <c r="J156" i="3" s="1"/>
  <c r="I156" i="3" a="1"/>
  <c r="I156" i="3" s="1"/>
  <c r="G156" i="3"/>
  <c r="L155" i="3"/>
  <c r="J155" i="3" a="1"/>
  <c r="J155" i="3" s="1"/>
  <c r="I155" i="3" a="1"/>
  <c r="I155" i="3" s="1"/>
  <c r="G155" i="3"/>
  <c r="L154" i="3"/>
  <c r="J154" i="3" a="1"/>
  <c r="J154" i="3" s="1"/>
  <c r="I154" i="3" a="1"/>
  <c r="I154" i="3" s="1"/>
  <c r="G154" i="3"/>
  <c r="L153" i="3"/>
  <c r="J153" i="3" a="1"/>
  <c r="J153" i="3" s="1"/>
  <c r="I153" i="3" a="1"/>
  <c r="I153" i="3" s="1"/>
  <c r="G153" i="3"/>
  <c r="L152" i="3"/>
  <c r="J152" i="3" a="1"/>
  <c r="J152" i="3" s="1"/>
  <c r="I152" i="3" a="1"/>
  <c r="I152" i="3" s="1"/>
  <c r="G152" i="3"/>
  <c r="L151" i="3"/>
  <c r="J151" i="3" a="1"/>
  <c r="J151" i="3" s="1"/>
  <c r="I151" i="3" a="1"/>
  <c r="I151" i="3" s="1"/>
  <c r="G151" i="3"/>
  <c r="L150" i="3"/>
  <c r="J150" i="3" a="1"/>
  <c r="J150" i="3" s="1"/>
  <c r="I150" i="3" a="1"/>
  <c r="I150" i="3" s="1"/>
  <c r="G150" i="3"/>
  <c r="L149" i="3"/>
  <c r="J149" i="3" a="1"/>
  <c r="J149" i="3" s="1"/>
  <c r="I149" i="3" a="1"/>
  <c r="I149" i="3" s="1"/>
  <c r="G149" i="3"/>
  <c r="L148" i="3"/>
  <c r="J148" i="3" a="1"/>
  <c r="J148" i="3" s="1"/>
  <c r="I148" i="3" a="1"/>
  <c r="I148" i="3" s="1"/>
  <c r="G148" i="3"/>
  <c r="L147" i="3"/>
  <c r="J147" i="3" a="1"/>
  <c r="J147" i="3" s="1"/>
  <c r="I147" i="3" a="1"/>
  <c r="I147" i="3" s="1"/>
  <c r="G147" i="3"/>
  <c r="L146" i="3"/>
  <c r="J146" i="3" a="1"/>
  <c r="J146" i="3" s="1"/>
  <c r="I146" i="3" a="1"/>
  <c r="I146" i="3" s="1"/>
  <c r="G146" i="3"/>
  <c r="L145" i="3"/>
  <c r="J145" i="3" a="1"/>
  <c r="J145" i="3" s="1"/>
  <c r="I145" i="3" a="1"/>
  <c r="I145" i="3" s="1"/>
  <c r="G145" i="3"/>
  <c r="L144" i="3"/>
  <c r="J144" i="3" a="1"/>
  <c r="J144" i="3" s="1"/>
  <c r="I144" i="3" a="1"/>
  <c r="I144" i="3" s="1"/>
  <c r="G144" i="3"/>
  <c r="L143" i="3"/>
  <c r="J143" i="3" a="1"/>
  <c r="J143" i="3" s="1"/>
  <c r="I143" i="3" a="1"/>
  <c r="I143" i="3" s="1"/>
  <c r="G143" i="3"/>
  <c r="J142" i="3" a="1"/>
  <c r="J142" i="3" s="1"/>
  <c r="I142" i="3" a="1"/>
  <c r="I142" i="3" s="1"/>
  <c r="G142" i="3"/>
  <c r="L141" i="3"/>
  <c r="J141" i="3" a="1"/>
  <c r="J141" i="3" s="1"/>
  <c r="I141" i="3" a="1"/>
  <c r="I141" i="3" s="1"/>
  <c r="G141" i="3"/>
  <c r="L139" i="3"/>
  <c r="J139" i="3" a="1"/>
  <c r="J139" i="3" s="1"/>
  <c r="I139" i="3" a="1"/>
  <c r="I139" i="3" s="1"/>
  <c r="G139" i="3"/>
  <c r="L138" i="3"/>
  <c r="J138" i="3" a="1"/>
  <c r="J138" i="3" s="1"/>
  <c r="I138" i="3" a="1"/>
  <c r="I138" i="3" s="1"/>
  <c r="G138" i="3"/>
  <c r="L137" i="3"/>
  <c r="J137" i="3" a="1"/>
  <c r="J137" i="3" s="1"/>
  <c r="I137" i="3" a="1"/>
  <c r="I137" i="3" s="1"/>
  <c r="G137" i="3"/>
  <c r="L136" i="3"/>
  <c r="J136" i="3" a="1"/>
  <c r="J136" i="3" s="1"/>
  <c r="I136" i="3" a="1"/>
  <c r="I136" i="3" s="1"/>
  <c r="G136" i="3"/>
  <c r="L135" i="3"/>
  <c r="J135" i="3" a="1"/>
  <c r="J135" i="3" s="1"/>
  <c r="I135" i="3" a="1"/>
  <c r="I135" i="3" s="1"/>
  <c r="G135" i="3"/>
  <c r="L134" i="3"/>
  <c r="J134" i="3" a="1"/>
  <c r="J134" i="3" s="1"/>
  <c r="I134" i="3" a="1"/>
  <c r="I134" i="3" s="1"/>
  <c r="G134" i="3"/>
  <c r="L133" i="3"/>
  <c r="J133" i="3" a="1"/>
  <c r="J133" i="3" s="1"/>
  <c r="I133" i="3" a="1"/>
  <c r="I133" i="3" s="1"/>
  <c r="G133" i="3"/>
  <c r="L132" i="3"/>
  <c r="J132" i="3" a="1"/>
  <c r="J132" i="3" s="1"/>
  <c r="I132" i="3" a="1"/>
  <c r="I132" i="3" s="1"/>
  <c r="G132" i="3"/>
  <c r="J131" i="3" a="1"/>
  <c r="J131" i="3" s="1"/>
  <c r="I131" i="3" a="1"/>
  <c r="I131" i="3" s="1"/>
  <c r="G131" i="3"/>
  <c r="L130" i="3"/>
  <c r="J130" i="3" a="1"/>
  <c r="J130" i="3" s="1"/>
  <c r="I130" i="3" a="1"/>
  <c r="I130" i="3" s="1"/>
  <c r="G130" i="3"/>
  <c r="L129" i="3"/>
  <c r="J129" i="3" a="1"/>
  <c r="J129" i="3" s="1"/>
  <c r="I129" i="3" a="1"/>
  <c r="I129" i="3" s="1"/>
  <c r="G129" i="3"/>
  <c r="L128" i="3"/>
  <c r="J128" i="3" a="1"/>
  <c r="J128" i="3" s="1"/>
  <c r="I128" i="3" a="1"/>
  <c r="I128" i="3" s="1"/>
  <c r="G128" i="3"/>
  <c r="L127" i="3"/>
  <c r="J127" i="3" a="1"/>
  <c r="J127" i="3" s="1"/>
  <c r="I127" i="3" a="1"/>
  <c r="I127" i="3" s="1"/>
  <c r="G127" i="3"/>
  <c r="L126" i="3"/>
  <c r="J126" i="3" a="1"/>
  <c r="J126" i="3" s="1"/>
  <c r="I126" i="3" a="1"/>
  <c r="I126" i="3" s="1"/>
  <c r="G126" i="3"/>
  <c r="L125" i="3"/>
  <c r="J125" i="3" a="1"/>
  <c r="J125" i="3" s="1"/>
  <c r="I125" i="3" a="1"/>
  <c r="I125" i="3" s="1"/>
  <c r="G125" i="3"/>
  <c r="L124" i="3"/>
  <c r="J124" i="3" a="1"/>
  <c r="J124" i="3" s="1"/>
  <c r="I124" i="3" a="1"/>
  <c r="I124" i="3" s="1"/>
  <c r="G124" i="3"/>
  <c r="L123" i="3"/>
  <c r="J123" i="3" a="1"/>
  <c r="J123" i="3" s="1"/>
  <c r="I123" i="3" a="1"/>
  <c r="I123" i="3" s="1"/>
  <c r="G123" i="3"/>
  <c r="L122" i="3"/>
  <c r="J122" i="3" a="1"/>
  <c r="J122" i="3" s="1"/>
  <c r="I122" i="3" a="1"/>
  <c r="I122" i="3" s="1"/>
  <c r="G122" i="3"/>
  <c r="L121" i="3"/>
  <c r="J121" i="3" a="1"/>
  <c r="J121" i="3" s="1"/>
  <c r="I121" i="3" a="1"/>
  <c r="I121" i="3" s="1"/>
  <c r="G121" i="3"/>
  <c r="L120" i="3"/>
  <c r="J120" i="3" a="1"/>
  <c r="J120" i="3" s="1"/>
  <c r="I120" i="3" a="1"/>
  <c r="I120" i="3" s="1"/>
  <c r="G120" i="3"/>
  <c r="L119" i="3"/>
  <c r="J119" i="3" a="1"/>
  <c r="J119" i="3" s="1"/>
  <c r="I119" i="3" a="1"/>
  <c r="I119" i="3" s="1"/>
  <c r="G119" i="3"/>
  <c r="L118" i="3"/>
  <c r="J118" i="3" a="1"/>
  <c r="J118" i="3" s="1"/>
  <c r="I118" i="3" a="1"/>
  <c r="I118" i="3" s="1"/>
  <c r="G118" i="3"/>
  <c r="L117" i="3"/>
  <c r="J117" i="3" a="1"/>
  <c r="J117" i="3" s="1"/>
  <c r="I117" i="3" a="1"/>
  <c r="I117" i="3" s="1"/>
  <c r="G117" i="3"/>
  <c r="J116" i="3" a="1"/>
  <c r="J116" i="3" s="1"/>
  <c r="I116" i="3" a="1"/>
  <c r="I116" i="3" s="1"/>
  <c r="G116" i="3"/>
  <c r="C116" i="3"/>
  <c r="L115" i="3"/>
  <c r="J115" i="3" a="1"/>
  <c r="J115" i="3" s="1"/>
  <c r="I115" i="3" a="1"/>
  <c r="I115" i="3" s="1"/>
  <c r="G115" i="3"/>
  <c r="L114" i="3"/>
  <c r="J114" i="3" a="1"/>
  <c r="J114" i="3" s="1"/>
  <c r="I114" i="3" a="1"/>
  <c r="I114" i="3" s="1"/>
  <c r="G114" i="3"/>
  <c r="L113" i="3"/>
  <c r="J113" i="3" a="1"/>
  <c r="J113" i="3" s="1"/>
  <c r="I113" i="3" a="1"/>
  <c r="I113" i="3" s="1"/>
  <c r="G113" i="3"/>
  <c r="L112" i="3"/>
  <c r="J112" i="3" a="1"/>
  <c r="J112" i="3" s="1"/>
  <c r="I112" i="3" a="1"/>
  <c r="I112" i="3" s="1"/>
  <c r="G112" i="3"/>
  <c r="L111" i="3"/>
  <c r="J111" i="3" a="1"/>
  <c r="J111" i="3" s="1"/>
  <c r="I111" i="3" a="1"/>
  <c r="I111" i="3" s="1"/>
  <c r="G111" i="3"/>
  <c r="L110" i="3"/>
  <c r="J110" i="3" a="1"/>
  <c r="J110" i="3" s="1"/>
  <c r="I110" i="3" a="1"/>
  <c r="I110" i="3" s="1"/>
  <c r="G110" i="3"/>
  <c r="L109" i="3"/>
  <c r="J109" i="3" a="1"/>
  <c r="J109" i="3" s="1"/>
  <c r="I109" i="3" a="1"/>
  <c r="I109" i="3" s="1"/>
  <c r="G109" i="3"/>
  <c r="L108" i="3"/>
  <c r="J108" i="3" a="1"/>
  <c r="J108" i="3" s="1"/>
  <c r="I108" i="3" a="1"/>
  <c r="I108" i="3" s="1"/>
  <c r="G108" i="3"/>
  <c r="J107" i="3" a="1"/>
  <c r="J107" i="3" s="1"/>
  <c r="I107" i="3" a="1"/>
  <c r="I107" i="3" s="1"/>
  <c r="G107" i="3"/>
  <c r="L106" i="3"/>
  <c r="J106" i="3" a="1"/>
  <c r="J106" i="3" s="1"/>
  <c r="I106" i="3" a="1"/>
  <c r="I106" i="3" s="1"/>
  <c r="G106" i="3"/>
  <c r="L105" i="3"/>
  <c r="J105" i="3" a="1"/>
  <c r="J105" i="3" s="1"/>
  <c r="I105" i="3" a="1"/>
  <c r="I105" i="3" s="1"/>
  <c r="G105" i="3"/>
  <c r="L104" i="3"/>
  <c r="J104" i="3" a="1"/>
  <c r="J104" i="3" s="1"/>
  <c r="I104" i="3" a="1"/>
  <c r="I104" i="3" s="1"/>
  <c r="G104" i="3"/>
  <c r="L103" i="3"/>
  <c r="J103" i="3" a="1"/>
  <c r="J103" i="3" s="1"/>
  <c r="I103" i="3" a="1"/>
  <c r="I103" i="3" s="1"/>
  <c r="G103" i="3"/>
  <c r="L102" i="3"/>
  <c r="J102" i="3" a="1"/>
  <c r="J102" i="3" s="1"/>
  <c r="I102" i="3" a="1"/>
  <c r="I102" i="3" s="1"/>
  <c r="G102" i="3"/>
  <c r="L101" i="3"/>
  <c r="J101" i="3" a="1"/>
  <c r="J101" i="3" s="1"/>
  <c r="I101" i="3" a="1"/>
  <c r="I101" i="3" s="1"/>
  <c r="G101" i="3"/>
  <c r="L100" i="3"/>
  <c r="J100" i="3" a="1"/>
  <c r="J100" i="3" s="1"/>
  <c r="I100" i="3" a="1"/>
  <c r="I100" i="3" s="1"/>
  <c r="G100" i="3"/>
  <c r="L99" i="3"/>
  <c r="J99" i="3" a="1"/>
  <c r="J99" i="3" s="1"/>
  <c r="I99" i="3" a="1"/>
  <c r="I99" i="3" s="1"/>
  <c r="G99" i="3"/>
  <c r="L98" i="3"/>
  <c r="J98" i="3" a="1"/>
  <c r="J98" i="3" s="1"/>
  <c r="I98" i="3" a="1"/>
  <c r="I98" i="3" s="1"/>
  <c r="G98" i="3"/>
  <c r="L97" i="3"/>
  <c r="J97" i="3" a="1"/>
  <c r="J97" i="3" s="1"/>
  <c r="I97" i="3" a="1"/>
  <c r="I97" i="3" s="1"/>
  <c r="G97" i="3"/>
  <c r="L96" i="3"/>
  <c r="J96" i="3" a="1"/>
  <c r="J96" i="3" s="1"/>
  <c r="I96" i="3" a="1"/>
  <c r="I96" i="3" s="1"/>
  <c r="G96" i="3"/>
  <c r="L95" i="3"/>
  <c r="J95" i="3" a="1"/>
  <c r="J95" i="3" s="1"/>
  <c r="I95" i="3" a="1"/>
  <c r="I95" i="3" s="1"/>
  <c r="G95" i="3"/>
  <c r="L94" i="3"/>
  <c r="J94" i="3" a="1"/>
  <c r="J94" i="3" s="1"/>
  <c r="I94" i="3" a="1"/>
  <c r="I94" i="3" s="1"/>
  <c r="G94" i="3"/>
  <c r="L93" i="3"/>
  <c r="J93" i="3" a="1"/>
  <c r="J93" i="3" s="1"/>
  <c r="I93" i="3" a="1"/>
  <c r="I93" i="3" s="1"/>
  <c r="G93" i="3"/>
  <c r="L92" i="3"/>
  <c r="J92" i="3" a="1"/>
  <c r="J92" i="3" s="1"/>
  <c r="I92" i="3" a="1"/>
  <c r="I92" i="3" s="1"/>
  <c r="G92" i="3"/>
  <c r="J91" i="3" a="1"/>
  <c r="J91" i="3" s="1"/>
  <c r="I91" i="3" a="1"/>
  <c r="I91" i="3" s="1"/>
  <c r="G91" i="3"/>
  <c r="L90" i="3"/>
  <c r="J90" i="3" a="1"/>
  <c r="J90" i="3" s="1"/>
  <c r="I90" i="3" a="1"/>
  <c r="I90" i="3" s="1"/>
  <c r="G90" i="3"/>
  <c r="L89" i="3"/>
  <c r="J89" i="3" a="1"/>
  <c r="J89" i="3" s="1"/>
  <c r="I89" i="3" a="1"/>
  <c r="I89" i="3" s="1"/>
  <c r="G89" i="3"/>
  <c r="L88" i="3"/>
  <c r="J88" i="3" a="1"/>
  <c r="J88" i="3" s="1"/>
  <c r="I88" i="3" a="1"/>
  <c r="I88" i="3" s="1"/>
  <c r="G88" i="3"/>
  <c r="J87" i="3" a="1"/>
  <c r="J87" i="3" s="1"/>
  <c r="I87" i="3" a="1"/>
  <c r="I87" i="3" s="1"/>
  <c r="G87" i="3"/>
  <c r="L86" i="3"/>
  <c r="J86" i="3" a="1"/>
  <c r="J86" i="3" s="1"/>
  <c r="I86" i="3" a="1"/>
  <c r="I86" i="3" s="1"/>
  <c r="G86" i="3"/>
  <c r="J85" i="3" a="1"/>
  <c r="J85" i="3" s="1"/>
  <c r="I85" i="3" a="1"/>
  <c r="I85" i="3" s="1"/>
  <c r="G85" i="3"/>
  <c r="J84" i="3" a="1"/>
  <c r="J84" i="3" s="1"/>
  <c r="I84" i="3" a="1"/>
  <c r="I84" i="3" s="1"/>
  <c r="G84" i="3"/>
  <c r="L83" i="3"/>
  <c r="J83" i="3" a="1"/>
  <c r="J83" i="3" s="1"/>
  <c r="I83" i="3" a="1"/>
  <c r="I83" i="3" s="1"/>
  <c r="G83" i="3"/>
  <c r="L82" i="3"/>
  <c r="J82" i="3" a="1"/>
  <c r="J82" i="3" s="1"/>
  <c r="I82" i="3" a="1"/>
  <c r="I82" i="3" s="1"/>
  <c r="G82" i="3"/>
  <c r="L81" i="3"/>
  <c r="J81" i="3" a="1"/>
  <c r="J81" i="3" s="1"/>
  <c r="I81" i="3" a="1"/>
  <c r="I81" i="3" s="1"/>
  <c r="G81" i="3"/>
  <c r="L80" i="3"/>
  <c r="G80" i="3"/>
  <c r="L79" i="3"/>
  <c r="J79" i="3" a="1"/>
  <c r="J79" i="3" s="1"/>
  <c r="I79" i="3" a="1"/>
  <c r="I79" i="3" s="1"/>
  <c r="G79" i="3"/>
  <c r="J78" i="3" a="1"/>
  <c r="J78" i="3" s="1"/>
  <c r="I78" i="3" a="1"/>
  <c r="I78" i="3" s="1"/>
  <c r="G78" i="3"/>
  <c r="L77" i="3"/>
  <c r="J77" i="3" a="1"/>
  <c r="J77" i="3" s="1"/>
  <c r="I77" i="3" a="1"/>
  <c r="I77" i="3" s="1"/>
  <c r="G77" i="3"/>
  <c r="L76" i="3"/>
  <c r="J76" i="3" a="1"/>
  <c r="J76" i="3" s="1"/>
  <c r="I76" i="3" a="1"/>
  <c r="I76" i="3" s="1"/>
  <c r="G76" i="3"/>
  <c r="L75" i="3"/>
  <c r="J75" i="3" a="1"/>
  <c r="J75" i="3" s="1"/>
  <c r="I75" i="3" a="1"/>
  <c r="I75" i="3" s="1"/>
  <c r="G75" i="3"/>
  <c r="L74" i="3"/>
  <c r="J74" i="3" a="1"/>
  <c r="J74" i="3" s="1"/>
  <c r="I74" i="3" a="1"/>
  <c r="I74" i="3" s="1"/>
  <c r="G74" i="3"/>
  <c r="L73" i="3"/>
  <c r="J73" i="3" a="1"/>
  <c r="J73" i="3" s="1"/>
  <c r="I73" i="3" a="1"/>
  <c r="I73" i="3" s="1"/>
  <c r="G73" i="3"/>
  <c r="J72" i="3" a="1"/>
  <c r="J72" i="3" s="1"/>
  <c r="I72" i="3" a="1"/>
  <c r="I72" i="3" s="1"/>
  <c r="G72" i="3"/>
  <c r="J71" i="3" a="1"/>
  <c r="J71" i="3" s="1"/>
  <c r="I71" i="3" a="1"/>
  <c r="I71" i="3" s="1"/>
  <c r="G71" i="3"/>
  <c r="L70" i="3"/>
  <c r="J70" i="3" a="1"/>
  <c r="J70" i="3" s="1"/>
  <c r="I70" i="3" a="1"/>
  <c r="I70" i="3" s="1"/>
  <c r="G70" i="3"/>
  <c r="L69" i="3"/>
  <c r="J69" i="3" a="1"/>
  <c r="J69" i="3" s="1"/>
  <c r="I69" i="3" a="1"/>
  <c r="I69" i="3" s="1"/>
  <c r="G69" i="3"/>
  <c r="L68" i="3"/>
  <c r="J68" i="3" a="1"/>
  <c r="J68" i="3" s="1"/>
  <c r="I68" i="3" a="1"/>
  <c r="I68" i="3" s="1"/>
  <c r="G68" i="3"/>
  <c r="L67" i="3"/>
  <c r="J67" i="3" a="1"/>
  <c r="J67" i="3" s="1"/>
  <c r="I67" i="3" a="1"/>
  <c r="I67" i="3" s="1"/>
  <c r="G67" i="3"/>
  <c r="L66" i="3"/>
  <c r="J66" i="3" a="1"/>
  <c r="J66" i="3" s="1"/>
  <c r="I66" i="3" a="1"/>
  <c r="I66" i="3" s="1"/>
  <c r="G66" i="3"/>
  <c r="L65" i="3"/>
  <c r="J65" i="3" a="1"/>
  <c r="J65" i="3" s="1"/>
  <c r="I65" i="3" a="1"/>
  <c r="I65" i="3" s="1"/>
  <c r="G65" i="3"/>
  <c r="L64" i="3"/>
  <c r="J64" i="3" a="1"/>
  <c r="J64" i="3" s="1"/>
  <c r="I64" i="3" a="1"/>
  <c r="I64" i="3" s="1"/>
  <c r="G64" i="3"/>
  <c r="L63" i="3"/>
  <c r="J63" i="3" a="1"/>
  <c r="J63" i="3" s="1"/>
  <c r="I63" i="3" a="1"/>
  <c r="I63" i="3" s="1"/>
  <c r="G63" i="3"/>
  <c r="L62" i="3"/>
  <c r="J62" i="3" a="1"/>
  <c r="J62" i="3" s="1"/>
  <c r="I62" i="3" a="1"/>
  <c r="I62" i="3" s="1"/>
  <c r="G62" i="3"/>
  <c r="L61" i="3"/>
  <c r="J61" i="3" a="1"/>
  <c r="J61" i="3" s="1"/>
  <c r="I61" i="3" a="1"/>
  <c r="I61" i="3" s="1"/>
  <c r="G61" i="3"/>
  <c r="L60" i="3"/>
  <c r="J60" i="3" a="1"/>
  <c r="J60" i="3" s="1"/>
  <c r="I60" i="3" a="1"/>
  <c r="I60" i="3" s="1"/>
  <c r="G60" i="3"/>
  <c r="J59" i="3" a="1"/>
  <c r="J59" i="3" s="1"/>
  <c r="I59" i="3" a="1"/>
  <c r="I59" i="3" s="1"/>
  <c r="G59" i="3"/>
  <c r="L58" i="3"/>
  <c r="J58" i="3" a="1"/>
  <c r="J58" i="3" s="1"/>
  <c r="I58" i="3" a="1"/>
  <c r="I58" i="3" s="1"/>
  <c r="G58" i="3"/>
  <c r="L57" i="3"/>
  <c r="J57" i="3" a="1"/>
  <c r="J57" i="3" s="1"/>
  <c r="I57" i="3" a="1"/>
  <c r="I57" i="3" s="1"/>
  <c r="G57" i="3"/>
  <c r="J56" i="3" a="1"/>
  <c r="J56" i="3" s="1"/>
  <c r="I56" i="3" a="1"/>
  <c r="I56" i="3" s="1"/>
  <c r="G56" i="3"/>
  <c r="L55" i="3"/>
  <c r="J55" i="3" a="1"/>
  <c r="J55" i="3" s="1"/>
  <c r="I55" i="3" a="1"/>
  <c r="I55" i="3" s="1"/>
  <c r="G55" i="3"/>
  <c r="L54" i="3"/>
  <c r="J54" i="3" a="1"/>
  <c r="J54" i="3" s="1"/>
  <c r="I54" i="3" a="1"/>
  <c r="I54" i="3" s="1"/>
  <c r="G54" i="3"/>
  <c r="J53" i="3" a="1"/>
  <c r="J53" i="3" s="1"/>
  <c r="I53" i="3" a="1"/>
  <c r="I53" i="3" s="1"/>
  <c r="G53" i="3"/>
  <c r="L52" i="3"/>
  <c r="J52" i="3" a="1"/>
  <c r="J52" i="3" s="1"/>
  <c r="I52" i="3" a="1"/>
  <c r="I52" i="3" s="1"/>
  <c r="G52" i="3"/>
  <c r="L51" i="3"/>
  <c r="J51" i="3" a="1"/>
  <c r="J51" i="3" s="1"/>
  <c r="I51" i="3" a="1"/>
  <c r="I51" i="3" s="1"/>
  <c r="G51" i="3"/>
  <c r="L50" i="3"/>
  <c r="J50" i="3" a="1"/>
  <c r="J50" i="3" s="1"/>
  <c r="I50" i="3" a="1"/>
  <c r="I50" i="3" s="1"/>
  <c r="G50" i="3"/>
  <c r="L49" i="3"/>
  <c r="J49" i="3" a="1"/>
  <c r="J49" i="3" s="1"/>
  <c r="I49" i="3" a="1"/>
  <c r="I49" i="3" s="1"/>
  <c r="G49" i="3"/>
  <c r="L48" i="3"/>
  <c r="J48" i="3" a="1"/>
  <c r="J48" i="3" s="1"/>
  <c r="I48" i="3" a="1"/>
  <c r="I48" i="3" s="1"/>
  <c r="G48" i="3"/>
  <c r="L47" i="3"/>
  <c r="J47" i="3" a="1"/>
  <c r="J47" i="3" s="1"/>
  <c r="I47" i="3" a="1"/>
  <c r="I47" i="3" s="1"/>
  <c r="G47" i="3"/>
  <c r="J46" i="3" a="1"/>
  <c r="J46" i="3" s="1"/>
  <c r="I46" i="3" a="1"/>
  <c r="I46" i="3" s="1"/>
  <c r="G46" i="3"/>
  <c r="L45" i="3"/>
  <c r="J45" i="3" a="1"/>
  <c r="J45" i="3" s="1"/>
  <c r="I45" i="3" a="1"/>
  <c r="I45" i="3" s="1"/>
  <c r="G45" i="3"/>
  <c r="J44" i="3" a="1"/>
  <c r="J44" i="3" s="1"/>
  <c r="I44" i="3" a="1"/>
  <c r="I44" i="3" s="1"/>
  <c r="G44" i="3"/>
  <c r="L43" i="3"/>
  <c r="J43" i="3" a="1"/>
  <c r="J43" i="3" s="1"/>
  <c r="I43" i="3" a="1"/>
  <c r="I43" i="3" s="1"/>
  <c r="G43" i="3"/>
  <c r="L42" i="3"/>
  <c r="J42" i="3" a="1"/>
  <c r="J42" i="3" s="1"/>
  <c r="I42" i="3" a="1"/>
  <c r="I42" i="3" s="1"/>
  <c r="G42" i="3"/>
  <c r="L41" i="3"/>
  <c r="J41" i="3" a="1"/>
  <c r="J41" i="3" s="1"/>
  <c r="I41" i="3" a="1"/>
  <c r="I41" i="3" s="1"/>
  <c r="G41" i="3"/>
  <c r="L40" i="3"/>
  <c r="J40" i="3" a="1"/>
  <c r="J40" i="3" s="1"/>
  <c r="I40" i="3" a="1"/>
  <c r="I40" i="3" s="1"/>
  <c r="G40" i="3"/>
  <c r="J39" i="3" a="1"/>
  <c r="J39" i="3" s="1"/>
  <c r="I39" i="3" a="1"/>
  <c r="I39" i="3" s="1"/>
  <c r="G39" i="3"/>
  <c r="J38" i="3" a="1"/>
  <c r="J38" i="3" s="1"/>
  <c r="I38" i="3" a="1"/>
  <c r="I38" i="3" s="1"/>
  <c r="G38" i="3"/>
  <c r="J37" i="3" a="1"/>
  <c r="J37" i="3" s="1"/>
  <c r="I37" i="3" a="1"/>
  <c r="I37" i="3" s="1"/>
  <c r="G37" i="3"/>
  <c r="J36" i="3" a="1"/>
  <c r="J36" i="3" s="1"/>
  <c r="I36" i="3" a="1"/>
  <c r="I36" i="3" s="1"/>
  <c r="G36" i="3"/>
  <c r="L35" i="3"/>
  <c r="J35" i="3" a="1"/>
  <c r="J35" i="3" s="1"/>
  <c r="I35" i="3" a="1"/>
  <c r="I35" i="3" s="1"/>
  <c r="G35" i="3"/>
  <c r="L34" i="3"/>
  <c r="J34" i="3" a="1"/>
  <c r="J34" i="3" s="1"/>
  <c r="I34" i="3" a="1"/>
  <c r="I34" i="3" s="1"/>
  <c r="G34" i="3"/>
  <c r="L33" i="3"/>
  <c r="J33" i="3" a="1"/>
  <c r="J33" i="3" s="1"/>
  <c r="I33" i="3" a="1"/>
  <c r="I33" i="3" s="1"/>
  <c r="G33" i="3"/>
  <c r="L32" i="3"/>
  <c r="J32" i="3" a="1"/>
  <c r="J32" i="3" s="1"/>
  <c r="I32" i="3" a="1"/>
  <c r="I32" i="3" s="1"/>
  <c r="G32" i="3"/>
  <c r="J31" i="3" a="1"/>
  <c r="J31" i="3" s="1"/>
  <c r="I31" i="3" a="1"/>
  <c r="I31" i="3" s="1"/>
  <c r="G31" i="3"/>
  <c r="C31" i="3"/>
  <c r="J30" i="3" a="1"/>
  <c r="J30" i="3" s="1"/>
  <c r="I30" i="3" a="1"/>
  <c r="I30" i="3" s="1"/>
  <c r="G30" i="3"/>
  <c r="L29" i="3"/>
  <c r="J29" i="3" a="1"/>
  <c r="J29" i="3" s="1"/>
  <c r="I29" i="3" a="1"/>
  <c r="I29" i="3" s="1"/>
  <c r="G29" i="3"/>
  <c r="L28" i="3"/>
  <c r="J28" i="3" a="1"/>
  <c r="J28" i="3" s="1"/>
  <c r="I28" i="3" a="1"/>
  <c r="I28" i="3" s="1"/>
  <c r="G28" i="3"/>
  <c r="L27" i="3"/>
  <c r="J27" i="3" a="1"/>
  <c r="J27" i="3" s="1"/>
  <c r="I27" i="3" a="1"/>
  <c r="I27" i="3" s="1"/>
  <c r="G27" i="3"/>
  <c r="L26" i="3"/>
  <c r="J26" i="3" a="1"/>
  <c r="J26" i="3" s="1"/>
  <c r="I26" i="3" a="1"/>
  <c r="I26" i="3" s="1"/>
  <c r="G26" i="3"/>
  <c r="J25" i="3" a="1"/>
  <c r="J25" i="3" s="1"/>
  <c r="I25" i="3" a="1"/>
  <c r="I25" i="3" s="1"/>
  <c r="G25" i="3"/>
  <c r="L24" i="3"/>
  <c r="J24" i="3" a="1"/>
  <c r="J24" i="3" s="1"/>
  <c r="I24" i="3" a="1"/>
  <c r="I24" i="3" s="1"/>
  <c r="G24" i="3"/>
  <c r="L23" i="3"/>
  <c r="J23" i="3" a="1"/>
  <c r="J23" i="3" s="1"/>
  <c r="I23" i="3" a="1"/>
  <c r="I23" i="3" s="1"/>
  <c r="G23" i="3"/>
  <c r="L22" i="3"/>
  <c r="J22" i="3" a="1"/>
  <c r="J22" i="3" s="1"/>
  <c r="I22" i="3" a="1"/>
  <c r="I22" i="3" s="1"/>
  <c r="G22" i="3"/>
  <c r="L21" i="3"/>
  <c r="J21" i="3" a="1"/>
  <c r="J21" i="3" s="1"/>
  <c r="I21" i="3" a="1"/>
  <c r="I21" i="3" s="1"/>
  <c r="G21" i="3"/>
  <c r="L20" i="3"/>
  <c r="J20" i="3" a="1"/>
  <c r="J20" i="3" s="1"/>
  <c r="I20" i="3" a="1"/>
  <c r="I20" i="3" s="1"/>
  <c r="G20" i="3"/>
  <c r="L19" i="3"/>
  <c r="J19" i="3" a="1"/>
  <c r="J19" i="3" s="1"/>
  <c r="I19" i="3" a="1"/>
  <c r="I19" i="3" s="1"/>
  <c r="G19" i="3"/>
  <c r="L18" i="3"/>
  <c r="J18" i="3" a="1"/>
  <c r="J18" i="3" s="1"/>
  <c r="I18" i="3" a="1"/>
  <c r="I18" i="3" s="1"/>
  <c r="G18" i="3"/>
  <c r="L17" i="3"/>
  <c r="J17" i="3" a="1"/>
  <c r="J17" i="3" s="1"/>
  <c r="I17" i="3" a="1"/>
  <c r="I17" i="3" s="1"/>
  <c r="G17" i="3"/>
  <c r="L16" i="3"/>
  <c r="J16" i="3" a="1"/>
  <c r="J16" i="3" s="1"/>
  <c r="I16" i="3" a="1"/>
  <c r="I16" i="3" s="1"/>
  <c r="G16" i="3"/>
  <c r="L15" i="3"/>
  <c r="J15" i="3" a="1"/>
  <c r="J15" i="3" s="1"/>
  <c r="I15" i="3" a="1"/>
  <c r="I15" i="3" s="1"/>
  <c r="G15" i="3"/>
  <c r="L14" i="3"/>
  <c r="J14" i="3" a="1"/>
  <c r="J14" i="3" s="1"/>
  <c r="I14" i="3" a="1"/>
  <c r="I14" i="3" s="1"/>
  <c r="G14" i="3"/>
  <c r="J13" i="3" a="1"/>
  <c r="J13" i="3" s="1"/>
  <c r="I13" i="3" a="1"/>
  <c r="I13" i="3" s="1"/>
  <c r="G13" i="3"/>
  <c r="L12" i="3"/>
  <c r="J12" i="3" a="1"/>
  <c r="J12" i="3" s="1"/>
  <c r="I12" i="3" a="1"/>
  <c r="I12" i="3" s="1"/>
  <c r="G12" i="3"/>
  <c r="L11" i="3"/>
  <c r="J11" i="3" a="1"/>
  <c r="J11" i="3" s="1"/>
  <c r="I11" i="3" a="1"/>
  <c r="I11" i="3" s="1"/>
  <c r="G11" i="3"/>
  <c r="L10" i="3"/>
  <c r="J10" i="3" a="1"/>
  <c r="J10" i="3" s="1"/>
  <c r="I10" i="3" a="1"/>
  <c r="I10" i="3" s="1"/>
  <c r="G10" i="3"/>
  <c r="L9" i="3"/>
  <c r="J9" i="3" a="1"/>
  <c r="J9" i="3" s="1"/>
  <c r="I9" i="3" a="1"/>
  <c r="I9" i="3" s="1"/>
  <c r="G9" i="3"/>
  <c r="L8" i="3"/>
  <c r="J8" i="3" a="1"/>
  <c r="J8" i="3" s="1"/>
  <c r="I8" i="3" a="1"/>
  <c r="I8" i="3" s="1"/>
  <c r="G8" i="3"/>
  <c r="L7" i="3"/>
  <c r="G7" i="3"/>
  <c r="L6" i="3"/>
  <c r="J6" i="3" a="1"/>
  <c r="J6" i="3" s="1"/>
  <c r="I6" i="3" a="1"/>
  <c r="I6" i="3" s="1"/>
  <c r="G6" i="3"/>
  <c r="L5" i="3"/>
  <c r="J5" i="3" a="1"/>
  <c r="J5" i="3" s="1"/>
  <c r="I5" i="3" a="1"/>
  <c r="I5" i="3" s="1"/>
  <c r="G5" i="3"/>
  <c r="L4" i="3"/>
  <c r="J4" i="3" a="1"/>
  <c r="J4" i="3" s="1"/>
  <c r="I4" i="3" a="1"/>
  <c r="I4" i="3" s="1"/>
  <c r="G4" i="3"/>
  <c r="L3" i="3"/>
  <c r="J3" i="3" a="1"/>
  <c r="J3" i="3" s="1"/>
  <c r="I3" i="3" a="1"/>
  <c r="I3" i="3" s="1"/>
  <c r="G3" i="3"/>
  <c r="J2" i="3" a="1"/>
  <c r="J2" i="3" s="1"/>
  <c r="I2" i="3" a="1"/>
  <c r="I2" i="3" s="1"/>
  <c r="G2" i="3"/>
  <c r="D3" i="2"/>
  <c r="Q143" i="4" l="1"/>
  <c r="I236" i="4" s="1"/>
  <c r="H227" i="4"/>
  <c r="F204" i="4"/>
  <c r="Q144" i="4"/>
  <c r="I237" i="4" s="1"/>
  <c r="Q145" i="4"/>
  <c r="V143" i="4"/>
  <c r="W143" i="4" s="1"/>
  <c r="D143" i="4"/>
  <c r="V144" i="4"/>
  <c r="W144" i="4" s="1"/>
  <c r="D144" i="4"/>
  <c r="V145" i="4"/>
  <c r="W145" i="4" s="1"/>
  <c r="D145" i="4"/>
  <c r="Q141" i="4"/>
  <c r="Q140" i="4"/>
  <c r="Q142" i="4"/>
  <c r="I235" i="4" s="1"/>
  <c r="Q139" i="4"/>
  <c r="I233" i="4" s="1"/>
  <c r="D142" i="4"/>
  <c r="V142" i="4"/>
  <c r="W142" i="4" s="1"/>
  <c r="D140" i="4"/>
  <c r="V140" i="4"/>
  <c r="W140" i="4" s="1"/>
  <c r="D139" i="4"/>
  <c r="V139" i="4"/>
  <c r="W139" i="4" s="1"/>
  <c r="Q97" i="4"/>
  <c r="V97" i="4"/>
  <c r="W97" i="4" s="1"/>
  <c r="D97" i="4"/>
  <c r="H204" i="4"/>
  <c r="N40" i="5"/>
  <c r="N39" i="5"/>
  <c r="Q138" i="4"/>
  <c r="Q137" i="4"/>
  <c r="N41" i="5"/>
  <c r="R41" i="5"/>
  <c r="P41" i="5"/>
  <c r="Q41" i="5" s="1"/>
  <c r="P40" i="5"/>
  <c r="Q40" i="5" s="1"/>
  <c r="R40" i="5"/>
  <c r="P39" i="5"/>
  <c r="Q39" i="5" s="1"/>
  <c r="R39" i="5"/>
  <c r="Q131" i="4"/>
  <c r="Q130" i="4"/>
  <c r="Q129" i="4"/>
  <c r="Q132" i="4"/>
  <c r="Q128" i="4"/>
  <c r="V128" i="4"/>
  <c r="W128" i="4" s="1"/>
  <c r="D128" i="4"/>
  <c r="F184" i="4"/>
  <c r="Q134" i="4"/>
  <c r="V134" i="4" s="1"/>
  <c r="W134" i="4" s="1"/>
  <c r="F183" i="4"/>
  <c r="H183" i="4"/>
  <c r="Q135" i="4"/>
  <c r="V135" i="4" s="1"/>
  <c r="W135" i="4" s="1"/>
  <c r="N37" i="5"/>
  <c r="Q136" i="4"/>
  <c r="V136" i="4" s="1"/>
  <c r="W136" i="4" s="1"/>
  <c r="N38" i="5"/>
  <c r="Q118" i="4"/>
  <c r="Q117" i="4"/>
  <c r="V117" i="4"/>
  <c r="W117" i="4" s="1"/>
  <c r="D117" i="4"/>
  <c r="Q126" i="4"/>
  <c r="O169" i="4"/>
  <c r="H228" i="4"/>
  <c r="O171" i="4"/>
  <c r="O170" i="4"/>
  <c r="Q133" i="4"/>
  <c r="H221" i="4"/>
  <c r="H229" i="4"/>
  <c r="F229" i="4"/>
  <c r="F221" i="4"/>
  <c r="Q122" i="4"/>
  <c r="F196" i="4"/>
  <c r="Q120" i="4"/>
  <c r="Q121" i="4"/>
  <c r="Q127" i="4"/>
  <c r="V127" i="4" s="1"/>
  <c r="W127" i="4" s="1"/>
  <c r="Q119" i="4"/>
  <c r="Q125" i="4"/>
  <c r="V125" i="4" s="1"/>
  <c r="W125" i="4" s="1"/>
  <c r="F228" i="4"/>
  <c r="Q124" i="4"/>
  <c r="V124" i="4" s="1"/>
  <c r="W124" i="4" s="1"/>
  <c r="F227" i="4"/>
  <c r="Q123" i="4"/>
  <c r="V123" i="4" s="1"/>
  <c r="W123" i="4" s="1"/>
  <c r="F226" i="4"/>
  <c r="N36" i="5"/>
  <c r="Q116" i="4"/>
  <c r="Q115" i="4"/>
  <c r="Q113" i="4"/>
  <c r="K164" i="4"/>
  <c r="Q114" i="4"/>
  <c r="D114" i="4" s="1"/>
  <c r="Q111" i="4"/>
  <c r="Q112" i="4"/>
  <c r="V114" i="4"/>
  <c r="W114" i="4" s="1"/>
  <c r="H184" i="4"/>
  <c r="Q104" i="4"/>
  <c r="E194" i="4"/>
  <c r="D13" i="9"/>
  <c r="E25" i="9" s="1"/>
  <c r="Q103" i="4"/>
  <c r="H213" i="4"/>
  <c r="Q94" i="4"/>
  <c r="D94" i="4" s="1"/>
  <c r="V94" i="4"/>
  <c r="W94" i="4" s="1"/>
  <c r="E22" i="9"/>
  <c r="E26" i="9"/>
  <c r="F175" i="4"/>
  <c r="Q107" i="4"/>
  <c r="V107" i="4" s="1"/>
  <c r="W107" i="4" s="1"/>
  <c r="Q106" i="4"/>
  <c r="Q105" i="4"/>
  <c r="Q101" i="4"/>
  <c r="Q102" i="4"/>
  <c r="Q100" i="4"/>
  <c r="V100" i="4" s="1"/>
  <c r="W100" i="4" s="1"/>
  <c r="Q109" i="4"/>
  <c r="Q110" i="4"/>
  <c r="Q108" i="4"/>
  <c r="V110" i="4"/>
  <c r="V108" i="4"/>
  <c r="W108" i="4" s="1"/>
  <c r="D108" i="4"/>
  <c r="H187" i="4"/>
  <c r="N35" i="5"/>
  <c r="H207" i="4"/>
  <c r="H179" i="4"/>
  <c r="F207" i="4"/>
  <c r="F187" i="4"/>
  <c r="H175" i="4"/>
  <c r="E24" i="9"/>
  <c r="C255" i="4"/>
  <c r="F190" i="4"/>
  <c r="F186" i="4"/>
  <c r="F172" i="4"/>
  <c r="Q99" i="4"/>
  <c r="H172" i="4"/>
  <c r="Q96" i="4"/>
  <c r="V96" i="4" s="1"/>
  <c r="W96" i="4" s="1"/>
  <c r="Q98" i="4"/>
  <c r="H200" i="4"/>
  <c r="F200" i="4"/>
  <c r="N14" i="5"/>
  <c r="H190" i="4"/>
  <c r="F34" i="6"/>
  <c r="G34" i="6" s="1"/>
  <c r="H34" i="6" s="1"/>
  <c r="F33" i="6"/>
  <c r="G33" i="6" s="1"/>
  <c r="H33" i="6" s="1"/>
  <c r="F32" i="6"/>
  <c r="G32" i="6" s="1"/>
  <c r="H32" i="6" s="1"/>
  <c r="F31" i="6"/>
  <c r="G31" i="6" s="1"/>
  <c r="H31" i="6" s="1"/>
  <c r="F30" i="6"/>
  <c r="G30" i="6" s="1"/>
  <c r="H30" i="6" s="1"/>
  <c r="F29" i="6"/>
  <c r="G29" i="6" s="1"/>
  <c r="H29" i="6" s="1"/>
  <c r="F28" i="6"/>
  <c r="G28" i="6" s="1"/>
  <c r="H28" i="6" s="1"/>
  <c r="F27" i="6"/>
  <c r="G27" i="6" s="1"/>
  <c r="H27" i="6" s="1"/>
  <c r="F36" i="6"/>
  <c r="G36" i="6" s="1"/>
  <c r="H36" i="6" s="1"/>
  <c r="F35" i="6"/>
  <c r="G35" i="6" s="1"/>
  <c r="H35" i="6" s="1"/>
  <c r="F42" i="6"/>
  <c r="G42" i="6" s="1"/>
  <c r="H42" i="6" s="1"/>
  <c r="F41" i="6"/>
  <c r="G41" i="6" s="1"/>
  <c r="H41" i="6" s="1"/>
  <c r="F40" i="6"/>
  <c r="G40" i="6" s="1"/>
  <c r="H40" i="6" s="1"/>
  <c r="F39" i="6"/>
  <c r="G39" i="6" s="1"/>
  <c r="H39" i="6" s="1"/>
  <c r="F38" i="6"/>
  <c r="G38" i="6" s="1"/>
  <c r="H38" i="6" s="1"/>
  <c r="F37" i="6"/>
  <c r="G37" i="6" s="1"/>
  <c r="H37" i="6" s="1"/>
  <c r="F197" i="4"/>
  <c r="F178" i="4"/>
  <c r="Q71" i="4"/>
  <c r="F201" i="4"/>
  <c r="Q67" i="4"/>
  <c r="F177" i="4"/>
  <c r="Q38" i="4"/>
  <c r="F180" i="4"/>
  <c r="Q37" i="4"/>
  <c r="F191" i="4"/>
  <c r="Q26" i="4"/>
  <c r="F189" i="4"/>
  <c r="N13" i="5"/>
  <c r="N12" i="5"/>
  <c r="Q92" i="4"/>
  <c r="P44" i="4"/>
  <c r="Q90" i="4"/>
  <c r="Q88" i="4"/>
  <c r="F5" i="6"/>
  <c r="G5" i="6" s="1"/>
  <c r="H5" i="6" s="1"/>
  <c r="F7" i="6"/>
  <c r="G7" i="6" s="1"/>
  <c r="H7" i="6" s="1"/>
  <c r="C47" i="6"/>
  <c r="F6" i="6"/>
  <c r="G6" i="6" s="1"/>
  <c r="H6" i="6" s="1"/>
  <c r="F9" i="6"/>
  <c r="G9" i="6" s="1"/>
  <c r="H9" i="6" s="1"/>
  <c r="F4" i="6"/>
  <c r="G4" i="6" s="1"/>
  <c r="F14" i="6"/>
  <c r="G14" i="6" s="1"/>
  <c r="H14" i="6" s="1"/>
  <c r="F11" i="6"/>
  <c r="G11" i="6" s="1"/>
  <c r="H11" i="6" s="1"/>
  <c r="F23" i="6"/>
  <c r="G23" i="6" s="1"/>
  <c r="H23" i="6" s="1"/>
  <c r="H178" i="4"/>
  <c r="H181" i="4"/>
  <c r="H195" i="4"/>
  <c r="N16" i="5"/>
  <c r="Q87" i="4"/>
  <c r="Q34" i="4"/>
  <c r="D34" i="4" s="1"/>
  <c r="Q91" i="4"/>
  <c r="Q89" i="4"/>
  <c r="Q21" i="4"/>
  <c r="D21" i="4" s="1"/>
  <c r="Q20" i="4"/>
  <c r="D20" i="4" s="1"/>
  <c r="N34" i="5"/>
  <c r="N30" i="5"/>
  <c r="N28" i="5"/>
  <c r="N26" i="5"/>
  <c r="N24" i="5"/>
  <c r="N22" i="5"/>
  <c r="Q55" i="4"/>
  <c r="Q49" i="4"/>
  <c r="N33" i="5"/>
  <c r="N29" i="5"/>
  <c r="N27" i="5"/>
  <c r="N25" i="5"/>
  <c r="N23" i="5"/>
  <c r="N21" i="5"/>
  <c r="N17" i="5"/>
  <c r="Q52" i="4"/>
  <c r="F10" i="6"/>
  <c r="G10" i="6" s="1"/>
  <c r="H10" i="6" s="1"/>
  <c r="Q86" i="4"/>
  <c r="Q83" i="4"/>
  <c r="Q81" i="4"/>
  <c r="Q74" i="4"/>
  <c r="Q72" i="4"/>
  <c r="Q70" i="4"/>
  <c r="Q63" i="4"/>
  <c r="Q62" i="4"/>
  <c r="Q58" i="4"/>
  <c r="Q56" i="4"/>
  <c r="Q48" i="4"/>
  <c r="Q40" i="4"/>
  <c r="Q33" i="4"/>
  <c r="Q28" i="4"/>
  <c r="Q25" i="4"/>
  <c r="Q18" i="4"/>
  <c r="D18" i="4" s="1"/>
  <c r="Q17" i="4"/>
  <c r="Q85" i="4"/>
  <c r="Q84" i="4"/>
  <c r="Q82" i="4"/>
  <c r="Q80" i="4"/>
  <c r="Q77" i="4"/>
  <c r="Q76" i="4"/>
  <c r="Q73" i="4"/>
  <c r="Q68" i="4"/>
  <c r="Q66" i="4"/>
  <c r="Q65" i="4"/>
  <c r="D65" i="4" s="1"/>
  <c r="Q59" i="4"/>
  <c r="H197" i="4"/>
  <c r="Q50" i="4"/>
  <c r="Q39" i="4"/>
  <c r="Q30" i="4"/>
  <c r="Q27" i="4"/>
  <c r="Q15" i="4"/>
  <c r="Q79" i="4"/>
  <c r="Q78" i="4"/>
  <c r="Q75" i="4"/>
  <c r="Q69" i="4"/>
  <c r="Q64" i="4"/>
  <c r="D64" i="4" s="1"/>
  <c r="Q60" i="4"/>
  <c r="Q57" i="4"/>
  <c r="Q53" i="4"/>
  <c r="Q51" i="4"/>
  <c r="Q41" i="4"/>
  <c r="Q36" i="4"/>
  <c r="Q35" i="4"/>
  <c r="Q32" i="4"/>
  <c r="Q31" i="4"/>
  <c r="Q29" i="4"/>
  <c r="Q19" i="4"/>
  <c r="D19" i="4" s="1"/>
  <c r="Q16" i="4"/>
  <c r="H188" i="4"/>
  <c r="N18" i="5"/>
  <c r="Q47" i="4"/>
  <c r="D47" i="4" s="1"/>
  <c r="Q46" i="4"/>
  <c r="D46" i="4" s="1"/>
  <c r="Q45" i="4"/>
  <c r="H212" i="4"/>
  <c r="H194" i="4"/>
  <c r="H168" i="4"/>
  <c r="F22" i="6"/>
  <c r="G22" i="6" s="1"/>
  <c r="H22" i="6" s="1"/>
  <c r="F21" i="6"/>
  <c r="G21" i="6" s="1"/>
  <c r="H21" i="6" s="1"/>
  <c r="F20" i="6"/>
  <c r="G20" i="6" s="1"/>
  <c r="H20" i="6" s="1"/>
  <c r="F19" i="6"/>
  <c r="G19" i="6" s="1"/>
  <c r="H19" i="6" s="1"/>
  <c r="F18" i="6"/>
  <c r="G18" i="6" s="1"/>
  <c r="H18" i="6" s="1"/>
  <c r="F17" i="6"/>
  <c r="G17" i="6" s="1"/>
  <c r="H17" i="6" s="1"/>
  <c r="F16" i="6"/>
  <c r="G16" i="6" s="1"/>
  <c r="H16" i="6" s="1"/>
  <c r="F15" i="6"/>
  <c r="G15" i="6" s="1"/>
  <c r="H15" i="6" s="1"/>
  <c r="F13" i="6"/>
  <c r="G13" i="6" s="1"/>
  <c r="H13" i="6" s="1"/>
  <c r="F12" i="6"/>
  <c r="G12" i="6" s="1"/>
  <c r="H12" i="6" s="1"/>
  <c r="F8" i="6"/>
  <c r="G8" i="6" s="1"/>
  <c r="H8" i="6" s="1"/>
  <c r="R8" i="10"/>
  <c r="R6" i="10"/>
  <c r="Q8" i="10"/>
  <c r="Q6" i="10"/>
  <c r="P8" i="10"/>
  <c r="P6" i="10"/>
  <c r="O8" i="10"/>
  <c r="O6" i="10"/>
  <c r="N8" i="10"/>
  <c r="N6" i="10"/>
  <c r="M8" i="10"/>
  <c r="M6" i="10"/>
  <c r="L8" i="10"/>
  <c r="L6" i="10"/>
  <c r="K8" i="10"/>
  <c r="K6" i="10"/>
  <c r="J8" i="10"/>
  <c r="J6" i="10"/>
  <c r="I8" i="10"/>
  <c r="I6" i="10"/>
  <c r="H8" i="10"/>
  <c r="H6" i="10"/>
  <c r="G8" i="10"/>
  <c r="G6" i="10"/>
  <c r="G9" i="10" s="1"/>
  <c r="E21" i="9"/>
  <c r="L6" i="8"/>
  <c r="G6" i="8"/>
  <c r="J6" i="8"/>
  <c r="K6" i="8"/>
  <c r="C6" i="8"/>
  <c r="D6" i="8"/>
  <c r="E6" i="8"/>
  <c r="F6" i="8"/>
  <c r="H6" i="8"/>
  <c r="I6" i="8"/>
  <c r="O6" i="8"/>
  <c r="N6" i="8"/>
  <c r="M6" i="8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21" i="7"/>
  <c r="H5" i="7"/>
  <c r="G36" i="7"/>
  <c r="G42" i="7"/>
  <c r="G41" i="7"/>
  <c r="G40" i="7"/>
  <c r="G39" i="7"/>
  <c r="G38" i="7"/>
  <c r="G37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0" i="7"/>
  <c r="G19" i="7"/>
  <c r="E43" i="6"/>
  <c r="C46" i="6" s="1"/>
  <c r="U52" i="5"/>
  <c r="V15" i="5"/>
  <c r="V52" i="5" s="1"/>
  <c r="J52" i="5"/>
  <c r="B6" i="5" s="1"/>
  <c r="L15" i="5"/>
  <c r="C66" i="5"/>
  <c r="E66" i="5"/>
  <c r="F66" i="5"/>
  <c r="C67" i="5"/>
  <c r="E67" i="5"/>
  <c r="C68" i="5"/>
  <c r="E68" i="5"/>
  <c r="F68" i="5"/>
  <c r="C69" i="5"/>
  <c r="E69" i="5"/>
  <c r="F69" i="5"/>
  <c r="C70" i="5"/>
  <c r="E70" i="5"/>
  <c r="F70" i="5"/>
  <c r="C71" i="5"/>
  <c r="E71" i="5"/>
  <c r="F71" i="5"/>
  <c r="C72" i="5"/>
  <c r="E72" i="5"/>
  <c r="F72" i="5"/>
  <c r="C73" i="5"/>
  <c r="E73" i="5"/>
  <c r="F73" i="5"/>
  <c r="C74" i="5"/>
  <c r="E74" i="5"/>
  <c r="F74" i="5"/>
  <c r="C75" i="5"/>
  <c r="E75" i="5"/>
  <c r="F75" i="5"/>
  <c r="C76" i="5"/>
  <c r="E76" i="5"/>
  <c r="F76" i="5"/>
  <c r="C77" i="5"/>
  <c r="E77" i="5"/>
  <c r="F77" i="5"/>
  <c r="C78" i="5"/>
  <c r="E78" i="5"/>
  <c r="F78" i="5"/>
  <c r="C79" i="5"/>
  <c r="E79" i="5"/>
  <c r="F79" i="5"/>
  <c r="A15" i="5"/>
  <c r="E16" i="9"/>
  <c r="E15" i="9"/>
  <c r="C15" i="9"/>
  <c r="E14" i="9"/>
  <c r="C14" i="9"/>
  <c r="E13" i="9"/>
  <c r="C13" i="9"/>
  <c r="E12" i="9"/>
  <c r="C12" i="9"/>
  <c r="C16" i="9"/>
  <c r="C5" i="9"/>
  <c r="E5" i="9"/>
  <c r="C6" i="9"/>
  <c r="C7" i="9"/>
  <c r="E7" i="9"/>
  <c r="C8" i="9"/>
  <c r="E8" i="9"/>
  <c r="C9" i="9"/>
  <c r="C10" i="9"/>
  <c r="E10" i="9"/>
  <c r="C11" i="9"/>
  <c r="E11" i="9"/>
  <c r="E6" i="9"/>
  <c r="C4" i="2"/>
  <c r="E9" i="9"/>
  <c r="R11" i="5"/>
  <c r="F213" i="4"/>
  <c r="Q95" i="4"/>
  <c r="F212" i="4"/>
  <c r="Q93" i="4"/>
  <c r="H90" i="4" a="1"/>
  <c r="H90" i="4" s="1"/>
  <c r="X90" i="4" s="1"/>
  <c r="I90" i="4" a="1"/>
  <c r="I90" i="4" s="1"/>
  <c r="H89" i="4" a="1"/>
  <c r="H89" i="4" s="1"/>
  <c r="X89" i="4" s="1"/>
  <c r="I89" i="4" a="1"/>
  <c r="I89" i="4" s="1"/>
  <c r="I88" i="4" a="1"/>
  <c r="I88" i="4" s="1"/>
  <c r="H88" i="4" a="1"/>
  <c r="H88" i="4" s="1"/>
  <c r="X88" i="4" s="1"/>
  <c r="F26" i="6"/>
  <c r="G26" i="6" s="1"/>
  <c r="H26" i="6" s="1"/>
  <c r="F25" i="6"/>
  <c r="G25" i="6" s="1"/>
  <c r="H25" i="6" s="1"/>
  <c r="I87" i="4" a="1"/>
  <c r="I87" i="4" s="1"/>
  <c r="H87" i="4" a="1"/>
  <c r="H87" i="4" s="1"/>
  <c r="X87" i="4" s="1"/>
  <c r="F24" i="6"/>
  <c r="V61" i="4"/>
  <c r="D61" i="4"/>
  <c r="V54" i="4"/>
  <c r="D54" i="4"/>
  <c r="V43" i="4"/>
  <c r="D43" i="4"/>
  <c r="V42" i="4"/>
  <c r="W42" i="4" s="1"/>
  <c r="D42" i="4"/>
  <c r="L24" i="4"/>
  <c r="O24" i="4" s="1"/>
  <c r="P24" i="4" s="1"/>
  <c r="L23" i="4"/>
  <c r="O23" i="4" s="1"/>
  <c r="P23" i="4" s="1"/>
  <c r="L22" i="4"/>
  <c r="O22" i="4" s="1"/>
  <c r="D198" i="4"/>
  <c r="D255" i="4" s="1"/>
  <c r="Q14" i="4"/>
  <c r="Q13" i="4"/>
  <c r="F188" i="4"/>
  <c r="Q12" i="4"/>
  <c r="F181" i="4"/>
  <c r="Q11" i="4"/>
  <c r="F170" i="4"/>
  <c r="Q10" i="4"/>
  <c r="F168" i="4"/>
  <c r="Q9" i="4"/>
  <c r="F179" i="4"/>
  <c r="Q8" i="4"/>
  <c r="F193" i="4"/>
  <c r="F195" i="4"/>
  <c r="Q7" i="4"/>
  <c r="H185" i="4"/>
  <c r="F185" i="4"/>
  <c r="Q6" i="4"/>
  <c r="M19" i="5"/>
  <c r="C184" i="3"/>
  <c r="C12" i="2"/>
  <c r="C8" i="2"/>
  <c r="C18" i="2"/>
  <c r="C46" i="2"/>
  <c r="C19" i="2"/>
  <c r="C26" i="2"/>
  <c r="C20" i="2"/>
  <c r="C21" i="2"/>
  <c r="C43" i="2"/>
  <c r="C22" i="2"/>
  <c r="C23" i="2"/>
  <c r="C24" i="2"/>
  <c r="C25" i="2"/>
  <c r="D18" i="2"/>
  <c r="D8" i="2"/>
  <c r="D20" i="2"/>
  <c r="D12" i="2"/>
  <c r="D22" i="2"/>
  <c r="D23" i="2"/>
  <c r="D19" i="2"/>
  <c r="D21" i="2"/>
  <c r="D26" i="2"/>
  <c r="D25" i="2"/>
  <c r="D4" i="2"/>
  <c r="E3" i="2"/>
  <c r="D24" i="2"/>
  <c r="V129" i="4" l="1"/>
  <c r="W129" i="4" s="1"/>
  <c r="D129" i="4"/>
  <c r="D131" i="4"/>
  <c r="V131" i="4"/>
  <c r="W131" i="4" s="1"/>
  <c r="I234" i="4"/>
  <c r="V141" i="4"/>
  <c r="W141" i="4" s="1"/>
  <c r="D141" i="4"/>
  <c r="D130" i="4"/>
  <c r="V130" i="4"/>
  <c r="W130" i="4" s="1"/>
  <c r="D113" i="4"/>
  <c r="V113" i="4"/>
  <c r="W113" i="4" s="1"/>
  <c r="V132" i="4"/>
  <c r="W132" i="4" s="1"/>
  <c r="D132" i="4"/>
  <c r="P37" i="5"/>
  <c r="Q37" i="5" s="1"/>
  <c r="R37" i="5"/>
  <c r="D104" i="4"/>
  <c r="V104" i="4"/>
  <c r="W104" i="4" s="1"/>
  <c r="D112" i="4"/>
  <c r="V112" i="4"/>
  <c r="W112" i="4" s="1"/>
  <c r="D118" i="4"/>
  <c r="V118" i="4"/>
  <c r="W118" i="4" s="1"/>
  <c r="D98" i="4"/>
  <c r="V98" i="4"/>
  <c r="W98" i="4" s="1"/>
  <c r="I222" i="4"/>
  <c r="V115" i="4"/>
  <c r="W115" i="4" s="1"/>
  <c r="D115" i="4"/>
  <c r="I220" i="4"/>
  <c r="V111" i="4"/>
  <c r="W111" i="4" s="1"/>
  <c r="D111" i="4"/>
  <c r="I215" i="4"/>
  <c r="V99" i="4"/>
  <c r="D99" i="4"/>
  <c r="V138" i="4"/>
  <c r="W138" i="4" s="1"/>
  <c r="D138" i="4"/>
  <c r="V137" i="4"/>
  <c r="W137" i="4" s="1"/>
  <c r="D137" i="4"/>
  <c r="V103" i="4"/>
  <c r="W103" i="4" s="1"/>
  <c r="D103" i="4"/>
  <c r="D119" i="4"/>
  <c r="V119" i="4"/>
  <c r="W119" i="4" s="1"/>
  <c r="I230" i="4"/>
  <c r="D134" i="4"/>
  <c r="P38" i="5"/>
  <c r="Q38" i="5" s="1"/>
  <c r="R38" i="5"/>
  <c r="D135" i="4"/>
  <c r="I231" i="4"/>
  <c r="I232" i="4"/>
  <c r="D136" i="4"/>
  <c r="I223" i="4"/>
  <c r="V120" i="4"/>
  <c r="W120" i="4" s="1"/>
  <c r="D120" i="4"/>
  <c r="I224" i="4"/>
  <c r="V121" i="4"/>
  <c r="W121" i="4" s="1"/>
  <c r="D121" i="4"/>
  <c r="P36" i="5"/>
  <c r="Q36" i="5" s="1"/>
  <c r="R36" i="5"/>
  <c r="V116" i="4"/>
  <c r="W116" i="4" s="1"/>
  <c r="D116" i="4"/>
  <c r="D133" i="4"/>
  <c r="V133" i="4"/>
  <c r="W133" i="4" s="1"/>
  <c r="I225" i="4"/>
  <c r="V122" i="4"/>
  <c r="W122" i="4" s="1"/>
  <c r="D122" i="4"/>
  <c r="V126" i="4"/>
  <c r="W126" i="4" s="1"/>
  <c r="D126" i="4"/>
  <c r="I229" i="4"/>
  <c r="D127" i="4"/>
  <c r="I228" i="4"/>
  <c r="D125" i="4"/>
  <c r="I227" i="4"/>
  <c r="D124" i="4"/>
  <c r="F24" i="9"/>
  <c r="I226" i="4"/>
  <c r="D123" i="4"/>
  <c r="I221" i="4"/>
  <c r="I214" i="4"/>
  <c r="D96" i="4"/>
  <c r="V109" i="4"/>
  <c r="W109" i="4" s="1"/>
  <c r="D109" i="4"/>
  <c r="I219" i="4"/>
  <c r="D110" i="4"/>
  <c r="F194" i="4"/>
  <c r="I218" i="4"/>
  <c r="D107" i="4"/>
  <c r="I217" i="4"/>
  <c r="V106" i="4"/>
  <c r="D106" i="4"/>
  <c r="V105" i="4"/>
  <c r="W105" i="4" s="1"/>
  <c r="D105" i="4"/>
  <c r="D102" i="4"/>
  <c r="V102" i="4"/>
  <c r="W102" i="4" s="1"/>
  <c r="D101" i="4"/>
  <c r="V101" i="4"/>
  <c r="W101" i="4" s="1"/>
  <c r="O164" i="4"/>
  <c r="B4" i="4" s="1"/>
  <c r="P22" i="4"/>
  <c r="Q22" i="4" s="1"/>
  <c r="I216" i="4"/>
  <c r="D100" i="4"/>
  <c r="F16" i="9"/>
  <c r="F14" i="9"/>
  <c r="F25" i="9"/>
  <c r="F23" i="9"/>
  <c r="F26" i="9"/>
  <c r="G70" i="5"/>
  <c r="P35" i="5"/>
  <c r="Q35" i="5" s="1"/>
  <c r="R35" i="5"/>
  <c r="F12" i="9"/>
  <c r="F10" i="9"/>
  <c r="F8" i="9"/>
  <c r="H71" i="5"/>
  <c r="H74" i="5"/>
  <c r="H72" i="5"/>
  <c r="H68" i="5"/>
  <c r="H75" i="5"/>
  <c r="H70" i="5"/>
  <c r="H73" i="5"/>
  <c r="H78" i="5"/>
  <c r="P14" i="5"/>
  <c r="Q14" i="5"/>
  <c r="R14" i="5"/>
  <c r="H69" i="5"/>
  <c r="H76" i="5"/>
  <c r="H79" i="5"/>
  <c r="G69" i="5"/>
  <c r="V71" i="4"/>
  <c r="W71" i="4" s="1"/>
  <c r="I201" i="4"/>
  <c r="D71" i="4"/>
  <c r="V67" i="4"/>
  <c r="I177" i="4"/>
  <c r="D67" i="4"/>
  <c r="V38" i="4"/>
  <c r="I180" i="4"/>
  <c r="D38" i="4"/>
  <c r="V37" i="4"/>
  <c r="I191" i="4"/>
  <c r="D37" i="4"/>
  <c r="V26" i="4"/>
  <c r="I189" i="4"/>
  <c r="D26" i="4"/>
  <c r="D5" i="2"/>
  <c r="D6" i="2" s="1"/>
  <c r="D11" i="2"/>
  <c r="D10" i="2"/>
  <c r="D9" i="2"/>
  <c r="G71" i="5"/>
  <c r="P13" i="5"/>
  <c r="Q13" i="5" s="1"/>
  <c r="R13" i="5"/>
  <c r="P12" i="5"/>
  <c r="Q12" i="5"/>
  <c r="R12" i="5"/>
  <c r="H186" i="4"/>
  <c r="Q44" i="4"/>
  <c r="V92" i="4"/>
  <c r="W92" i="4" s="1"/>
  <c r="I212" i="4"/>
  <c r="D92" i="4"/>
  <c r="V90" i="4"/>
  <c r="W90" i="4" s="1"/>
  <c r="I211" i="4"/>
  <c r="D90" i="4"/>
  <c r="V88" i="4"/>
  <c r="W88" i="4" s="1"/>
  <c r="I210" i="4"/>
  <c r="D88" i="4"/>
  <c r="V87" i="4"/>
  <c r="W87" i="4" s="1"/>
  <c r="I209" i="4"/>
  <c r="D87" i="4"/>
  <c r="V55" i="4"/>
  <c r="W55" i="4" s="1"/>
  <c r="D55" i="4"/>
  <c r="V49" i="4"/>
  <c r="D49" i="4"/>
  <c r="V52" i="4"/>
  <c r="W52" i="4" s="1"/>
  <c r="I174" i="4"/>
  <c r="D52" i="4"/>
  <c r="V45" i="4"/>
  <c r="W45" i="4" s="1"/>
  <c r="D45" i="4"/>
  <c r="V91" i="4"/>
  <c r="W91" i="4" s="1"/>
  <c r="D91" i="4"/>
  <c r="V89" i="4"/>
  <c r="W89" i="4" s="1"/>
  <c r="D89" i="4"/>
  <c r="G73" i="5"/>
  <c r="G74" i="5"/>
  <c r="G75" i="5"/>
  <c r="G76" i="5"/>
  <c r="G77" i="5"/>
  <c r="G78" i="5"/>
  <c r="G79" i="5"/>
  <c r="G72" i="5"/>
  <c r="P16" i="5"/>
  <c r="Q16" i="5" s="1"/>
  <c r="P34" i="5"/>
  <c r="Q34" i="5" s="1"/>
  <c r="R34" i="5"/>
  <c r="P32" i="5"/>
  <c r="Q32" i="5" s="1"/>
  <c r="R32" i="5"/>
  <c r="P30" i="5"/>
  <c r="Q30" i="5"/>
  <c r="R30" i="5"/>
  <c r="P28" i="5"/>
  <c r="Q28" i="5" s="1"/>
  <c r="R28" i="5"/>
  <c r="R26" i="5"/>
  <c r="P26" i="5"/>
  <c r="Q26" i="5" s="1"/>
  <c r="P24" i="5"/>
  <c r="Q24" i="5" s="1"/>
  <c r="R24" i="5"/>
  <c r="P22" i="5"/>
  <c r="Q22" i="5"/>
  <c r="R22" i="5"/>
  <c r="P33" i="5"/>
  <c r="Q33" i="5" s="1"/>
  <c r="R33" i="5"/>
  <c r="P31" i="5"/>
  <c r="Q31" i="5" s="1"/>
  <c r="R31" i="5"/>
  <c r="P29" i="5"/>
  <c r="Q29" i="5" s="1"/>
  <c r="R29" i="5"/>
  <c r="R27" i="5"/>
  <c r="P27" i="5"/>
  <c r="Q27" i="5" s="1"/>
  <c r="P25" i="5"/>
  <c r="Q25" i="5" s="1"/>
  <c r="R25" i="5"/>
  <c r="P23" i="5"/>
  <c r="Q23" i="5" s="1"/>
  <c r="R23" i="5"/>
  <c r="G68" i="5"/>
  <c r="Q21" i="5"/>
  <c r="R21" i="5"/>
  <c r="P21" i="5"/>
  <c r="G66" i="5"/>
  <c r="P17" i="5"/>
  <c r="Q17" i="5"/>
  <c r="R17" i="5"/>
  <c r="D86" i="4"/>
  <c r="V86" i="4"/>
  <c r="W86" i="4" s="1"/>
  <c r="I208" i="4"/>
  <c r="V83" i="4"/>
  <c r="W83" i="4" s="1"/>
  <c r="D83" i="4"/>
  <c r="V81" i="4"/>
  <c r="W81" i="4" s="1"/>
  <c r="D81" i="4"/>
  <c r="I203" i="4"/>
  <c r="V74" i="4"/>
  <c r="W74" i="4" s="1"/>
  <c r="D74" i="4"/>
  <c r="I202" i="4"/>
  <c r="V72" i="4"/>
  <c r="W72" i="4" s="1"/>
  <c r="D72" i="4"/>
  <c r="D70" i="4"/>
  <c r="V70" i="4"/>
  <c r="W70" i="4" s="1"/>
  <c r="I200" i="4"/>
  <c r="V63" i="4"/>
  <c r="W63" i="4" s="1"/>
  <c r="D63" i="4"/>
  <c r="I184" i="4"/>
  <c r="V62" i="4"/>
  <c r="W62" i="4" s="1"/>
  <c r="D62" i="4"/>
  <c r="I173" i="4"/>
  <c r="V58" i="4"/>
  <c r="W58" i="4" s="1"/>
  <c r="D58" i="4"/>
  <c r="D56" i="4"/>
  <c r="V56" i="4"/>
  <c r="W56" i="4" s="1"/>
  <c r="V48" i="4"/>
  <c r="W48" i="4" s="1"/>
  <c r="D48" i="4"/>
  <c r="D40" i="4"/>
  <c r="V40" i="4"/>
  <c r="W40" i="4" s="1"/>
  <c r="I190" i="4"/>
  <c r="D33" i="4"/>
  <c r="I197" i="4"/>
  <c r="V33" i="4"/>
  <c r="W33" i="4" s="1"/>
  <c r="D28" i="4"/>
  <c r="V28" i="4"/>
  <c r="W28" i="4" s="1"/>
  <c r="I176" i="4"/>
  <c r="D25" i="4"/>
  <c r="V25" i="4"/>
  <c r="W25" i="4" s="1"/>
  <c r="V17" i="4"/>
  <c r="W17" i="4" s="1"/>
  <c r="D17" i="4"/>
  <c r="V85" i="4"/>
  <c r="W85" i="4" s="1"/>
  <c r="D85" i="4"/>
  <c r="V84" i="4"/>
  <c r="W84" i="4" s="1"/>
  <c r="D84" i="4"/>
  <c r="V82" i="4"/>
  <c r="W82" i="4" s="1"/>
  <c r="I207" i="4"/>
  <c r="D82" i="4"/>
  <c r="D80" i="4"/>
  <c r="V80" i="4"/>
  <c r="W80" i="4" s="1"/>
  <c r="V77" i="4"/>
  <c r="W77" i="4" s="1"/>
  <c r="D77" i="4"/>
  <c r="V76" i="4"/>
  <c r="W76" i="4" s="1"/>
  <c r="I205" i="4"/>
  <c r="D76" i="4"/>
  <c r="V73" i="4"/>
  <c r="W73" i="4" s="1"/>
  <c r="D73" i="4"/>
  <c r="I199" i="4"/>
  <c r="V68" i="4"/>
  <c r="W68" i="4" s="1"/>
  <c r="D68" i="4"/>
  <c r="D66" i="4"/>
  <c r="V66" i="4"/>
  <c r="W66" i="4" s="1"/>
  <c r="D59" i="4"/>
  <c r="V59" i="4"/>
  <c r="W59" i="4" s="1"/>
  <c r="I183" i="4"/>
  <c r="I171" i="4"/>
  <c r="D50" i="4"/>
  <c r="V50" i="4"/>
  <c r="W50" i="4" s="1"/>
  <c r="V39" i="4"/>
  <c r="W39" i="4" s="1"/>
  <c r="I187" i="4"/>
  <c r="D39" i="4"/>
  <c r="D30" i="4"/>
  <c r="V30" i="4"/>
  <c r="W30" i="4" s="1"/>
  <c r="V27" i="4"/>
  <c r="W27" i="4" s="1"/>
  <c r="D27" i="4"/>
  <c r="V15" i="4"/>
  <c r="W15" i="4" s="1"/>
  <c r="I169" i="4"/>
  <c r="D15" i="4"/>
  <c r="D79" i="4"/>
  <c r="V79" i="4"/>
  <c r="D78" i="4"/>
  <c r="I206" i="4"/>
  <c r="V78" i="4"/>
  <c r="W78" i="4" s="1"/>
  <c r="D75" i="4"/>
  <c r="V75" i="4"/>
  <c r="W75" i="4" s="1"/>
  <c r="I204" i="4"/>
  <c r="D69" i="4"/>
  <c r="V69" i="4"/>
  <c r="W69" i="4" s="1"/>
  <c r="V60" i="4"/>
  <c r="I192" i="4"/>
  <c r="D60" i="4"/>
  <c r="V57" i="4"/>
  <c r="W57" i="4" s="1"/>
  <c r="D57" i="4"/>
  <c r="V53" i="4"/>
  <c r="W53" i="4" s="1"/>
  <c r="D53" i="4"/>
  <c r="I182" i="4"/>
  <c r="D51" i="4"/>
  <c r="I196" i="4"/>
  <c r="V51" i="4"/>
  <c r="W51" i="4" s="1"/>
  <c r="D41" i="4"/>
  <c r="V41" i="4"/>
  <c r="W41" i="4" s="1"/>
  <c r="V36" i="4"/>
  <c r="W36" i="4" s="1"/>
  <c r="D36" i="4"/>
  <c r="D35" i="4"/>
  <c r="I178" i="4"/>
  <c r="V32" i="4"/>
  <c r="W32" i="4" s="1"/>
  <c r="D32" i="4"/>
  <c r="I175" i="4"/>
  <c r="D31" i="4"/>
  <c r="V31" i="4"/>
  <c r="W31" i="4" s="1"/>
  <c r="V29" i="4"/>
  <c r="W29" i="4" s="1"/>
  <c r="D29" i="4"/>
  <c r="V16" i="4"/>
  <c r="W16" i="4" s="1"/>
  <c r="D16" i="4"/>
  <c r="I172" i="4"/>
  <c r="P18" i="5"/>
  <c r="Q18" i="5"/>
  <c r="R18" i="5"/>
  <c r="L7" i="8"/>
  <c r="L16" i="8" s="1"/>
  <c r="G7" i="8"/>
  <c r="J7" i="8"/>
  <c r="J11" i="8" s="1"/>
  <c r="J13" i="8" s="1"/>
  <c r="K7" i="8"/>
  <c r="K11" i="8" s="1"/>
  <c r="K13" i="8" s="1"/>
  <c r="C7" i="8"/>
  <c r="D7" i="8"/>
  <c r="D16" i="8" s="1"/>
  <c r="E7" i="8"/>
  <c r="E11" i="8" s="1"/>
  <c r="E13" i="8" s="1"/>
  <c r="F7" i="8"/>
  <c r="F11" i="8" s="1"/>
  <c r="F13" i="8" s="1"/>
  <c r="H7" i="8"/>
  <c r="H16" i="8" s="1"/>
  <c r="I7" i="8"/>
  <c r="I11" i="8" s="1"/>
  <c r="I13" i="8" s="1"/>
  <c r="O7" i="8"/>
  <c r="O11" i="8" s="1"/>
  <c r="O13" i="8" s="1"/>
  <c r="N7" i="8"/>
  <c r="N11" i="8" s="1"/>
  <c r="N13" i="8" s="1"/>
  <c r="M7" i="8"/>
  <c r="M16" i="8" s="1"/>
  <c r="I5" i="7"/>
  <c r="H6" i="7"/>
  <c r="H7" i="7"/>
  <c r="H8" i="7"/>
  <c r="H9" i="7"/>
  <c r="H10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" i="6"/>
  <c r="H66" i="5"/>
  <c r="F15" i="9"/>
  <c r="D26" i="9"/>
  <c r="F13" i="9"/>
  <c r="D25" i="9"/>
  <c r="F5" i="9"/>
  <c r="C17" i="9"/>
  <c r="F30" i="9" s="1"/>
  <c r="D21" i="9"/>
  <c r="E17" i="9"/>
  <c r="F21" i="9"/>
  <c r="F7" i="9"/>
  <c r="D22" i="9"/>
  <c r="D23" i="9"/>
  <c r="F11" i="9"/>
  <c r="D24" i="9"/>
  <c r="P11" i="5"/>
  <c r="Q11" i="5" s="1"/>
  <c r="D95" i="4"/>
  <c r="V95" i="4"/>
  <c r="W95" i="4" s="1"/>
  <c r="I213" i="4"/>
  <c r="V93" i="4"/>
  <c r="W93" i="4" s="1"/>
  <c r="D93" i="4"/>
  <c r="F43" i="6"/>
  <c r="C48" i="6" s="1"/>
  <c r="G24" i="6"/>
  <c r="H24" i="6" s="1"/>
  <c r="Q24" i="4"/>
  <c r="Q23" i="4"/>
  <c r="L164" i="4"/>
  <c r="E4" i="4" s="1"/>
  <c r="E198" i="4"/>
  <c r="E255" i="4" s="1"/>
  <c r="D9" i="9"/>
  <c r="F9" i="9" s="1"/>
  <c r="F198" i="4"/>
  <c r="V14" i="4"/>
  <c r="W14" i="4" s="1"/>
  <c r="I194" i="4"/>
  <c r="D14" i="4"/>
  <c r="V13" i="4"/>
  <c r="W13" i="4" s="1"/>
  <c r="I188" i="4"/>
  <c r="D13" i="4"/>
  <c r="V12" i="4"/>
  <c r="W12" i="4" s="1"/>
  <c r="I181" i="4"/>
  <c r="D12" i="4"/>
  <c r="V11" i="4"/>
  <c r="I170" i="4"/>
  <c r="D11" i="4"/>
  <c r="V10" i="4"/>
  <c r="W10" i="4" s="1"/>
  <c r="I168" i="4"/>
  <c r="D10" i="4"/>
  <c r="V9" i="4"/>
  <c r="W9" i="4" s="1"/>
  <c r="I179" i="4"/>
  <c r="D9" i="4"/>
  <c r="V8" i="4"/>
  <c r="W8" i="4" s="1"/>
  <c r="I193" i="4"/>
  <c r="D8" i="4"/>
  <c r="V7" i="4"/>
  <c r="W7" i="4" s="1"/>
  <c r="D7" i="4"/>
  <c r="I195" i="4"/>
  <c r="I185" i="4"/>
  <c r="D6" i="4"/>
  <c r="V6" i="4"/>
  <c r="N19" i="5"/>
  <c r="C40" i="2"/>
  <c r="M20" i="5"/>
  <c r="M52" i="5" s="1"/>
  <c r="C27" i="2"/>
  <c r="D17" i="2" s="1"/>
  <c r="D27" i="2" s="1"/>
  <c r="E17" i="2" s="1"/>
  <c r="F3" i="2"/>
  <c r="E4" i="2"/>
  <c r="E5" i="2"/>
  <c r="E8" i="2"/>
  <c r="E9" i="2"/>
  <c r="E10" i="2"/>
  <c r="E11" i="2"/>
  <c r="E12" i="2"/>
  <c r="E18" i="2"/>
  <c r="E19" i="2"/>
  <c r="E20" i="2"/>
  <c r="E21" i="2"/>
  <c r="E22" i="2"/>
  <c r="E23" i="2"/>
  <c r="E24" i="2"/>
  <c r="E25" i="2"/>
  <c r="E26" i="2"/>
  <c r="R9" i="10"/>
  <c r="R10" i="10" s="1"/>
  <c r="Q9" i="10"/>
  <c r="Q10" i="10" s="1"/>
  <c r="P9" i="10"/>
  <c r="P10" i="10" s="1"/>
  <c r="O9" i="10"/>
  <c r="O10" i="10" s="1"/>
  <c r="N9" i="10"/>
  <c r="N10" i="10" s="1"/>
  <c r="M9" i="10"/>
  <c r="M10" i="10" s="1"/>
  <c r="L9" i="10"/>
  <c r="L10" i="10" s="1"/>
  <c r="K9" i="10"/>
  <c r="K10" i="10" s="1"/>
  <c r="J9" i="10"/>
  <c r="J10" i="10" s="1"/>
  <c r="I9" i="10"/>
  <c r="I10" i="10" s="1"/>
  <c r="H9" i="10"/>
  <c r="H10" i="10" s="1"/>
  <c r="G10" i="10"/>
  <c r="G4" i="7"/>
  <c r="C81" i="5"/>
  <c r="E81" i="5"/>
  <c r="F22" i="9"/>
  <c r="H77" i="5"/>
  <c r="F6" i="9"/>
  <c r="N15" i="5"/>
  <c r="L52" i="5"/>
  <c r="C10" i="2"/>
  <c r="C9" i="2"/>
  <c r="C5" i="2"/>
  <c r="C6" i="2" s="1"/>
  <c r="C52" i="2"/>
  <c r="C56" i="2"/>
  <c r="C57" i="2"/>
  <c r="C11" i="2"/>
  <c r="C11" i="8" l="1"/>
  <c r="C13" i="8" s="1"/>
  <c r="C16" i="8"/>
  <c r="G24" i="9"/>
  <c r="F255" i="4"/>
  <c r="F258" i="4" s="1"/>
  <c r="O15" i="8"/>
  <c r="O16" i="8"/>
  <c r="G25" i="9"/>
  <c r="G26" i="9"/>
  <c r="L11" i="8"/>
  <c r="L13" i="8" s="1"/>
  <c r="L15" i="8"/>
  <c r="L20" i="8" s="1"/>
  <c r="M11" i="8"/>
  <c r="M13" i="8" s="1"/>
  <c r="M15" i="8"/>
  <c r="M20" i="8" s="1"/>
  <c r="K16" i="8"/>
  <c r="K15" i="8"/>
  <c r="G22" i="9"/>
  <c r="F27" i="9"/>
  <c r="E16" i="8"/>
  <c r="E15" i="8"/>
  <c r="Q164" i="4"/>
  <c r="L4" i="4" s="1"/>
  <c r="V44" i="4"/>
  <c r="I186" i="4"/>
  <c r="D44" i="4"/>
  <c r="F15" i="8"/>
  <c r="F16" i="8"/>
  <c r="D11" i="8"/>
  <c r="D13" i="8" s="1"/>
  <c r="D15" i="8"/>
  <c r="D20" i="8" s="1"/>
  <c r="H11" i="8"/>
  <c r="H13" i="8" s="1"/>
  <c r="H15" i="8"/>
  <c r="H20" i="8" s="1"/>
  <c r="I15" i="8"/>
  <c r="I16" i="8"/>
  <c r="G11" i="8"/>
  <c r="G15" i="8"/>
  <c r="G16" i="8"/>
  <c r="J15" i="8"/>
  <c r="J16" i="8"/>
  <c r="N16" i="8"/>
  <c r="N15" i="8"/>
  <c r="G43" i="6"/>
  <c r="H43" i="6" s="1"/>
  <c r="J5" i="7"/>
  <c r="I6" i="7"/>
  <c r="I7" i="7"/>
  <c r="I8" i="7"/>
  <c r="I9" i="7"/>
  <c r="I10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G21" i="9"/>
  <c r="D27" i="9"/>
  <c r="C7" i="2"/>
  <c r="C13" i="2"/>
  <c r="V24" i="4"/>
  <c r="W24" i="4" s="1"/>
  <c r="D24" i="4"/>
  <c r="V23" i="4"/>
  <c r="W23" i="4" s="1"/>
  <c r="D23" i="4"/>
  <c r="D17" i="9"/>
  <c r="F31" i="9" s="1"/>
  <c r="E23" i="9"/>
  <c r="P164" i="4"/>
  <c r="H198" i="4"/>
  <c r="H255" i="4" s="1"/>
  <c r="V22" i="4"/>
  <c r="I198" i="4"/>
  <c r="D22" i="4"/>
  <c r="W6" i="4"/>
  <c r="R19" i="5"/>
  <c r="Q19" i="5"/>
  <c r="P19" i="5"/>
  <c r="G6" i="5"/>
  <c r="G85" i="5"/>
  <c r="F67" i="5"/>
  <c r="N20" i="5"/>
  <c r="G3" i="2"/>
  <c r="F4" i="2"/>
  <c r="F5" i="2"/>
  <c r="F8" i="2"/>
  <c r="F9" i="2"/>
  <c r="F10" i="2"/>
  <c r="F11" i="2"/>
  <c r="F12" i="2"/>
  <c r="F18" i="2"/>
  <c r="F19" i="2"/>
  <c r="F20" i="2"/>
  <c r="F21" i="2"/>
  <c r="F22" i="2"/>
  <c r="F23" i="2"/>
  <c r="F24" i="2"/>
  <c r="F25" i="2"/>
  <c r="F26" i="2"/>
  <c r="D13" i="2"/>
  <c r="D14" i="2" s="1"/>
  <c r="D7" i="2"/>
  <c r="R15" i="5"/>
  <c r="Q15" i="5"/>
  <c r="P15" i="5"/>
  <c r="C15" i="8"/>
  <c r="H4" i="7"/>
  <c r="F17" i="9"/>
  <c r="E27" i="2"/>
  <c r="F17" i="2" s="1"/>
  <c r="E6" i="2"/>
  <c r="C58" i="2"/>
  <c r="I24" i="9" l="1"/>
  <c r="J24" i="9"/>
  <c r="O20" i="8"/>
  <c r="O21" i="8" s="1"/>
  <c r="I25" i="9"/>
  <c r="J25" i="9"/>
  <c r="I26" i="9"/>
  <c r="J26" i="9"/>
  <c r="M21" i="8"/>
  <c r="L21" i="8"/>
  <c r="K20" i="8"/>
  <c r="K21" i="8" s="1"/>
  <c r="I22" i="9"/>
  <c r="J22" i="9"/>
  <c r="E20" i="8"/>
  <c r="E21" i="8" s="1"/>
  <c r="F20" i="8"/>
  <c r="F21" i="8" s="1"/>
  <c r="I255" i="4"/>
  <c r="D21" i="8"/>
  <c r="H21" i="8"/>
  <c r="I20" i="8"/>
  <c r="I21" i="8" s="1"/>
  <c r="G20" i="8"/>
  <c r="N20" i="8"/>
  <c r="N21" i="8" s="1"/>
  <c r="G13" i="8"/>
  <c r="P13" i="8" s="1"/>
  <c r="P11" i="8"/>
  <c r="J20" i="8"/>
  <c r="J21" i="8" s="1"/>
  <c r="P16" i="8"/>
  <c r="K5" i="7"/>
  <c r="J7" i="7"/>
  <c r="J8" i="7"/>
  <c r="J10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I21" i="9"/>
  <c r="J21" i="9"/>
  <c r="C14" i="2"/>
  <c r="G23" i="9"/>
  <c r="G27" i="9" s="1"/>
  <c r="E27" i="9"/>
  <c r="I4" i="4"/>
  <c r="F259" i="4"/>
  <c r="F81" i="5"/>
  <c r="H81" i="5" s="1"/>
  <c r="H67" i="5"/>
  <c r="G67" i="5"/>
  <c r="G81" i="5" s="1"/>
  <c r="N52" i="5"/>
  <c r="R20" i="5"/>
  <c r="Q20" i="5"/>
  <c r="P20" i="5"/>
  <c r="H3" i="2"/>
  <c r="G4" i="2"/>
  <c r="G5" i="2"/>
  <c r="G8" i="2"/>
  <c r="G9" i="2"/>
  <c r="G10" i="2"/>
  <c r="G11" i="2"/>
  <c r="G12" i="2"/>
  <c r="G18" i="2"/>
  <c r="G19" i="2"/>
  <c r="G20" i="2"/>
  <c r="G21" i="2"/>
  <c r="G22" i="2"/>
  <c r="G23" i="2"/>
  <c r="G24" i="2"/>
  <c r="G25" i="2"/>
  <c r="G26" i="2"/>
  <c r="F6" i="2"/>
  <c r="C20" i="8"/>
  <c r="P15" i="8"/>
  <c r="E13" i="2"/>
  <c r="E7" i="2"/>
  <c r="F27" i="2"/>
  <c r="G17" i="2" s="1"/>
  <c r="I4" i="7"/>
  <c r="W22" i="4"/>
  <c r="C270" i="4"/>
  <c r="D270" i="4"/>
  <c r="C271" i="4"/>
  <c r="D271" i="4"/>
  <c r="C272" i="4"/>
  <c r="D272" i="4"/>
  <c r="C273" i="4"/>
  <c r="D273" i="4"/>
  <c r="G21" i="8" l="1"/>
  <c r="L5" i="7"/>
  <c r="K8" i="7"/>
  <c r="K10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I23" i="9"/>
  <c r="I6" i="5"/>
  <c r="G84" i="5"/>
  <c r="I3" i="2"/>
  <c r="H4" i="2"/>
  <c r="H5" i="2"/>
  <c r="H8" i="2"/>
  <c r="H9" i="2"/>
  <c r="H10" i="2"/>
  <c r="H11" i="2"/>
  <c r="H12" i="2"/>
  <c r="H18" i="2"/>
  <c r="H19" i="2"/>
  <c r="H20" i="2"/>
  <c r="H21" i="2"/>
  <c r="H22" i="2"/>
  <c r="H23" i="2"/>
  <c r="H24" i="2"/>
  <c r="H25" i="2"/>
  <c r="H26" i="2"/>
  <c r="F7" i="2"/>
  <c r="F13" i="2"/>
  <c r="D274" i="4"/>
  <c r="E270" i="4" s="1"/>
  <c r="J4" i="7"/>
  <c r="G27" i="2"/>
  <c r="H17" i="2" s="1"/>
  <c r="C274" i="4"/>
  <c r="G6" i="2"/>
  <c r="P20" i="8"/>
  <c r="C21" i="8"/>
  <c r="E14" i="2"/>
  <c r="P21" i="8" l="1"/>
  <c r="M5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J3" i="2"/>
  <c r="I4" i="2"/>
  <c r="I5" i="2"/>
  <c r="I8" i="2"/>
  <c r="I9" i="2"/>
  <c r="I10" i="2"/>
  <c r="I11" i="2"/>
  <c r="I12" i="2"/>
  <c r="I18" i="2"/>
  <c r="I19" i="2"/>
  <c r="I20" i="2"/>
  <c r="I21" i="2"/>
  <c r="I22" i="2"/>
  <c r="I23" i="2"/>
  <c r="I24" i="2"/>
  <c r="I25" i="2"/>
  <c r="I26" i="2"/>
  <c r="H6" i="2"/>
  <c r="E273" i="4"/>
  <c r="E272" i="4"/>
  <c r="E271" i="4"/>
  <c r="E274" i="4"/>
  <c r="G13" i="2"/>
  <c r="G7" i="2"/>
  <c r="H27" i="2"/>
  <c r="I17" i="2" s="1"/>
  <c r="K4" i="7"/>
  <c r="I27" i="9"/>
  <c r="J23" i="9"/>
  <c r="F14" i="2"/>
  <c r="N5" i="7" l="1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K3" i="2"/>
  <c r="J4" i="2"/>
  <c r="J5" i="2"/>
  <c r="J8" i="2"/>
  <c r="J9" i="2"/>
  <c r="J10" i="2"/>
  <c r="J11" i="2"/>
  <c r="J12" i="2"/>
  <c r="J18" i="2"/>
  <c r="J19" i="2"/>
  <c r="J20" i="2"/>
  <c r="J21" i="2"/>
  <c r="J22" i="2"/>
  <c r="J23" i="2"/>
  <c r="J24" i="2"/>
  <c r="J25" i="2"/>
  <c r="J26" i="2"/>
  <c r="H7" i="2"/>
  <c r="H13" i="2"/>
  <c r="I6" i="2"/>
  <c r="I27" i="2"/>
  <c r="J17" i="2" s="1"/>
  <c r="L4" i="7"/>
  <c r="G14" i="2"/>
  <c r="O5" i="7" l="1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L3" i="2"/>
  <c r="K4" i="2"/>
  <c r="K5" i="2"/>
  <c r="K8" i="2"/>
  <c r="K9" i="2"/>
  <c r="K10" i="2"/>
  <c r="K11" i="2"/>
  <c r="K12" i="2"/>
  <c r="K18" i="2"/>
  <c r="K19" i="2"/>
  <c r="K20" i="2"/>
  <c r="K21" i="2"/>
  <c r="K22" i="2"/>
  <c r="K23" i="2"/>
  <c r="K24" i="2"/>
  <c r="K25" i="2"/>
  <c r="K26" i="2"/>
  <c r="J6" i="2"/>
  <c r="I13" i="2"/>
  <c r="I14" i="2" s="1"/>
  <c r="I7" i="2"/>
  <c r="J27" i="2"/>
  <c r="M4" i="7"/>
  <c r="H14" i="2"/>
  <c r="P5" i="7" l="1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M3" i="2"/>
  <c r="L4" i="2"/>
  <c r="L5" i="2"/>
  <c r="L8" i="2"/>
  <c r="L9" i="2"/>
  <c r="L10" i="2"/>
  <c r="L11" i="2"/>
  <c r="L12" i="2"/>
  <c r="L18" i="2"/>
  <c r="L19" i="2"/>
  <c r="L20" i="2"/>
  <c r="L21" i="2"/>
  <c r="L22" i="2"/>
  <c r="L23" i="2"/>
  <c r="L24" i="2"/>
  <c r="L25" i="2"/>
  <c r="L26" i="2"/>
  <c r="J7" i="2"/>
  <c r="J13" i="2"/>
  <c r="K17" i="2"/>
  <c r="K27" i="2" s="1"/>
  <c r="N4" i="7"/>
  <c r="K6" i="2"/>
  <c r="L17" i="2" l="1"/>
  <c r="L27" i="2" s="1"/>
  <c r="Q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N3" i="2"/>
  <c r="M4" i="2"/>
  <c r="M5" i="2"/>
  <c r="M8" i="2"/>
  <c r="M9" i="2"/>
  <c r="M10" i="2"/>
  <c r="M11" i="2"/>
  <c r="M12" i="2"/>
  <c r="M18" i="2"/>
  <c r="M19" i="2"/>
  <c r="M20" i="2"/>
  <c r="M21" i="2"/>
  <c r="M22" i="2"/>
  <c r="M23" i="2"/>
  <c r="M24" i="2"/>
  <c r="M25" i="2"/>
  <c r="M26" i="2"/>
  <c r="L6" i="2"/>
  <c r="J14" i="2"/>
  <c r="K13" i="2"/>
  <c r="K7" i="2"/>
  <c r="O4" i="7"/>
  <c r="M17" i="2" l="1"/>
  <c r="E3" i="8"/>
  <c r="C9" i="8" s="1"/>
  <c r="C22" i="8" s="1"/>
  <c r="M27" i="2"/>
  <c r="N17" i="2" s="1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N4" i="2"/>
  <c r="N5" i="2"/>
  <c r="O5" i="2" s="1"/>
  <c r="N8" i="2"/>
  <c r="O8" i="2" s="1"/>
  <c r="N9" i="2"/>
  <c r="O9" i="2" s="1"/>
  <c r="N10" i="2"/>
  <c r="O10" i="2" s="1"/>
  <c r="N11" i="2"/>
  <c r="O11" i="2" s="1"/>
  <c r="N12" i="2"/>
  <c r="O12" i="2" s="1"/>
  <c r="N18" i="2"/>
  <c r="N19" i="2"/>
  <c r="N20" i="2"/>
  <c r="N21" i="2"/>
  <c r="N22" i="2"/>
  <c r="N23" i="2"/>
  <c r="N24" i="2"/>
  <c r="N25" i="2"/>
  <c r="O25" i="2" s="1"/>
  <c r="N26" i="2"/>
  <c r="O26" i="2" s="1"/>
  <c r="L7" i="2"/>
  <c r="L13" i="2"/>
  <c r="P4" i="7"/>
  <c r="M33" i="2" s="1"/>
  <c r="M35" i="2" s="1"/>
  <c r="M36" i="2" s="1"/>
  <c r="M6" i="2"/>
  <c r="K14" i="2"/>
  <c r="C23" i="8" l="1"/>
  <c r="D9" i="8"/>
  <c r="D22" i="8" s="1"/>
  <c r="O4" i="2"/>
  <c r="C45" i="2" s="1"/>
  <c r="C47" i="2" s="1"/>
  <c r="N6" i="2"/>
  <c r="M13" i="2"/>
  <c r="M14" i="2" s="1"/>
  <c r="M7" i="2"/>
  <c r="Q4" i="7"/>
  <c r="N33" i="2" s="1"/>
  <c r="N35" i="2" s="1"/>
  <c r="N36" i="2" s="1"/>
  <c r="C51" i="2"/>
  <c r="C53" i="2" s="1"/>
  <c r="N27" i="2"/>
  <c r="C41" i="2"/>
  <c r="C42" i="2" s="1"/>
  <c r="L14" i="2"/>
  <c r="D23" i="8" l="1"/>
  <c r="E9" i="8"/>
  <c r="E22" i="8" s="1"/>
  <c r="O6" i="2"/>
  <c r="O7" i="2" s="1"/>
  <c r="N7" i="2"/>
  <c r="N13" i="2"/>
  <c r="E23" i="8" l="1"/>
  <c r="F9" i="8"/>
  <c r="F22" i="8" s="1"/>
  <c r="O13" i="2"/>
  <c r="O14" i="2" s="1"/>
  <c r="N14" i="2"/>
  <c r="F23" i="8" l="1"/>
  <c r="G9" i="8"/>
  <c r="G22" i="8" s="1"/>
  <c r="G23" i="8" l="1"/>
  <c r="H9" i="8"/>
  <c r="H22" i="8" s="1"/>
  <c r="I9" i="8" l="1"/>
  <c r="I22" i="8" s="1"/>
  <c r="H23" i="8"/>
  <c r="I23" i="8" l="1"/>
  <c r="J9" i="8"/>
  <c r="J22" i="8" s="1"/>
  <c r="K9" i="8" l="1"/>
  <c r="K22" i="8" s="1"/>
  <c r="J23" i="8"/>
  <c r="K23" i="8" l="1"/>
  <c r="L9" i="8"/>
  <c r="L22" i="8" s="1"/>
  <c r="L23" i="8" l="1"/>
  <c r="M9" i="8"/>
  <c r="M22" i="8" s="1"/>
  <c r="N9" i="8" l="1"/>
  <c r="N22" i="8" s="1"/>
  <c r="M23" i="8"/>
  <c r="O9" i="8" l="1"/>
  <c r="O22" i="8" s="1"/>
  <c r="O23" i="8" s="1"/>
  <c r="N23" i="8"/>
</calcChain>
</file>

<file path=xl/sharedStrings.xml><?xml version="1.0" encoding="utf-8"?>
<sst xmlns="http://schemas.openxmlformats.org/spreadsheetml/2006/main" count="4260" uniqueCount="1195">
  <si>
    <t>Fecha</t>
  </si>
  <si>
    <t>Descripción banco</t>
  </si>
  <si>
    <t>Valor</t>
  </si>
  <si>
    <t>Categoría</t>
  </si>
  <si>
    <t>Descripción interna</t>
  </si>
  <si>
    <t>CUENTAS POR PAGAR (CxP) — MANGLAR</t>
  </si>
  <si>
    <t>Mes Caja</t>
  </si>
  <si>
    <t>Cuenta</t>
  </si>
  <si>
    <t>Centro de costo</t>
  </si>
  <si>
    <t>Cliente</t>
  </si>
  <si>
    <t>Actual</t>
  </si>
  <si>
    <t>Proyecto</t>
  </si>
  <si>
    <t>IVA?</t>
  </si>
  <si>
    <t>Mes (Causación P&amp;G)</t>
  </si>
  <si>
    <t>Factura</t>
  </si>
  <si>
    <t>Comentarios</t>
  </si>
  <si>
    <t>Link</t>
  </si>
  <si>
    <t>P&amp;G</t>
  </si>
  <si>
    <t>https://docs.google.com/spreadsheets/d/18Om0REh-zkuZNfu-JHQBKEZbUhkMH-UE_ZbSgjpWadU/edit?gid=527771349#gid=527771349</t>
  </si>
  <si>
    <t>CONSIG LOCAL CAJ</t>
  </si>
  <si>
    <t>YTD</t>
  </si>
  <si>
    <t>Ingresos (facturado)</t>
  </si>
  <si>
    <t>Abono capital</t>
  </si>
  <si>
    <t xml:space="preserve">Abono Juan David </t>
  </si>
  <si>
    <t>NA</t>
  </si>
  <si>
    <t>Una fila por documento recibido. Las notas credito van en negativo. El Valor Producto ya incluye el INC, que no se recupera.</t>
  </si>
  <si>
    <t>Total facturado</t>
  </si>
  <si>
    <t>IVA descontable</t>
  </si>
  <si>
    <t>Pagado</t>
  </si>
  <si>
    <t>Por pagar</t>
  </si>
  <si>
    <t>No</t>
  </si>
  <si>
    <t>ABONO INTERESES AHORROS</t>
  </si>
  <si>
    <t>Intereses</t>
  </si>
  <si>
    <t>Fecha Recepción</t>
  </si>
  <si>
    <t>Fecha Pago</t>
  </si>
  <si>
    <t>Estado</t>
  </si>
  <si>
    <t>Proveedor</t>
  </si>
  <si>
    <t>NIT/CC</t>
  </si>
  <si>
    <t>Concepto/Rubro</t>
  </si>
  <si>
    <t>Valor Producto</t>
  </si>
  <si>
    <t>Costo Ventas</t>
  </si>
  <si>
    <t>IVA</t>
  </si>
  <si>
    <t>Otros impuestos</t>
  </si>
  <si>
    <t>Retenciones</t>
  </si>
  <si>
    <t>Valor Total</t>
  </si>
  <si>
    <t>Saldo</t>
  </si>
  <si>
    <t>Vence</t>
  </si>
  <si>
    <t>Notas</t>
  </si>
  <si>
    <t>Días</t>
  </si>
  <si>
    <t>Alerta</t>
  </si>
  <si>
    <t>Dashboard</t>
  </si>
  <si>
    <t>Aplica al P&amp;G</t>
  </si>
  <si>
    <t>LEXGRA CONSULTING S.A.S.</t>
  </si>
  <si>
    <t>901615566</t>
  </si>
  <si>
    <t>MANEJO TARJETA DEB 03 26</t>
  </si>
  <si>
    <t>Cuota de manejo</t>
  </si>
  <si>
    <t xml:space="preserve">SERVICIOS DE CONSULT SER001                         94      </t>
  </si>
  <si>
    <t>AJUSTE INTERES AHORROS DB</t>
  </si>
  <si>
    <t>LXFE-420</t>
  </si>
  <si>
    <t>Sin cruce uno a uno con el banco</t>
  </si>
  <si>
    <t>STG CAFES SAS</t>
  </si>
  <si>
    <t>901148230</t>
  </si>
  <si>
    <t>Kaspersky</t>
  </si>
  <si>
    <t>Gastos Representacion</t>
  </si>
  <si>
    <t xml:space="preserve">SAND JOSECITO     94      2 GASEOSA        94      2 Cargo  </t>
  </si>
  <si>
    <t>FEST-4442</t>
  </si>
  <si>
    <t>Incluye INC</t>
  </si>
  <si>
    <t>SIIGO S.A.S</t>
  </si>
  <si>
    <t>830048145</t>
  </si>
  <si>
    <t>COMPRA EN  EL ALTILLO</t>
  </si>
  <si>
    <t>Gastos representación</t>
  </si>
  <si>
    <t xml:space="preserve">Desayuno Kaspersky </t>
  </si>
  <si>
    <t>Facturación electrónica 12 FE por WhatsApp USO CERTIFICADO D</t>
  </si>
  <si>
    <t>93-</t>
  </si>
  <si>
    <t>GRUPO EMPRESARIAL KOJAK GRAPHIC S.A.S</t>
  </si>
  <si>
    <t>901805686</t>
  </si>
  <si>
    <t>M260101</t>
  </si>
  <si>
    <t>SERVICIO TRANSFERENCIA VIRTUAL</t>
  </si>
  <si>
    <t>Costo transferencias</t>
  </si>
  <si>
    <t xml:space="preserve">Costo transferencias </t>
  </si>
  <si>
    <t xml:space="preserve">LLAVERO COPA DEL MUN DO PREMIUM - DOMICILIO DE ENVÍO -   94 </t>
  </si>
  <si>
    <t>2604</t>
  </si>
  <si>
    <t>ADIDAS COLOMBIA LTDA</t>
  </si>
  <si>
    <t>805011074</t>
  </si>
  <si>
    <t>TRANSFERENCIA VIRTUAL</t>
  </si>
  <si>
    <t>Servicios Prof</t>
  </si>
  <si>
    <t>Lexgra abogados</t>
  </si>
  <si>
    <t>JD8034          WC MINI       NIU    10 JD8034          WC M</t>
  </si>
  <si>
    <t>030A-47518</t>
  </si>
  <si>
    <t>COBRO IVA PAGOS AUTOMATICOS</t>
  </si>
  <si>
    <t>IVA Descontable</t>
  </si>
  <si>
    <t>CAJA DE COMPENSACION FAMILIAR COMPENSAR</t>
  </si>
  <si>
    <t>860066942</t>
  </si>
  <si>
    <t>Evento Educación Colombia Excelente</t>
  </si>
  <si>
    <t>AM20-148849</t>
  </si>
  <si>
    <t>Pagado con medios diferentes a los de Manglar</t>
  </si>
  <si>
    <t>CUENTAS POR COBRAR (CxC) — MANGLAR</t>
  </si>
  <si>
    <t>IKSO SAS</t>
  </si>
  <si>
    <t>901331844</t>
  </si>
  <si>
    <t>M260201</t>
  </si>
  <si>
    <t>Una fila por factura emitida. El saldo es lo que falta cobrar despues de las retenciones.</t>
  </si>
  <si>
    <t>Resumen</t>
  </si>
  <si>
    <t>FRAKTA BOLSA 55X37X35 NIU     1 CM/71 L AZUL N STELNA POCILL</t>
  </si>
  <si>
    <t>Total facturado (con IVA)</t>
  </si>
  <si>
    <t>Retenciones aplicadas</t>
  </si>
  <si>
    <t>Cobrado en banco</t>
  </si>
  <si>
    <t>Cartera pendiente</t>
  </si>
  <si>
    <t>F109-118706</t>
  </si>
  <si>
    <t>TRANSFERENCIA CTA SUC VIRTUAL</t>
  </si>
  <si>
    <t xml:space="preserve">Abono Veronica </t>
  </si>
  <si>
    <t>Linemarketing &amp; Eventos</t>
  </si>
  <si>
    <t>900299878</t>
  </si>
  <si>
    <t>VA-114    Sporty Bag Sencilla         94     100 Botilito Me</t>
  </si>
  <si>
    <t>Facturas</t>
  </si>
  <si>
    <t>FE-538</t>
  </si>
  <si>
    <t>Folio</t>
  </si>
  <si>
    <t>Concepto</t>
  </si>
  <si>
    <t>Base sin IVA</t>
  </si>
  <si>
    <t>IVA 19%</t>
  </si>
  <si>
    <t>Total Facturado</t>
  </si>
  <si>
    <t>Neto a Cobrar</t>
  </si>
  <si>
    <t>Cobrado</t>
  </si>
  <si>
    <t>Saldo Pendiente</t>
  </si>
  <si>
    <t>Fecha Vence</t>
  </si>
  <si>
    <t>Dias Venc.</t>
  </si>
  <si>
    <t>Antiguedad</t>
  </si>
  <si>
    <t>Mes</t>
  </si>
  <si>
    <t>SMART DESIGN PUBLICIDAD SAS</t>
  </si>
  <si>
    <t>ReteIVA</t>
  </si>
  <si>
    <t>901764188</t>
  </si>
  <si>
    <t>Retefuente</t>
  </si>
  <si>
    <t>M260301</t>
  </si>
  <si>
    <t>DAFE 1</t>
  </si>
  <si>
    <t>Set de libreta cubierta de ZZ     35 Caja de regalo i</t>
  </si>
  <si>
    <t>SD-404</t>
  </si>
  <si>
    <t>ALVARO ORTIZ GUERRERO</t>
  </si>
  <si>
    <t>79333384</t>
  </si>
  <si>
    <t>Evento mundial de futbol y merchandising</t>
  </si>
  <si>
    <t>Pago proveedores</t>
  </si>
  <si>
    <t>Smart Design - Innovaitors</t>
  </si>
  <si>
    <t xml:space="preserve">SERVICIO MAR    SERVICIO DE MARCA   94     20 Notas Finales </t>
  </si>
  <si>
    <t>AOG-810</t>
  </si>
  <si>
    <t>COLOMBIANA DE COMERCIO S.A.</t>
  </si>
  <si>
    <t>Si</t>
  </si>
  <si>
    <t>890900943</t>
  </si>
  <si>
    <t>ReteIVA 15%</t>
  </si>
  <si>
    <t>Album Pblanda Copa Mund Album Pblanda Copa Mund Album Pbland</t>
  </si>
  <si>
    <t>Margen Bruto</t>
  </si>
  <si>
    <t>X711-2506067</t>
  </si>
  <si>
    <t>DAFE 3</t>
  </si>
  <si>
    <t>Tacos, mugs y tablas en bambu</t>
  </si>
  <si>
    <t>Margen Bruto %</t>
  </si>
  <si>
    <t>Display Sob Copa Mu Notas Finales Responsable I.V.A. Somos G</t>
  </si>
  <si>
    <t>Cobrada sin retencion</t>
  </si>
  <si>
    <t>X711-2506066</t>
  </si>
  <si>
    <t>DAFE 4</t>
  </si>
  <si>
    <t>Otros Ingresos</t>
  </si>
  <si>
    <t>Kits premium agenda y esfero</t>
  </si>
  <si>
    <t>Verificar aplicacion del pago</t>
  </si>
  <si>
    <t xml:space="preserve">KAS - Vasos </t>
  </si>
  <si>
    <t>DAFE 5</t>
  </si>
  <si>
    <t>M260401</t>
  </si>
  <si>
    <t>JZ0736      FMF A JSY D     NIU     1</t>
  </si>
  <si>
    <t>NC055A6689</t>
  </si>
  <si>
    <t>Incentives Campaign NOLA Q2</t>
  </si>
  <si>
    <t>Anula 055A-47328</t>
  </si>
  <si>
    <t>DAFE 6</t>
  </si>
  <si>
    <t>M260102</t>
  </si>
  <si>
    <t>JZ0736     FMF A JSY D      NIU     1</t>
  </si>
  <si>
    <t>Polos entrenadores academy</t>
  </si>
  <si>
    <t>055A-47328</t>
  </si>
  <si>
    <t>Anulada por NC055A6689</t>
  </si>
  <si>
    <t>Comisión transferencia</t>
  </si>
  <si>
    <t>DAFE 7</t>
  </si>
  <si>
    <t>M260302</t>
  </si>
  <si>
    <t>JL6972       FCF H JSY      NIU     1</t>
  </si>
  <si>
    <t>Banner roll up y transporte</t>
  </si>
  <si>
    <t>NC055A6687</t>
  </si>
  <si>
    <t>Anula 055A-47337</t>
  </si>
  <si>
    <t>Pago a TPC</t>
  </si>
  <si>
    <t>Intreses</t>
  </si>
  <si>
    <t>DAFE 9</t>
  </si>
  <si>
    <t>M260501</t>
  </si>
  <si>
    <t>055A-47337</t>
  </si>
  <si>
    <t>Anulada por NC055A6687</t>
  </si>
  <si>
    <t>Ejecucion evento CIMA 2026</t>
  </si>
  <si>
    <t>Costos Fijos</t>
  </si>
  <si>
    <t>PAGO INTERBANC Axis Communicat</t>
  </si>
  <si>
    <t>Pago clientes</t>
  </si>
  <si>
    <t xml:space="preserve">Axis </t>
  </si>
  <si>
    <t>TRANSPARENTE AGENCIA GRAFICA S.A.S</t>
  </si>
  <si>
    <t>901909925</t>
  </si>
  <si>
    <t>Retefuente 4% neta del reintegro de julio</t>
  </si>
  <si>
    <t>DAFE 10</t>
  </si>
  <si>
    <t>Retefuente 4%</t>
  </si>
  <si>
    <t>DAFE 13</t>
  </si>
  <si>
    <t>TACO EN HOJAS BOND 7 GR IMPRESO FULL COL PORTA T OR 1 CARA T</t>
  </si>
  <si>
    <t>M260103</t>
  </si>
  <si>
    <t>Hoodies premio reto wellness</t>
  </si>
  <si>
    <t>FE-285</t>
  </si>
  <si>
    <t>Factura dividida para alinear costos por proyecto. Valor ajustado manual en pagado</t>
  </si>
  <si>
    <t>Reemplaza a DAFE 11</t>
  </si>
  <si>
    <t>DAFE 14</t>
  </si>
  <si>
    <t>M260104</t>
  </si>
  <si>
    <t>Transporte y props cena Feria ESS</t>
  </si>
  <si>
    <t>Reemplaza a DAFE 12. ReteIVA 15%</t>
  </si>
  <si>
    <t>DAFE 15</t>
  </si>
  <si>
    <t>M260601</t>
  </si>
  <si>
    <t>Evento Datacenter Day Bogota</t>
  </si>
  <si>
    <t>DISTRIBUIDORA DE COMBUSTIBLES SAN FELIPE</t>
  </si>
  <si>
    <t>901626025</t>
  </si>
  <si>
    <t>Abono Monaco 500k, dividio para alinearse a las facturas - Axis</t>
  </si>
  <si>
    <t>Por cobrar</t>
  </si>
  <si>
    <t>DAFE 16</t>
  </si>
  <si>
    <t>M260602</t>
  </si>
  <si>
    <t>CORRIENTE       EA     14 Notas Finales</t>
  </si>
  <si>
    <t>FVSE-28291</t>
  </si>
  <si>
    <t>TSFB-145699</t>
  </si>
  <si>
    <t>Speaker Datacenter Day Bogota</t>
  </si>
  <si>
    <t>MEDIA RES STEAKHOUSE S.A.S.</t>
  </si>
  <si>
    <t>901161636</t>
  </si>
  <si>
    <t>FVMR-18762</t>
  </si>
  <si>
    <t>ASADO DE VACIO    WSD     1 COCA COLA ZERO    WSD     1 COCA</t>
  </si>
  <si>
    <t>PAGO INTERBANC KONRAD ADENAUER</t>
  </si>
  <si>
    <t>DAFE 17</t>
  </si>
  <si>
    <t>M260701</t>
  </si>
  <si>
    <t>Pago KAS</t>
  </si>
  <si>
    <t>MRFE-55498</t>
  </si>
  <si>
    <t>LIVEEX S.A.S.</t>
  </si>
  <si>
    <t>901820420</t>
  </si>
  <si>
    <t>AXIS</t>
  </si>
  <si>
    <t>AGUA           94      1 AGUA GAS         94      1 PEPSI CE</t>
  </si>
  <si>
    <t>FVSE-27735</t>
  </si>
  <si>
    <t>HSA Giveaways Elevate Pro Cartagena</t>
  </si>
  <si>
    <t>DAFE 18</t>
  </si>
  <si>
    <t>M260702</t>
  </si>
  <si>
    <t>SERV011 REVISION CONTRATOS   94      1 Notas Finales REVISIO</t>
  </si>
  <si>
    <t>LXFE-580</t>
  </si>
  <si>
    <t>SERVICIOS ELCTR.</t>
  </si>
  <si>
    <t>Ikea - Mugs Konrad adenauer</t>
  </si>
  <si>
    <t>HSA - Brochures for Feria ESS</t>
  </si>
  <si>
    <t>Orden de compra PO 7000294156</t>
  </si>
  <si>
    <t>DAFE 19</t>
  </si>
  <si>
    <t>M260105</t>
  </si>
  <si>
    <t>YTBERG LÁMP IL MUE BC NIU     3 O/REG INT LUM CO ANSLUTA TRA</t>
  </si>
  <si>
    <t>F107-106504</t>
  </si>
  <si>
    <t>Datacenter Day Anixter Event Bogota</t>
  </si>
  <si>
    <t>DAFE 20</t>
  </si>
  <si>
    <t>M260106</t>
  </si>
  <si>
    <t xml:space="preserve">BILLY N4 BIBLIOTECA 80X NIU     3 X202 BLANCO OXBERG PUERTA </t>
  </si>
  <si>
    <t>PAGO LLAVE JUAN DAVID</t>
  </si>
  <si>
    <t>Aporte Juanda</t>
  </si>
  <si>
    <t>F107-106503</t>
  </si>
  <si>
    <t>Gomas para evento de oficina</t>
  </si>
  <si>
    <t>COMERCIAL PAPELERA SA</t>
  </si>
  <si>
    <t>860528396</t>
  </si>
  <si>
    <t>no tiene mes PyG dado que es un movimiento que no lo afecta</t>
  </si>
  <si>
    <t>Aporte Vero - cuenta TPC</t>
  </si>
  <si>
    <t>DAFE 21</t>
  </si>
  <si>
    <t>M260703</t>
  </si>
  <si>
    <t>Costos Operacionales</t>
  </si>
  <si>
    <t>RESMA PROPAL CARTA 21 RESMA OPALINA CARTA 2 IMPRES/COPIA CAR</t>
  </si>
  <si>
    <t>CALA Predictor Prizes Colombia Back Pack</t>
  </si>
  <si>
    <t>FE04-509903</t>
  </si>
  <si>
    <t>COMPRA EN RCS-CO BOG</t>
  </si>
  <si>
    <t>Adidas - Axis</t>
  </si>
  <si>
    <t>Orden de compra PR369334</t>
  </si>
  <si>
    <t>DAFE 22</t>
  </si>
  <si>
    <t>M260603</t>
  </si>
  <si>
    <t>Almuerzo feria ESS+</t>
  </si>
  <si>
    <t>IMPRES/COPIA CARTA FU LL COLO PRINT XER RESMA PROPAL CARTA 2</t>
  </si>
  <si>
    <t>FE03-392527</t>
  </si>
  <si>
    <t>C MANEJO TARJ DEB 1192 04 26</t>
  </si>
  <si>
    <t>DAFE 23</t>
  </si>
  <si>
    <t>M260107</t>
  </si>
  <si>
    <t>TB PROMOCIONALES SAS</t>
  </si>
  <si>
    <t>900474221</t>
  </si>
  <si>
    <t>Mezzanine - ESS+</t>
  </si>
  <si>
    <t>CAMISETA TIPO POLO C OMPOSICION Lo qu Bordado 1 logo Tamañ</t>
  </si>
  <si>
    <t>FE-155</t>
  </si>
  <si>
    <t>DAFE 24</t>
  </si>
  <si>
    <t>EVENTY EVENT PLANNERS SAS</t>
  </si>
  <si>
    <t>901092033</t>
  </si>
  <si>
    <t>Produccion de 60 maletas marcadas y letras KAS en MDF</t>
  </si>
  <si>
    <t>ALQUILER DE MOBILIARI ZZ      1 O CC SALITRE PERSONAL DE MON</t>
  </si>
  <si>
    <t xml:space="preserve">Kojak - Llaveros Axis </t>
  </si>
  <si>
    <t>NC2107</t>
  </si>
  <si>
    <t>Anula FVP-1209</t>
  </si>
  <si>
    <t>DAFE 25</t>
  </si>
  <si>
    <t xml:space="preserve">ALQUILER DE MOBILIARI O CC SALITRE PERSONAL DE MONTAJE PM1  </t>
  </si>
  <si>
    <t>FVP-1209</t>
  </si>
  <si>
    <t>Anulada por NC2107</t>
  </si>
  <si>
    <t>EBC Bogota, Hotel EBC Bogota</t>
  </si>
  <si>
    <t>DAFE 26</t>
  </si>
  <si>
    <t>M260108</t>
  </si>
  <si>
    <t xml:space="preserve">ALQUILER DE MOBILIARI PERSONAL DE MONTAJE PM1               </t>
  </si>
  <si>
    <t>FVP-1218</t>
  </si>
  <si>
    <t>COMPRA EN INFORMATIC</t>
  </si>
  <si>
    <t>Licencias</t>
  </si>
  <si>
    <t>Siigo</t>
  </si>
  <si>
    <t>PLANTICENTER S.A.S</t>
  </si>
  <si>
    <t>901578457</t>
  </si>
  <si>
    <t>Adicionales Feria ESS+ Bogota</t>
  </si>
  <si>
    <t>MATERA CEMENTO GOTA TRONCO DEL BRASIL    94     10 TRANSPORT</t>
  </si>
  <si>
    <t>DAFE 27</t>
  </si>
  <si>
    <t>M260109</t>
  </si>
  <si>
    <t xml:space="preserve">ABONO INTERESES AHORROS </t>
  </si>
  <si>
    <t>24.85</t>
  </si>
  <si>
    <t>FEV-12274</t>
  </si>
  <si>
    <t>HOTELES EL SALITRE SAS</t>
  </si>
  <si>
    <t>800247030</t>
  </si>
  <si>
    <t>Recarga para equipos de Feria</t>
  </si>
  <si>
    <t xml:space="preserve">ROOM SERVICE        94      1 PROPINA - INGRESO DE TERCEROS </t>
  </si>
  <si>
    <t>Centro nuevo, ver notas</t>
  </si>
  <si>
    <t>FRO-167216</t>
  </si>
  <si>
    <t>DAFE 28</t>
  </si>
  <si>
    <t>M260604</t>
  </si>
  <si>
    <t>LOGIST LATAM S.A.S</t>
  </si>
  <si>
    <t>901374586</t>
  </si>
  <si>
    <t>Extras Almuerzo Hotel Hilton Bogota</t>
  </si>
  <si>
    <t>TECNICA Y ESCENOGRA L0025                          94      1</t>
  </si>
  <si>
    <t>FV-1537</t>
  </si>
  <si>
    <t>Gastos Variables</t>
  </si>
  <si>
    <t>Mandolina Gourmet LTDA</t>
  </si>
  <si>
    <t>900040732</t>
  </si>
  <si>
    <t>Estacion de café   NIU    500 PASABOCAS        NIU    200 ME</t>
  </si>
  <si>
    <t>FE-3225</t>
  </si>
  <si>
    <t>Sin cruce uno a uno con el banco · Incluye INC</t>
  </si>
  <si>
    <t>AGUA GAS        94      2 AGUA GAS        94      1 AGUA GAS</t>
  </si>
  <si>
    <t>Pago Transparente Digital (Portatacos - Envio)</t>
  </si>
  <si>
    <t xml:space="preserve">DRAGON ROLL       94      1 Cargo                           </t>
  </si>
  <si>
    <t>FVSE-28305</t>
  </si>
  <si>
    <t>Pago Transparente Digital (Rollup)</t>
  </si>
  <si>
    <t>Pago Transparente Digital (Carpeta - Rollup - Stickers)</t>
  </si>
  <si>
    <t>Cable Best HDMI/HDMI4K Notas Finales Responsable I.V.A. Somo</t>
  </si>
  <si>
    <t>X837-2535638</t>
  </si>
  <si>
    <t>Abono 1 - Logist / Evento CCB</t>
  </si>
  <si>
    <t xml:space="preserve">CORONA         94     41 BT CHIVAS 12      94      6 AGUA   </t>
  </si>
  <si>
    <t>IMPTO GOBIERNO 4X1000</t>
  </si>
  <si>
    <t>GMF 4x1000</t>
  </si>
  <si>
    <t>4x1000</t>
  </si>
  <si>
    <t xml:space="preserve">ROLLUP 2X1 METROS CO N IMPRESION BANNER 13   94      2 CUBO </t>
  </si>
  <si>
    <t>FE-309</t>
  </si>
  <si>
    <t>Line Marketing</t>
  </si>
  <si>
    <t>JL6972     FCF H JSY      NIU     1</t>
  </si>
  <si>
    <t>080A-39251</t>
  </si>
  <si>
    <t>Anulada por NC080A8824</t>
  </si>
  <si>
    <t>NC080A8824</t>
  </si>
  <si>
    <t>COMPRA EN  DISTRIBUID</t>
  </si>
  <si>
    <t>Anula 080A-39251</t>
  </si>
  <si>
    <t>Gasolina</t>
  </si>
  <si>
    <t>Otros Gastos</t>
  </si>
  <si>
    <t>TOTAL</t>
  </si>
  <si>
    <t xml:space="preserve">CUADERNOS           ZZ     100 Esferos marcados en tam ZZ   </t>
  </si>
  <si>
    <t>SD-457</t>
  </si>
  <si>
    <t>Notas credito</t>
  </si>
  <si>
    <t>Nota</t>
  </si>
  <si>
    <t>Total</t>
  </si>
  <si>
    <t>Anula</t>
  </si>
  <si>
    <t>NC 2-1</t>
  </si>
  <si>
    <t>PAGO PSE DIAN   PSE</t>
  </si>
  <si>
    <t>Impuestos</t>
  </si>
  <si>
    <t>Pago Impuestos</t>
  </si>
  <si>
    <t>Konrad Adenauer Stiftung</t>
  </si>
  <si>
    <t>Tacos, mugs y envio</t>
  </si>
  <si>
    <t>DAFE 2</t>
  </si>
  <si>
    <t>NC 2-2</t>
  </si>
  <si>
    <t>DAFE 11</t>
  </si>
  <si>
    <t>NC 2-3</t>
  </si>
  <si>
    <t>Resultado Final</t>
  </si>
  <si>
    <t>DAFE 12</t>
  </si>
  <si>
    <t>NC77A1123</t>
  </si>
  <si>
    <t>Margen %</t>
  </si>
  <si>
    <t>CENTRAL PARKING SYSTEM COLOMBIA SAS</t>
  </si>
  <si>
    <t>830087099</t>
  </si>
  <si>
    <t>C MANEJO TARJ DEB 1192 05 26</t>
  </si>
  <si>
    <t>Cuota de Manejo</t>
  </si>
  <si>
    <t>Flujo de Caja</t>
  </si>
  <si>
    <t>Saldo Inicial</t>
  </si>
  <si>
    <t>Cartera por cliente</t>
  </si>
  <si>
    <t>Cartera Pendiente</t>
  </si>
  <si>
    <t>% Cobrado</t>
  </si>
  <si>
    <t>ANIXTER</t>
  </si>
  <si>
    <t>PK         Parqueadero      94      1</t>
  </si>
  <si>
    <t>Ingresos</t>
  </si>
  <si>
    <t>1VAT-373415</t>
  </si>
  <si>
    <t>TAKAMI SA</t>
  </si>
  <si>
    <t>830081427</t>
  </si>
  <si>
    <t>Commscope</t>
  </si>
  <si>
    <t>Innovaitors</t>
  </si>
  <si>
    <t xml:space="preserve">ARANCINI VECCINA     NIU     1 CARPACCIO DE RES VECC NIU    </t>
  </si>
  <si>
    <t>V9FE-103170</t>
  </si>
  <si>
    <t>Dulces - Commscope</t>
  </si>
  <si>
    <t>Psiconometrics</t>
  </si>
  <si>
    <t>COMBUSTIBLES H &amp; R LTDA.</t>
  </si>
  <si>
    <t>900078103</t>
  </si>
  <si>
    <t>MAL-108728</t>
  </si>
  <si>
    <t>SHELL SUPER     GLL     15 Notas Finales ORDEN DE VENTA EQUI</t>
  </si>
  <si>
    <t>FSEC-471295</t>
  </si>
  <si>
    <t>INVERSIONES CUJAR TURISMO S.A.S.</t>
  </si>
  <si>
    <t>860402571</t>
  </si>
  <si>
    <t>COMPRA EN  K TRONIX 9</t>
  </si>
  <si>
    <t>Albunes Mundial Axis</t>
  </si>
  <si>
    <t>Tiquete Internacional   NIU     1 Tarifa administrativa   NI</t>
  </si>
  <si>
    <t>Controles</t>
  </si>
  <si>
    <t>Detalle contra resumen por cliente</t>
  </si>
  <si>
    <t>FECT-25729</t>
  </si>
  <si>
    <t>Ingresos del extracto sin factura asignada</t>
  </si>
  <si>
    <t>Cajas Laminas Mundial Axis</t>
  </si>
  <si>
    <t>Pendientes</t>
  </si>
  <si>
    <t>Falta el documento DAFE 8.</t>
  </si>
  <si>
    <t>El pago de Innovaitors de julio no cuadra con las retenciones de DAFE 4 y DAFE 7.</t>
  </si>
  <si>
    <t>Las facturas nuevas van en las filas libres de arriba. La columna Mes alimenta el ingreso del P&amp;G.</t>
  </si>
  <si>
    <t>CERVEZA STELLA ARTOIS NIU     1 X 300 ML BT CERVEZA STELLA A</t>
  </si>
  <si>
    <t>O1FE-5446</t>
  </si>
  <si>
    <t>COMPRA INTL  GOOGLE  Workspace</t>
  </si>
  <si>
    <t>Google Workspace</t>
  </si>
  <si>
    <t xml:space="preserve">ACOMPAÑAMIENTO SGSS SERV020                         94      </t>
  </si>
  <si>
    <t>LXFE-689</t>
  </si>
  <si>
    <t>Va haber factura?</t>
  </si>
  <si>
    <t xml:space="preserve">HOODIES Buso con crema DTF segú ARTE DE BUZO           94   </t>
  </si>
  <si>
    <t>FE-186</t>
  </si>
  <si>
    <t>Proveedor Eventi (Muebles)</t>
  </si>
  <si>
    <t>IMPRESIÓN EN COTE 150 GRS. 4X4 DE 29CM X 20 PLEGADOS.</t>
  </si>
  <si>
    <t>SD-483</t>
  </si>
  <si>
    <t>COMBUSTIBLES DE COLOMBIA S.A.</t>
  </si>
  <si>
    <t>830513729</t>
  </si>
  <si>
    <t>COMPRA EN SEKUSHI SK</t>
  </si>
  <si>
    <t>Cliente Axis</t>
  </si>
  <si>
    <t>PLUS OXIGENADA    1G      14</t>
  </si>
  <si>
    <t>A922-419084</t>
  </si>
  <si>
    <t>JAVIER HERNANDO RAMOS OSPINA</t>
  </si>
  <si>
    <t>16638840</t>
  </si>
  <si>
    <t>PL014-6H PAR DE 14X10 W RGBWAU 6 IN 1 LED PL   NAR     2 PRO</t>
  </si>
  <si>
    <t>BG-5756</t>
  </si>
  <si>
    <t>Parrilla &amp; Cervecería Pie de Cumbre</t>
  </si>
  <si>
    <t>1075664592</t>
  </si>
  <si>
    <t>Agua con gas            94      1 CHICHARRON              94</t>
  </si>
  <si>
    <t>FE-10007</t>
  </si>
  <si>
    <t>COMPRA EN IKEA NQS</t>
  </si>
  <si>
    <t>Biblioteca Evento Camara Comercio Bogota</t>
  </si>
  <si>
    <t>Saldo Final</t>
  </si>
  <si>
    <t>Lamparas Evento Camara Comercio Bogota</t>
  </si>
  <si>
    <t>Pago hecho x Veronica, se le debe a ella</t>
  </si>
  <si>
    <t>X838-2540865</t>
  </si>
  <si>
    <t>(-) Distribución Socios</t>
  </si>
  <si>
    <t>PAGO INTERBANC KASPERSKY COLOM</t>
  </si>
  <si>
    <t>HABLADOR PUBLICITARI O EN ACRILICO MEDIA C   94     10 IMPRE</t>
  </si>
  <si>
    <t>PAGO DE PROV PSYCONOMETRICS</t>
  </si>
  <si>
    <t>Evento Camara Comercio Bogota</t>
  </si>
  <si>
    <t>SD-488</t>
  </si>
  <si>
    <t>(-) Impuestos y IVA pagados</t>
  </si>
  <si>
    <t>JR AUDIO SAS</t>
  </si>
  <si>
    <t>901250359</t>
  </si>
  <si>
    <t xml:space="preserve">ALQUILER DE EQUIPOS D SERV001                           NIU </t>
  </si>
  <si>
    <t>JRFE-532</t>
  </si>
  <si>
    <t>COMPRA EN COMERCIAL</t>
  </si>
  <si>
    <t>Impresion certificados Comercial Papelera - Kaspersky</t>
  </si>
  <si>
    <t>RETIRO CAJERO ATM UNICENTRO L</t>
  </si>
  <si>
    <t>Deuda Socios</t>
  </si>
  <si>
    <t>Pago prestamo Juan David Cruz</t>
  </si>
  <si>
    <t>060A-19150</t>
  </si>
  <si>
    <t>Anulada por NC060A2334</t>
  </si>
  <si>
    <t>Punto de Equilibrio</t>
  </si>
  <si>
    <t>Gastos Fijos Mensuales Proyectados</t>
  </si>
  <si>
    <t>Margen Bruto objetivo</t>
  </si>
  <si>
    <t>NC060A2334</t>
  </si>
  <si>
    <t>Ventas Miinimas Requeridas</t>
  </si>
  <si>
    <t>Anula 060A-19150</t>
  </si>
  <si>
    <t>Costo de Ventas Implicito</t>
  </si>
  <si>
    <t>Check</t>
  </si>
  <si>
    <t>Suma de todos los movimientos</t>
  </si>
  <si>
    <t>Rastreador Aritag Vibe   94      200 Soporte Viajero       9</t>
  </si>
  <si>
    <t>IVA servicios banco</t>
  </si>
  <si>
    <t>Capturado por el flujo de caja</t>
  </si>
  <si>
    <t>FE-575</t>
  </si>
  <si>
    <t>Diferencia (debe ser 0)</t>
  </si>
  <si>
    <t>Movimientos en cuenta "Revisar"</t>
  </si>
  <si>
    <t>DUQUE ECHEVERRI JORGE DE JESUS</t>
  </si>
  <si>
    <t>15368150</t>
  </si>
  <si>
    <t>Ingresos facturados (P&amp;G)</t>
  </si>
  <si>
    <t>Costo transferencia</t>
  </si>
  <si>
    <t>Ingresos cobrados (neto de IVA)</t>
  </si>
  <si>
    <t>Diferencia (cartera y retenciones)</t>
  </si>
  <si>
    <t>Servicio de parqueadero. Placa vehículo GEW325. F Entrada EA</t>
  </si>
  <si>
    <t>PNT-227478</t>
  </si>
  <si>
    <t>Cobertura de costos</t>
  </si>
  <si>
    <t>Costo total del P&amp;G</t>
  </si>
  <si>
    <t>Abono 2 - Logist / Evento CCB</t>
  </si>
  <si>
    <t>HOTELES CALLE 94 SAS</t>
  </si>
  <si>
    <t xml:space="preserve">   de facturas del CxP</t>
  </si>
  <si>
    <t>Alojamiento, banquetes y salones</t>
  </si>
  <si>
    <t>Intereses ahorros</t>
  </si>
  <si>
    <t>FRO128648</t>
  </si>
  <si>
    <t>Abono pago cuadernos KASPERSKY</t>
  </si>
  <si>
    <t xml:space="preserve">   de movimientos sin factura</t>
  </si>
  <si>
    <t>Caramañola metálica 600ml grabada en láser</t>
  </si>
  <si>
    <t>Costos que no llegan al P&amp;G</t>
  </si>
  <si>
    <t>Facturas sin cliente asignado</t>
  </si>
  <si>
    <t>SD504</t>
  </si>
  <si>
    <t>Facturas excluidas del P&amp;G a mano</t>
  </si>
  <si>
    <t>FEDERICO DE ANGULO ULLOA</t>
  </si>
  <si>
    <t>COMPRA INTL Google Workspace</t>
  </si>
  <si>
    <t>Apoyo logístico evento Wesco Anixter</t>
  </si>
  <si>
    <t>26-42</t>
  </si>
  <si>
    <t>Hoteles de la Antigua SAS</t>
  </si>
  <si>
    <t>900698474</t>
  </si>
  <si>
    <t>Abono 3 - Logist / Evento CCB</t>
  </si>
  <si>
    <t>Dulces típicos y cargo por servicio</t>
  </si>
  <si>
    <t>Incluye INC del 8%, no genera IVA descontable</t>
  </si>
  <si>
    <t>GRAFICAS DUCAL HERNANDO AVELLA SUCESORES LTDA</t>
  </si>
  <si>
    <t>860511339</t>
  </si>
  <si>
    <t>Impresión PT-518 hojas</t>
  </si>
  <si>
    <t>Total por resolver</t>
  </si>
  <si>
    <t>FE-5894</t>
  </si>
  <si>
    <t>Cada costo entra una sola vez: si la factura está en el CxP, el movimiento que la paga no se cuenta.</t>
  </si>
  <si>
    <t>Los movimientos sin factura son cargos del banco, licencias del exterior y pagos que aún no tienen soporte.</t>
  </si>
  <si>
    <t>Par de luces LED PL014-6H RGBWAU 6 en 1</t>
  </si>
  <si>
    <t>To Do`s</t>
  </si>
  <si>
    <t>BG-5825</t>
  </si>
  <si>
    <t>Audio Capital. Pagada el 12 de agosto</t>
  </si>
  <si>
    <t>LUD CREATIVO SAS</t>
  </si>
  <si>
    <t>Servicio de impresión empaque flowpack goma aro</t>
  </si>
  <si>
    <t>FEW-715</t>
  </si>
  <si>
    <t>Pedido ORD 3832 - No tiene fecha de vencimiento, le dejo la misma de emision</t>
  </si>
  <si>
    <t>MASSER S A S</t>
  </si>
  <si>
    <t>Gasolina corriente</t>
  </si>
  <si>
    <t>KE22-374353</t>
  </si>
  <si>
    <t>Terpel. Sin IVA</t>
  </si>
  <si>
    <t>SAMSONITE COLOMBIA SAS</t>
  </si>
  <si>
    <t>Laptop backpack II Ikonn y bolsa Sam tela packing</t>
  </si>
  <si>
    <t>Mandolina</t>
  </si>
  <si>
    <t>SE01-24190</t>
  </si>
  <si>
    <t>Pagada el 17 de agosto</t>
  </si>
  <si>
    <t>RENTABILIDAD POR CENTRO DE COSTO</t>
  </si>
  <si>
    <t>Costos</t>
  </si>
  <si>
    <t>Neto</t>
  </si>
  <si>
    <t>Consumo El Altillo Café</t>
  </si>
  <si>
    <t>FEST-5599</t>
  </si>
  <si>
    <t>Incluye INC del 8% y cargo voluntario. No genera IVA descontable</t>
  </si>
  <si>
    <t>VIAJES NACIONALES DE TURISMO S.A.S.</t>
  </si>
  <si>
    <t>Transporte de pasajeros Bogota, 2 buses, 27 de agosto</t>
  </si>
  <si>
    <t>V-11139</t>
  </si>
  <si>
    <t>Vinaltur. Servicio excluido de IVA. Orden 20260010048</t>
  </si>
  <si>
    <t>Marco selfie, sombreros, copas, servilletas, individuales, habladores y DTF</t>
  </si>
  <si>
    <t>SD-517</t>
  </si>
  <si>
    <t>PAGO MONACO AXIS</t>
  </si>
  <si>
    <t>Alquiler de equipos de audio e iluminacion</t>
  </si>
  <si>
    <t>JRFE545</t>
  </si>
  <si>
    <t>Sin fecha de vencimiento, dejo la misma de recepcion</t>
  </si>
  <si>
    <t>Plantas artificiales y bolsas de tela</t>
  </si>
  <si>
    <t>F107121676</t>
  </si>
  <si>
    <t>IRCC SAS</t>
  </si>
  <si>
    <t>Pago Implus Accounting Contadores</t>
  </si>
  <si>
    <t>Consumo El Corral</t>
  </si>
  <si>
    <t>421F34811</t>
  </si>
  <si>
    <t>Incluye INC del 8%, no genera IVA descontable / Sin fecha de vencimiento, dejo la misma de recepcion</t>
  </si>
  <si>
    <t>CADENA COMERCIAL OXXO COLOMBIA S A S</t>
  </si>
  <si>
    <t>Pendiente agregar Cuenta de Cobro</t>
  </si>
  <si>
    <t>Cubiertos y platos desechables</t>
  </si>
  <si>
    <t>1J9171404</t>
  </si>
  <si>
    <t>Pago CCB - Cobro Psiconometrics</t>
  </si>
  <si>
    <t>Impresion y estructura de roll up</t>
  </si>
  <si>
    <t>SD524</t>
  </si>
  <si>
    <t>C MANEJO TARJ DEB 1192 06 26</t>
  </si>
  <si>
    <t>Grabado laser sobre placa metalica</t>
  </si>
  <si>
    <t>SD525</t>
  </si>
  <si>
    <t>Impresion digital y hablador publicitario</t>
  </si>
  <si>
    <t>SD526</t>
  </si>
  <si>
    <t>PRICESMART COLOMBIA S.A.S.</t>
  </si>
  <si>
    <t>Vinos, sodas, cerveza y gaseosas</t>
  </si>
  <si>
    <t>COFE-5864088</t>
  </si>
  <si>
    <t>El pago del banco fue 539.200, hay 1 peso de diferencia</t>
  </si>
  <si>
    <t>BOMBA FOODS SAS</t>
  </si>
  <si>
    <t>Menu Sr Wok y bebidas</t>
  </si>
  <si>
    <t>S44H-7724</t>
  </si>
  <si>
    <t>Incluye INC del 8%</t>
  </si>
  <si>
    <t>421F34802</t>
  </si>
  <si>
    <t>DISTRIBUIDORA DE COMBUSTIBLES SAN FELIPE SAS</t>
  </si>
  <si>
    <t>Combustible corriente</t>
  </si>
  <si>
    <t>Pago factura transparente digital - material mundial AXIS</t>
  </si>
  <si>
    <t>TSFA-179028</t>
  </si>
  <si>
    <t>Sin IVA</t>
  </si>
  <si>
    <t>MANDOLINA GOURMET LTDA</t>
  </si>
  <si>
    <t>Segundo pago cuadernos y esferos Kaspersky</t>
  </si>
  <si>
    <t>Catering evento: estaciones de cafe, meseros, pasabocas, bowl gourmet, transporte</t>
  </si>
  <si>
    <t>FE-3408</t>
  </si>
  <si>
    <t>Incluye INC 8% de 1.347.336, ya dentro del valor. Orden 2763</t>
  </si>
  <si>
    <t>LINEMARKETING Y EVENTOS S.A.S.</t>
  </si>
  <si>
    <t>Gastos Fijos</t>
  </si>
  <si>
    <t>Día de pago (mensual)</t>
  </si>
  <si>
    <t>Cable multicargador y organizador de viaje</t>
  </si>
  <si>
    <t>FE-587</t>
  </si>
  <si>
    <t>Costo</t>
  </si>
  <si>
    <t>Fecha Inicio</t>
  </si>
  <si>
    <t>Fecha Fin</t>
  </si>
  <si>
    <t xml:space="preserve">Siigo </t>
  </si>
  <si>
    <t>Speaker Bluetooth Micro Karaoke</t>
  </si>
  <si>
    <t>FE-586</t>
  </si>
  <si>
    <t>EASYLIFE GLOBAL CORPORATION S.A.S</t>
  </si>
  <si>
    <t>PAGO PSE DIAN PSE</t>
  </si>
  <si>
    <t>Pago DIAN</t>
  </si>
  <si>
    <t xml:space="preserve">Contabilidad y revisoría fiscal </t>
  </si>
  <si>
    <t>Estacion Feelings Maker</t>
  </si>
  <si>
    <t>Control</t>
  </si>
  <si>
    <t>Dominio Web (cada 2 años)</t>
  </si>
  <si>
    <t>FV-11161</t>
  </si>
  <si>
    <t>Ingresos sin centro de costo</t>
  </si>
  <si>
    <t>Costos con centro NA (gasto de estructura)</t>
  </si>
  <si>
    <t>Costos sin centro asignado</t>
  </si>
  <si>
    <t>El centro de costo es la llave. El cliente y el proyecto se traen del catálogo en la pestaña Data.</t>
  </si>
  <si>
    <t>Nómina Juanda</t>
  </si>
  <si>
    <t>Los costos excluyen las facturas marcadas No en la columna Aplica al P&amp;G del CxP.</t>
  </si>
  <si>
    <t>Los que tienen centro NA son gasto de estructura y no pertenecen a ningún proyecto.</t>
  </si>
  <si>
    <t>Un centro con ingreso y sin costo significa que las facturas del proveedor aún no llegan o les falta el código.</t>
  </si>
  <si>
    <t>Cuota de Manejo Bancolombia</t>
  </si>
  <si>
    <t xml:space="preserve">Empleado Salario Minimo </t>
  </si>
  <si>
    <t>Pago Federico Angulo Axis</t>
  </si>
  <si>
    <t>IVA cuadernos y esferos Kaspersky</t>
  </si>
  <si>
    <t>Pago saldo final Mandolina CCB</t>
  </si>
  <si>
    <t>Pago Lexgra Contrato CCB</t>
  </si>
  <si>
    <t>COMPRA CENTRAL PARKING</t>
  </si>
  <si>
    <t>Parqueadero Scouting</t>
  </si>
  <si>
    <t>COMIS EXPEDICION CHEQUE GCIA</t>
  </si>
  <si>
    <t>Costo cheque pago Psiconometrics</t>
  </si>
  <si>
    <t>No tiene factura es un costo transaccional</t>
  </si>
  <si>
    <t>IVA COMIS EXPEDICION CHQ GCIA</t>
  </si>
  <si>
    <t>COMPRA EN PWS*EDS ST</t>
  </si>
  <si>
    <t>Gasolina - Gastos Rep</t>
  </si>
  <si>
    <t>COMPRA EN VECCINA AV</t>
  </si>
  <si>
    <t>Cena Cliente - Gastos Rep</t>
  </si>
  <si>
    <t>Pago Camisetas Axis ATB Promocionales</t>
  </si>
  <si>
    <t>Saldo pendiente eventi</t>
  </si>
  <si>
    <t>Abono 4 - Logist / Evento CCB</t>
  </si>
  <si>
    <t>PAGO A TERCEROS</t>
  </si>
  <si>
    <t>Pago prestamo Veronica Cendales</t>
  </si>
  <si>
    <t>Resumen por proveedor</t>
  </si>
  <si>
    <t>Docs</t>
  </si>
  <si>
    <t>C MANEJO TARJ DEB 1192 07 26</t>
  </si>
  <si>
    <t>COMPRA EN HOTELES CA</t>
  </si>
  <si>
    <t>Hotel evento BoB</t>
  </si>
  <si>
    <t>Revisar con Vero como se va a manejar</t>
  </si>
  <si>
    <t>Proyección de flujo de caja — 13 semanas</t>
  </si>
  <si>
    <t>Fecha de partida</t>
  </si>
  <si>
    <t>Saldo en caja hoy</t>
  </si>
  <si>
    <t>Semana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</si>
  <si>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</si>
  <si>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</si>
  <si>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</si>
  <si>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</si>
  <si>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</si>
  <si>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</si>
  <si>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</si>
  <si>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</si>
  <si>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</si>
  <si>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</si>
  <si>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</si>
  <si>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</si>
  <si>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</si>
  <si>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Desde</t>
  </si>
  <si>
    <t>Hasta</t>
  </si>
  <si>
    <t>Saldo inicial</t>
  </si>
  <si>
    <t>Ingresos (cobros)</t>
  </si>
  <si>
    <t>Cobros de cartera (CxC)</t>
  </si>
  <si>
    <t>COMPRA EN AUDIO CAPI</t>
  </si>
  <si>
    <t>Luces evento BoB</t>
  </si>
  <si>
    <t>COMPRA EN PWS*COMBUS</t>
  </si>
  <si>
    <t>Otros ingresos</t>
  </si>
  <si>
    <t>Total ingresos</t>
  </si>
  <si>
    <t>Egresos (pagos)</t>
  </si>
  <si>
    <t>Pagos a proveedores (por vencimiento)</t>
  </si>
  <si>
    <t>Compra termos Smart Design para Anixter</t>
  </si>
  <si>
    <t>Pago impresiones Smart Design para Anixter</t>
  </si>
  <si>
    <t>Costos fijos y nómina</t>
  </si>
  <si>
    <t>PAGO DE PROV INNOVAITORS SAS</t>
  </si>
  <si>
    <t>Alquiler luces y TV</t>
  </si>
  <si>
    <t>Detalle contra resumen por proveedor</t>
  </si>
  <si>
    <t>Costos del extracto sin factura asignada</t>
  </si>
  <si>
    <t>Falta asignar cliente y proyecto en la mayoria de los documentos.</t>
  </si>
  <si>
    <t>La nota credito NC77A1123 de ADIDAS no tiene su factura.</t>
  </si>
  <si>
    <t>Los pagos agrupados hay que enlazarlos a mano en la columna Factura del extracto.</t>
  </si>
  <si>
    <t>Los documentos nuevos van en las filas libres de arriba.</t>
  </si>
  <si>
    <t xml:space="preserve">	Alertas de vencimiento</t>
  </si>
  <si>
    <t>% del saldo</t>
  </si>
  <si>
    <t>Vencida</t>
  </si>
  <si>
    <t>Por vencer</t>
  </si>
  <si>
    <t>Vigente</t>
  </si>
  <si>
    <t>Sin fecha</t>
  </si>
  <si>
    <t>TOTAL por pagar</t>
  </si>
  <si>
    <t>Impuestos e IVA</t>
  </si>
  <si>
    <t>Otros egresos</t>
  </si>
  <si>
    <t>Total egresos</t>
  </si>
  <si>
    <t>Flujo neto de la semana</t>
  </si>
  <si>
    <t>Saldo final</t>
  </si>
  <si>
    <t>Juanda pago nomina jun + jul</t>
  </si>
  <si>
    <t>Alerta de liquidez</t>
  </si>
  <si>
    <t>Pago tiquetes Somos Manglar - Inversiones Cujar Turismo</t>
  </si>
  <si>
    <t>COMPRA EN EDS TERPEL</t>
  </si>
  <si>
    <t>C MANEJO TARJ DEB 1192 08 26</t>
  </si>
  <si>
    <t>COMPRA EN EDS MOTOMA</t>
  </si>
  <si>
    <t>Pago dulces Axis</t>
  </si>
  <si>
    <t>COMPRA EN SAMSONITE</t>
  </si>
  <si>
    <t>COMPRA EN EL ALTILLO</t>
  </si>
  <si>
    <t>Pago material props evento cena axis</t>
  </si>
  <si>
    <t>PLANEACIÓN DE IVA — MANGLAR</t>
  </si>
  <si>
    <t>Pago hotel Hilton Corferias - Evento Almuerzo Anixter ESS+</t>
  </si>
  <si>
    <t>Detalle mensual</t>
  </si>
  <si>
    <t>IVA generado</t>
  </si>
  <si>
    <t>ReteIVA que aplicaron</t>
  </si>
  <si>
    <t>IVA neto del mes</t>
  </si>
  <si>
    <t>Enero</t>
  </si>
  <si>
    <t>Pago TB promocionales factura FE186</t>
  </si>
  <si>
    <t>Win Rate</t>
  </si>
  <si>
    <t>Supuestos</t>
  </si>
  <si>
    <t>Proyección</t>
  </si>
  <si>
    <t>Propuestas al mes</t>
  </si>
  <si>
    <t>Peso</t>
  </si>
  <si>
    <t>Ventas Proyectados</t>
  </si>
  <si>
    <t>Febrero</t>
  </si>
  <si>
    <t>Pago pines Anixter Evento ESS +</t>
  </si>
  <si>
    <t>Ticket Promedio Eventos</t>
  </si>
  <si>
    <t>Marzo</t>
  </si>
  <si>
    <t>Margen Bruto Promedio</t>
  </si>
  <si>
    <t>Pago Lexgra FRA LXFE689</t>
  </si>
  <si>
    <t>Ticket Promedio Merchandising</t>
  </si>
  <si>
    <t>Abril</t>
  </si>
  <si>
    <t>Pago transporte cena AXIS</t>
  </si>
  <si>
    <t>Ticket POP</t>
  </si>
  <si>
    <t>Ingresos Proyectados</t>
  </si>
  <si>
    <t>Mayo</t>
  </si>
  <si>
    <t>Margen Eventos</t>
  </si>
  <si>
    <t>Junio</t>
  </si>
  <si>
    <t>Margen Merchandising</t>
  </si>
  <si>
    <t>Ingreso Netos</t>
  </si>
  <si>
    <t>Julio</t>
  </si>
  <si>
    <t>Margen POP</t>
  </si>
  <si>
    <t>Dias de Cobro</t>
  </si>
  <si>
    <t>Anticipos Cliente</t>
  </si>
  <si>
    <t>Dias de Pago</t>
  </si>
  <si>
    <t>Anticipos Proveedor</t>
  </si>
  <si>
    <t>Agosto</t>
  </si>
  <si>
    <t>Cliente en el modelo</t>
  </si>
  <si>
    <t>Proyecto en el modelo</t>
  </si>
  <si>
    <t>Retencion en la Fuente ICA</t>
  </si>
  <si>
    <t>Revisar en nuestras facturas</t>
  </si>
  <si>
    <t>Gastos Variables Promedio</t>
  </si>
  <si>
    <t>Evento mundial de fútbol y merchandising</t>
  </si>
  <si>
    <t>Agregar el 8% del 20% es el estimado a pago impuestos</t>
  </si>
  <si>
    <t>Camisetas Academy</t>
  </si>
  <si>
    <t>Hoodies Challenge</t>
  </si>
  <si>
    <t>Merch y transporte para Cena feria de seguridad</t>
  </si>
  <si>
    <t>Tarjetas regalo AMAZON y Pantalla</t>
  </si>
  <si>
    <t>Imp x Pagar - IVA</t>
  </si>
  <si>
    <t>Septiembre</t>
  </si>
  <si>
    <t>Produccion gomas</t>
  </si>
  <si>
    <t>IVA Generado</t>
  </si>
  <si>
    <t>Catering ESS</t>
  </si>
  <si>
    <t>Material KAS - Tacos y pocillos</t>
  </si>
  <si>
    <t>Kits Innovaitors</t>
  </si>
  <si>
    <t>Banners Rollup</t>
  </si>
  <si>
    <t>Bolsa Incentivos 2026</t>
  </si>
  <si>
    <t>Pago a Socios</t>
  </si>
  <si>
    <t>Distribución Socios</t>
  </si>
  <si>
    <t>M260402</t>
  </si>
  <si>
    <t>Octubre</t>
  </si>
  <si>
    <t>PAGO INTERBANC COMMSCOPE CONNE</t>
  </si>
  <si>
    <t>M260403</t>
  </si>
  <si>
    <t>Revisar</t>
  </si>
  <si>
    <t>Evento Camara Comercio</t>
  </si>
  <si>
    <t>Noviembre</t>
  </si>
  <si>
    <t xml:space="preserve">Evento BoB Datacenter Day - Bogotá </t>
  </si>
  <si>
    <t>Tiquetes y alojamiento Pedro Rodriguez</t>
  </si>
  <si>
    <t>Almuerzo Evento Corferias ESS+</t>
  </si>
  <si>
    <t>Regalos Cartagena</t>
  </si>
  <si>
    <t>Brochures COMMSCOPE</t>
  </si>
  <si>
    <t>Maletas VIP</t>
  </si>
  <si>
    <t>Adicionales Mezanine ESS+</t>
  </si>
  <si>
    <t>Adicionales Almuerzo ESS+</t>
  </si>
  <si>
    <t>Sin factura en el CxP</t>
  </si>
  <si>
    <t>Recarga Router</t>
  </si>
  <si>
    <t>Diciembre</t>
  </si>
  <si>
    <t>COMPRA EN PRICESMART</t>
  </si>
  <si>
    <t>M260202</t>
  </si>
  <si>
    <t>Morrales y letras KAS</t>
  </si>
  <si>
    <t>M260801</t>
  </si>
  <si>
    <t>MOTOROLA</t>
  </si>
  <si>
    <t>Entrepartners BOGOTA</t>
  </si>
  <si>
    <t>Alojamiento 24 a 27 de septiembre</t>
  </si>
  <si>
    <t>Declaración bimestral</t>
  </si>
  <si>
    <t>Bimestre</t>
  </si>
  <si>
    <t>Periodo</t>
  </si>
  <si>
    <t>A pagar</t>
  </si>
  <si>
    <t>Ya pagado</t>
  </si>
  <si>
    <t>Diferencia</t>
  </si>
  <si>
    <t>Bim 1</t>
  </si>
  <si>
    <t>Ene-Feb</t>
  </si>
  <si>
    <t>Bim 2</t>
  </si>
  <si>
    <t>Mar-Abr</t>
  </si>
  <si>
    <t>Bim 3</t>
  </si>
  <si>
    <t>May-Jun</t>
  </si>
  <si>
    <t>COMPRA EN CORP DE FE</t>
  </si>
  <si>
    <t>Bim 4</t>
  </si>
  <si>
    <t>Jul-Ago</t>
  </si>
  <si>
    <t>Bim 5</t>
  </si>
  <si>
    <t>Sep-Oct</t>
  </si>
  <si>
    <t>Bim 6</t>
  </si>
  <si>
    <t>Nov-Dic</t>
  </si>
  <si>
    <t>COMPRA EN OXXO QUINT</t>
  </si>
  <si>
    <t>IVA generado contra el total de las facturas de venta</t>
  </si>
  <si>
    <t>IVA descontable contra el total de las facturas de compra</t>
  </si>
  <si>
    <t>COMPRA EN SR WOK COR</t>
  </si>
  <si>
    <t>La ReteIVA que los clientes descuentan al pagar se resta del IVA a girar, porque ya la giraron ellos.</t>
  </si>
  <si>
    <t>La columna Ya pagado se llena con lo que se giró a la DIAN, para ver si el cálculo cuadra con la declaración.</t>
  </si>
  <si>
    <t>Si aparece una diferencia grande conviene pedirle al contador el borrador de la declaración y compararlo linea por linea.</t>
  </si>
  <si>
    <t>COMPRA EN CASA D BTA</t>
  </si>
  <si>
    <t>COMPRA EN HAMBURGUES</t>
  </si>
  <si>
    <t>COMPRA EN PATRIMO AU</t>
  </si>
  <si>
    <t>COMPRA EN DISTRIBUID</t>
  </si>
  <si>
    <t>COMPRA EN HOTEL HILT</t>
  </si>
  <si>
    <t>PAGO INTERBANCARIOS</t>
  </si>
  <si>
    <t xml:space="preserve">Pago Blanca Maya </t>
  </si>
  <si>
    <t>Pago JR AUDIO</t>
  </si>
  <si>
    <t>Pago Federico de Angulo</t>
  </si>
  <si>
    <t>PAGO INTERBANC ANIXTER COLOMBI</t>
  </si>
  <si>
    <t xml:space="preserve">Pago cabina fotos </t>
  </si>
  <si>
    <t>Pago material Kaspersky Bols. Adelanto a factura de line marketing. Queda saldo pendiente</t>
  </si>
  <si>
    <t>Pago KAS - Morrales y letras</t>
  </si>
  <si>
    <t>Pago Anixter - Tiquetes y alojamiento Pedro Rodriguez</t>
  </si>
  <si>
    <t>Anticipo a MANDOLINA</t>
  </si>
  <si>
    <t>BLANCA MARIA MAYA URREGO</t>
  </si>
  <si>
    <t>1020750538</t>
  </si>
  <si>
    <t>1000148945</t>
  </si>
  <si>
    <t>Acompañamiento evento Anixter 28 de agosto</t>
  </si>
  <si>
    <t>Apoyo logistico evento AXIS ESS</t>
  </si>
  <si>
    <t>CC-001</t>
  </si>
  <si>
    <t>Cuenta de cobro. Persona natural, sin IVA</t>
  </si>
  <si>
    <t>Cuenta de cobro. Ojo: repite el numero 26-42 de la de julio por 150.000</t>
  </si>
  <si>
    <t>OPERADOR HOTELERO PACTIA CORFERIAS S.A.S</t>
  </si>
  <si>
    <t>901139743</t>
  </si>
  <si>
    <t>Pago transporte periodistas feria de seguridad</t>
  </si>
  <si>
    <t>C MANEJO TARJ DEB 1192 09 26</t>
  </si>
  <si>
    <t>COMPRA EN CORRAL CLL</t>
  </si>
  <si>
    <t>479F-78837</t>
  </si>
  <si>
    <t>FLQD-1021218</t>
  </si>
  <si>
    <t>DAFE 29</t>
  </si>
  <si>
    <t>Bogota, Hotel EBC Bogota</t>
  </si>
  <si>
    <t>WEBER-STEPHEN COLOMBIA S.A.S.</t>
  </si>
  <si>
    <t>901514117</t>
  </si>
  <si>
    <t>LIVEEX S.A.S</t>
  </si>
  <si>
    <t>DS SERVICIOS COLOMBIA SAS</t>
  </si>
  <si>
    <t>900959736</t>
  </si>
  <si>
    <t>860533413</t>
  </si>
  <si>
    <t>FERNEY MORENO CARDOZO</t>
  </si>
  <si>
    <t>1010221246</t>
  </si>
  <si>
    <t>Hilton Bogota Corferias: banquetes, audiovisuales, internet y propinas</t>
  </si>
  <si>
    <t>Experiencia Grill Academy, menu Batalla Parrillera</t>
  </si>
  <si>
    <t>Morral Backpack Doom, 60 unidades. Morral Back Pack Konrad</t>
  </si>
  <si>
    <t>Letras volumetricas en MDF vinilo pintura mas neoflex</t>
  </si>
  <si>
    <t>Impresion y estructura roll up, hablador publicitario, vectorizacion</t>
  </si>
  <si>
    <t>Hablador publicitario 15cm x 17.5cm, 30 unidades</t>
  </si>
  <si>
    <t>Consumo LIVEEX Mazaryk: picada, taco asada, churros, bebidas</t>
  </si>
  <si>
    <t>Gafetes en iman 7x3cm y domicilio</t>
  </si>
  <si>
    <t>Agua cristal botella 600ml</t>
  </si>
  <si>
    <t>Servicios profesionales de contador publico, julio a agosto</t>
  </si>
  <si>
    <t>HBC-86357</t>
  </si>
  <si>
    <t>WETD-1738</t>
  </si>
  <si>
    <t>FE-592</t>
  </si>
  <si>
    <t>FV-1588</t>
  </si>
  <si>
    <t>SD-540</t>
  </si>
  <si>
    <t>SD-543</t>
  </si>
  <si>
    <t>FVMK-14084</t>
  </si>
  <si>
    <t>3118</t>
  </si>
  <si>
    <t>CC-JUL-AGO</t>
  </si>
  <si>
    <t>FACTURA DE MANDATO A NOMBRE DE MANGLAR. Reemplaza la HBC85956. Ver notas</t>
  </si>
  <si>
    <t>Orden SEP106PM</t>
  </si>
  <si>
    <t>Corresponde a la cotizacion 7048-4101</t>
  </si>
  <si>
    <t>Incluye INC 8%</t>
  </si>
  <si>
    <t>Cuenta de cobro. Sin retencion en la fuente</t>
  </si>
  <si>
    <t>Pago Alejandra mera M260108</t>
  </si>
  <si>
    <t>Pago saldo FRA FE 575 line marketing. M260401</t>
  </si>
  <si>
    <t>Pago contadores julio y agosto</t>
  </si>
  <si>
    <t>Bono Amazon</t>
  </si>
  <si>
    <t>M260802</t>
  </si>
  <si>
    <t>M260803</t>
  </si>
  <si>
    <t>Entrepartners CALI</t>
  </si>
  <si>
    <t>Entrepartners MEDELLIN</t>
  </si>
  <si>
    <t>KASPERSKY - Actividad 25 sept - M260402</t>
  </si>
  <si>
    <t>KASPERSKY - Actividad 24 de sept (Anticipo cena 50%) - M260402</t>
  </si>
  <si>
    <t>MOTOROLA - Entrepartners MEDELLIN - M260803</t>
  </si>
  <si>
    <t>Pago Brochures COMMSCOPE - DAFE 18</t>
  </si>
  <si>
    <t>Pago Maletas VIP - DAFE 21</t>
  </si>
  <si>
    <t>Pago Tarjetas regalo AMAZON y Pantalla - DAFE 19</t>
  </si>
  <si>
    <t>Pago Produccion gomas - DAFE 20</t>
  </si>
  <si>
    <t>Compra Aguas evento Bogota Motorola</t>
  </si>
  <si>
    <t>Gasolina Evento Bogota Motorola</t>
  </si>
  <si>
    <t>Pago Camisetas Axis ATB Promocionales - Saldo pendiente</t>
  </si>
  <si>
    <t>Pago GRAFICAS DUCAL</t>
  </si>
  <si>
    <t>Pago veronica con TPC. Se hace ajuste manual de pago para impacto en el modelo</t>
  </si>
  <si>
    <t>Pago restante factura MANDOLINA catering Anixter</t>
  </si>
  <si>
    <t>Pago máquina cerveza - M260107</t>
  </si>
  <si>
    <t>Pago máquina cerveza - M260108</t>
  </si>
  <si>
    <t>Abono Evento Bogota Motorola</t>
  </si>
  <si>
    <t>Pago saldo Evento Bogota Motorola</t>
  </si>
  <si>
    <t>Facturada dividida para reconocer por proyecto</t>
  </si>
  <si>
    <t>Pago Smart design - Pago Motorola Bogota</t>
  </si>
  <si>
    <t>Pago Smart design - Pago Motorola Cali</t>
  </si>
  <si>
    <t>Pago Smart design - Pago Motorola Medellin</t>
  </si>
  <si>
    <t>COMPRA EN KIKO S WIL</t>
  </si>
  <si>
    <t>Consumo KIKO</t>
  </si>
  <si>
    <t>Servicio transferencia</t>
  </si>
  <si>
    <t>IVA pagos automaticos</t>
  </si>
  <si>
    <t>PAGO PSE AVIANCA S A</t>
  </si>
  <si>
    <t>Tiquetes Avianca</t>
  </si>
  <si>
    <t>PAGO PSE GOU PAYMENTS S A EA</t>
  </si>
  <si>
    <t>PAGO PSE BOLD CO SAS</t>
  </si>
  <si>
    <t>COMPRA INTL AIRBNB HMMK958Y</t>
  </si>
  <si>
    <t>Alojamiento Airbnb</t>
  </si>
  <si>
    <t>COMPRA INTL AIRBNB HMRRXJ5C</t>
  </si>
  <si>
    <t>REVISAR</t>
  </si>
  <si>
    <t>FEP-1938</t>
  </si>
  <si>
    <t>SD-557</t>
  </si>
  <si>
    <t>ATELIER S2DIO FOTOGRAFIA PRODUCCION Y TURISMO SAS BIC</t>
  </si>
  <si>
    <t>900439925</t>
  </si>
  <si>
    <t>890704196</t>
  </si>
  <si>
    <t>JULIANA BERMUDEZ MOJICA</t>
  </si>
  <si>
    <t>1010207634</t>
  </si>
  <si>
    <t>Servicios de turismo no gravados</t>
  </si>
  <si>
    <t>Set de libreta y esfero estampados (20 und)</t>
  </si>
  <si>
    <t>Tiquete aereo pasajero Juan Cruz. Reserva LA0354064GRMW</t>
  </si>
  <si>
    <t>CC-001-JB</t>
  </si>
  <si>
    <t>Pagada 21-sep via GOU Payments por 874,650. Falta centro de costo</t>
  </si>
  <si>
    <t>Cuenta de cobro. Persona natural, sin IVA. Pago no identificado en banco</t>
  </si>
  <si>
    <t>DAFE 30</t>
  </si>
  <si>
    <t>Spiff Axis GURO + ESS</t>
  </si>
  <si>
    <t>Pago tour por centro de bogota Kaspersky. M260402</t>
  </si>
  <si>
    <t>Pago anticipo evento Motorola M260802</t>
  </si>
  <si>
    <t>No va haber factura</t>
  </si>
  <si>
    <t>M260303</t>
  </si>
  <si>
    <t>INNOVAITORS</t>
  </si>
  <si>
    <t>Kits Octubre</t>
  </si>
  <si>
    <t>Dividido para asignar a costos de proyecto</t>
  </si>
  <si>
    <t>Pago SMART DESIGN SD-557</t>
  </si>
  <si>
    <t>Pago SMART DESIGN SD-565</t>
  </si>
  <si>
    <t>COMPRA EN HOTELES ES</t>
  </si>
  <si>
    <t>SD-565</t>
  </si>
  <si>
    <t>Impresion digital Cote 240gr</t>
  </si>
  <si>
    <t>Contado por transferencia. Pagada el 22-sep dentro de los 908,565</t>
  </si>
  <si>
    <t>Pago saldo evento Motorola M260802</t>
  </si>
  <si>
    <t>AEROVIAS DE INTEGRACION REGIONAL S.A. (LATAM)</t>
  </si>
  <si>
    <t>Anticipo rest la Fabbrica. Almuerzo Kaspersky. Centro de costos M260402</t>
  </si>
  <si>
    <t>EFCC4879970 - 1</t>
  </si>
  <si>
    <t>EFCC4879970 - 2</t>
  </si>
  <si>
    <t>M260110</t>
  </si>
  <si>
    <t>COMPRA EN  SUMAS COCI</t>
  </si>
  <si>
    <t>COMPRA EN  Rappi</t>
  </si>
  <si>
    <t>COMPRA EN  HOTELES RO</t>
  </si>
  <si>
    <t>COMPRA EN  VISTA CORO</t>
  </si>
  <si>
    <t>COMPRA EN  UBER*RIDES</t>
  </si>
  <si>
    <t>Pago AXIS DAFE 26</t>
  </si>
  <si>
    <t>Pago AXIS DAFE 27</t>
  </si>
  <si>
    <t>COMPRA EN BOLD SA*LA FABBR</t>
  </si>
  <si>
    <t>COMPRA EN Rappi</t>
  </si>
  <si>
    <t>PAGO PSE SECRETARIA DE HACIEND</t>
  </si>
  <si>
    <t>Secretaria de Hacienda</t>
  </si>
  <si>
    <t>COMPRA EN UBER*RIDES</t>
  </si>
  <si>
    <t>Sin factura</t>
  </si>
  <si>
    <t>Pago Mesa Nuestra Medellin Evento Motorola 260803</t>
  </si>
  <si>
    <t>COMPRA EN  POLA Y TEJ</t>
  </si>
  <si>
    <t>COMPRA EN  VENUES SNA</t>
  </si>
  <si>
    <t>COMPRA EN  PODER BGTA</t>
  </si>
  <si>
    <t>COMPRA EN  SANTA CLAR</t>
  </si>
  <si>
    <t>COMPRA EN  UBER RIDES</t>
  </si>
  <si>
    <t>FEMA-61096</t>
  </si>
  <si>
    <t>FEC1-94362</t>
  </si>
  <si>
    <t>221F-93373</t>
  </si>
  <si>
    <t>FVE-52665</t>
  </si>
  <si>
    <t>E018-206011</t>
  </si>
  <si>
    <t>FE-16357</t>
  </si>
  <si>
    <t>LINEMARKETING y EVENTOS S.A.S.</t>
  </si>
  <si>
    <t>HOTELES ESTELAR S.A.</t>
  </si>
  <si>
    <t>890304099</t>
  </si>
  <si>
    <t>ZX VENTURES COLOMBIA SAS</t>
  </si>
  <si>
    <t>830094751</t>
  </si>
  <si>
    <t>MALOTO SAS (Restaurante La Fabbrica)</t>
  </si>
  <si>
    <t>901428458</t>
  </si>
  <si>
    <t>POLA Y TEJO S.A.S</t>
  </si>
  <si>
    <t>901262730</t>
  </si>
  <si>
    <t>INFARTO SAS</t>
  </si>
  <si>
    <t>900957216</t>
  </si>
  <si>
    <t>ADMINISTRADORA MONSERRATE SAS</t>
  </si>
  <si>
    <t>800124979</t>
  </si>
  <si>
    <t>JUAN DAVID CRUZ GUZMAN</t>
  </si>
  <si>
    <t>1020790890</t>
  </si>
  <si>
    <t>Set BBQ Stanton, 120 unidades</t>
  </si>
  <si>
    <t>Eventos Hotel Intercontinental Cali</t>
  </si>
  <si>
    <t>Consumo restaurante</t>
  </si>
  <si>
    <t>Consumo bar</t>
  </si>
  <si>
    <t>15 tiquetes digitales 207-221</t>
  </si>
  <si>
    <t>Ejecucion y acompañamiento eventos agosto</t>
  </si>
  <si>
    <t>Pagada con 3,300,000 + 547,030. INC 124,800</t>
  </si>
  <si>
    <t>Pagada con 1,000,000 + 1,747,479. Propina 212,980</t>
  </si>
  <si>
    <t>Pagada con 700,000 + 1,297,806. INC, sin IVA</t>
  </si>
  <si>
    <t>Pagada con 850,000 + 1,233,281. INC 141,239 + cargos 176,549</t>
  </si>
  <si>
    <t>Pagada 2,208,600. INC 147,726 + propina 187,300</t>
  </si>
  <si>
    <t>Solo anticipo de 108,932. Queda saldo de 237,638</t>
  </si>
  <si>
    <t>ADM-8485</t>
  </si>
  <si>
    <t>Hay dos transferencias de 600,000 (02 y 14 sep). Definir cual</t>
  </si>
  <si>
    <t>CC-AGO-JDC</t>
  </si>
  <si>
    <t>Cuenta de cobro. Sin pago identificado</t>
  </si>
  <si>
    <t>OJO: 1,040,122 y no 1,464,492. Ver abajo</t>
  </si>
  <si>
    <t>Pago transporte Kaspersky. M260402</t>
  </si>
  <si>
    <t>Falta factura</t>
  </si>
  <si>
    <t>Cobrada</t>
  </si>
  <si>
    <t>Almuerzo JuanDavid Evento Motorola Medellin</t>
  </si>
  <si>
    <t>Cena JuanDavid Evento Motorola Medellin</t>
  </si>
  <si>
    <t>Hotel NH Royal - Alojamiento Kaspersky</t>
  </si>
  <si>
    <t>Pendiente factura hotel - Juan las esta gestionando</t>
  </si>
  <si>
    <t>Cena 24 de Sep Kaspersky</t>
  </si>
  <si>
    <t>Consumo Cena Kaspersky</t>
  </si>
  <si>
    <t>Uber Aeropuerto Medellin</t>
  </si>
  <si>
    <t>Desayuno JuanDavid Evento Motorola Medellin</t>
  </si>
  <si>
    <t>Hotel NH Royal - Cafes Kaspersky</t>
  </si>
  <si>
    <t>Uber Regreso a casa JuanDavid</t>
  </si>
  <si>
    <t>Pago AXIS DAFE 30</t>
  </si>
  <si>
    <t>Almuerzo EBC Kaspersky 25 Sep</t>
  </si>
  <si>
    <t xml:space="preserve">Coffe Break EBC Kaspersky 25 Sep </t>
  </si>
  <si>
    <t xml:space="preserve">Transporte Actividad EBC Kaspersky 25 Sep </t>
  </si>
  <si>
    <t xml:space="preserve">KASPERSKY - Actividad Tejo EBC Kaspersky 25 Sep </t>
  </si>
  <si>
    <t>Consumos concierto Carlos Vives - Kaspersky EBC 26 Sep</t>
  </si>
  <si>
    <t>Almuerzo Kaspersky EBC 26 Sep</t>
  </si>
  <si>
    <t>Refrigerios Monserrate</t>
  </si>
  <si>
    <t>Pago onces y entradas Monserrate Kaspersky - Movimiento dividido para ajustarse a la factura</t>
  </si>
  <si>
    <t xml:space="preserve">Transporte Actividad EBC Kaspersky 26 Sep </t>
  </si>
  <si>
    <t>Transporte concierto Carlos Vives - Kaspersky EBC 26 Sep</t>
  </si>
  <si>
    <t>FE-597 - 1</t>
  </si>
  <si>
    <t>FE-597 - 2</t>
  </si>
  <si>
    <t>FE-597 - 3</t>
  </si>
  <si>
    <t>Factura dividada para asignar a diferentes proyectos</t>
  </si>
  <si>
    <t>No se va a pagar desde la cuenta de manglar</t>
  </si>
  <si>
    <t>COMPRA EN  DLO    *PR</t>
  </si>
  <si>
    <t>COMPRA EN  FRISBY I 2</t>
  </si>
  <si>
    <t>COMPRA EN  DUNKIN DON</t>
  </si>
  <si>
    <t>Pago KASPERSKY DAFE 25</t>
  </si>
  <si>
    <t>Pago ANIXTER DAFE 22</t>
  </si>
  <si>
    <t>COMPRA EN Prime Video</t>
  </si>
  <si>
    <t>COMPRA EN UBER RIDES</t>
  </si>
  <si>
    <t>Gasto fijo mensual</t>
  </si>
  <si>
    <t>I261-15111875</t>
  </si>
  <si>
    <t>TEIG-267</t>
  </si>
  <si>
    <t>SUM-63</t>
  </si>
  <si>
    <t>DAFE 31</t>
  </si>
  <si>
    <t>DAFE 32</t>
  </si>
  <si>
    <t>M260111</t>
  </si>
  <si>
    <t>Amazon Gift Card - Interconnected Wesco Argentina</t>
  </si>
  <si>
    <t>Innovaitors. ReteIVA 15%</t>
  </si>
  <si>
    <t>AXIS. Sin ReteIVA. Centro nuevo, ver hoja 6</t>
  </si>
  <si>
    <t>SUMAS COCINA SAS</t>
  </si>
  <si>
    <t>901977466</t>
  </si>
  <si>
    <t>DONUCOL SA (Dunkin Donuts)</t>
  </si>
  <si>
    <t>860508791</t>
  </si>
  <si>
    <t>FRISBY S.A. BIC</t>
  </si>
  <si>
    <t>891408584</t>
  </si>
  <si>
    <t>Evento menu mediterraneo 23-sep + consumos</t>
  </si>
  <si>
    <t>Consumo cafeteria</t>
  </si>
  <si>
    <t>Pagada con 2,125,000 + 5,073,000</t>
  </si>
  <si>
    <t>Pagada 38,000</t>
  </si>
  <si>
    <t>Pagada 145,800. INC, sin IVA</t>
  </si>
  <si>
    <t>Bono amazon 100 USD ARG</t>
  </si>
  <si>
    <t>Almuerzo con HEEL</t>
  </si>
  <si>
    <t>Pendiente confirmacion que fue</t>
  </si>
  <si>
    <t>Café con COMMSCOPE</t>
  </si>
  <si>
    <t>M260404</t>
  </si>
  <si>
    <t>Fiesta de fin de año</t>
  </si>
  <si>
    <t>Uber Scouting Despecho</t>
  </si>
  <si>
    <t>Hay gastos pendientes por asignar</t>
  </si>
  <si>
    <t>Esta OK</t>
  </si>
  <si>
    <t>Pendientes gastos pagados por Vero</t>
  </si>
  <si>
    <t>Actividades Kaspersky Sep</t>
  </si>
  <si>
    <t>Agregar factura de 1.500 sep 29 (ver chat contabilidad)</t>
  </si>
  <si>
    <t>Agregar split de cuenta de cobro Juan (ver correo facturacion)</t>
  </si>
  <si>
    <t>CONCEPTO VALOR</t>
  </si>
  <si>
    <t>Bono amazon AXIS 319.760</t>
  </si>
  <si>
    <t>Bono amazon AXIS 336.280</t>
  </si>
  <si>
    <t>Rappi refrigerio Kasperksy 151.860</t>
  </si>
  <si>
    <t>Uber Cali aeropuerto 55.072</t>
  </si>
  <si>
    <t>Uber Medellin aeropuerto 83.154</t>
  </si>
  <si>
    <t>Uber Medellin aeropuerto 93.996</t>
  </si>
  <si>
    <t>Tiquete Cali (factura en correo de manglar) 424.370</t>
  </si>
  <si>
    <t>Ver si esta factura</t>
  </si>
  <si>
    <t>Bono amazon AXIS</t>
  </si>
  <si>
    <t>Rappi refrigerio Kasperksy</t>
  </si>
  <si>
    <t>Uber Cali aeropuerto</t>
  </si>
  <si>
    <t>Uber Medellin aeropuerto</t>
  </si>
  <si>
    <t>CC-SEP-JDC 1</t>
  </si>
  <si>
    <t>CC-SEP-JDC 2</t>
  </si>
  <si>
    <t>CC-SEP-JDC 3</t>
  </si>
  <si>
    <t>CC-SEP-JDC 4</t>
  </si>
  <si>
    <t>CC-SEP-JDC 5</t>
  </si>
  <si>
    <t>CC-SEP-JDC 6</t>
  </si>
  <si>
    <t>COMPRA EN  EDS SAN PA</t>
  </si>
  <si>
    <t>Pago LINEMARKETING FE-587</t>
  </si>
  <si>
    <t>Pago LINEMARKETING FE-586</t>
  </si>
  <si>
    <t>Pago LINEMARKETING FE-592</t>
  </si>
  <si>
    <t>Pago Juliana Bermudez</t>
  </si>
  <si>
    <t>C MANEJO TARJ DEB 1192 10 26</t>
  </si>
  <si>
    <t>Pago AXIS DAFE 32</t>
  </si>
  <si>
    <t>Pago ANIXTER DAFE 28</t>
  </si>
  <si>
    <t>COMPRA EN  Amazon.com</t>
  </si>
  <si>
    <t>COMPRA INTL  Audible</t>
  </si>
  <si>
    <t>Pago KASPERSKY DAFE 29</t>
  </si>
  <si>
    <t>COMPRA EN  CASA MAGDA</t>
  </si>
  <si>
    <t>KS12-397301</t>
  </si>
  <si>
    <t>Cruza exacto con la factura de gasolina</t>
  </si>
  <si>
    <t>Base implicita 3,957,110, menor a los debitos del dia</t>
  </si>
  <si>
    <t>Deja 0.50 de residuo por redondeo</t>
  </si>
  <si>
    <t>DAFE 34</t>
  </si>
  <si>
    <t>DAFE 35</t>
  </si>
  <si>
    <t>DAFE 36</t>
  </si>
  <si>
    <t>Entrepartners Cali</t>
  </si>
  <si>
    <t>Entrepartners Medellin</t>
  </si>
  <si>
    <t>Entrepartners Bogota</t>
  </si>
  <si>
    <t>MOTOROLA. ReteIVA 15%</t>
  </si>
  <si>
    <t>MOTOROLA. Reemplaza a DAFE 33. ReteIVA 15%</t>
  </si>
  <si>
    <t>NC 2-4</t>
  </si>
  <si>
    <t>Entrepartners Bogota - anula DAFE 33</t>
  </si>
  <si>
    <t>900491889</t>
  </si>
  <si>
    <t>Gasolina corriente, 15.11 galones</t>
  </si>
  <si>
    <t>Tiquete aereo Juan David Cruz. Reserva LA0351342HNDU</t>
  </si>
  <si>
    <t>EFCC5044141</t>
  </si>
  <si>
    <t>Pagada 235,503. Sin IVA</t>
  </si>
  <si>
    <t>Sin pago identificado. Probable reembolso</t>
  </si>
  <si>
    <t>Abono fiesta fin de año Kaspersky. M260404</t>
  </si>
  <si>
    <t>Pendiente factura</t>
  </si>
  <si>
    <t>Pago LOGIST. Centro de costos M260202</t>
  </si>
  <si>
    <t>M260405</t>
  </si>
  <si>
    <t>Regalos Fin de año</t>
  </si>
  <si>
    <t>Compras Amazon Kaspersky Regalos Fin de Año</t>
  </si>
  <si>
    <t>Prime Video - Cobrar a Kaspersky</t>
  </si>
  <si>
    <t>Audible - Cobrar a Kaspersky</t>
  </si>
  <si>
    <t>Revisar con Ferney</t>
  </si>
  <si>
    <t>Juanda  reembolso gastos del mes</t>
  </si>
  <si>
    <t>Juanda pago nomina ago</t>
  </si>
  <si>
    <t>Juanda pago nomina Sep</t>
  </si>
  <si>
    <t>M260605</t>
  </si>
  <si>
    <t>Link Partner Summit</t>
  </si>
  <si>
    <t>Scouting Evento Link Partner Summit</t>
  </si>
  <si>
    <t>Recarga ROUTER</t>
  </si>
  <si>
    <t>26-42B 1</t>
  </si>
  <si>
    <t>26-42B 2</t>
  </si>
  <si>
    <t>Pendiente factura hotel NH</t>
  </si>
  <si>
    <t>Pendiente Factura</t>
  </si>
  <si>
    <t>VENUES SNACKS SAS</t>
  </si>
  <si>
    <t>901192250</t>
  </si>
  <si>
    <t>SAMARIAN CO. SAS</t>
  </si>
  <si>
    <t>901312456</t>
  </si>
  <si>
    <t>CURCUMA S.A.S</t>
  </si>
  <si>
    <t>901696969</t>
  </si>
  <si>
    <t>Combo perro caliente, papa y gaseosa</t>
  </si>
  <si>
    <t>Tonica, empanadas, agua y mini hamburguesas</t>
  </si>
  <si>
    <t>Canelones de carne y Kola Roman</t>
  </si>
  <si>
    <t>Limonada, risotto de champiñones y gaseosa</t>
  </si>
  <si>
    <t>82MA17762</t>
  </si>
  <si>
    <t>Concierto Carlos Vives. INC 8%</t>
  </si>
  <si>
    <t>35MA32563</t>
  </si>
  <si>
    <t>INC 8% de 208,148.15 mas propina de 260,185</t>
  </si>
  <si>
    <t>CM49712</t>
  </si>
  <si>
    <t>Scouting Link Partner. INC 4,740.74 + propina 5,925.93</t>
  </si>
  <si>
    <t>BKSM2703</t>
  </si>
  <si>
    <t>SIN PAGO AUN. INC 4,962.96 + propina 6,204</t>
  </si>
  <si>
    <t>COMPRA EN  COPROPIEDA</t>
  </si>
  <si>
    <t>PAGO DE PROV WOMPI S.A.S.</t>
  </si>
  <si>
    <t>Abono WOMPI</t>
  </si>
  <si>
    <t>Pago MOTOROLA DAFE 36 via WOMPI</t>
  </si>
  <si>
    <t>Pago LINEMARKETING FE-597</t>
  </si>
  <si>
    <t>PAGO PSE SECRETARIA DE HACIE</t>
  </si>
  <si>
    <t>COMPRA EN  LA PAMPA</t>
  </si>
  <si>
    <t>P108-76595</t>
  </si>
  <si>
    <t>Cruza exacto con la factura</t>
  </si>
  <si>
    <t>Monto muy pequeño. Posible prueba de la pasarela</t>
  </si>
  <si>
    <t>FEMA-62845</t>
  </si>
  <si>
    <t>Split 1 de 3 del pago de 5,983,320</t>
  </si>
  <si>
    <t>Split 2 de 3</t>
  </si>
  <si>
    <t>Split 3 de 3</t>
  </si>
  <si>
    <t>Mismo valor que el del 25-sep. Probable ICA</t>
  </si>
  <si>
    <t>PARALELO 108</t>
  </si>
  <si>
    <t>900436538</t>
  </si>
  <si>
    <t>HOTELES ROYAL S.A.</t>
  </si>
  <si>
    <t>800065539</t>
  </si>
  <si>
    <t>Servicio de parqueadero</t>
  </si>
  <si>
    <t>22 habitaciones mas suplemento, NH Royal Pavillon</t>
  </si>
  <si>
    <t>Pagada 6,300. Trae descuento Decreto 550 de 1 peso</t>
  </si>
  <si>
    <t>NFF-44786</t>
  </si>
  <si>
    <t>SIN PAGO AUN. Encaja con Link Partner Summit, confirmar</t>
  </si>
  <si>
    <t>Pagada 176,600. INC 11,978 mas propina 14,900</t>
  </si>
  <si>
    <t>Deja 851,540.64 de 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</si>
</sst>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d\-mmm\-yyyy"/>
    <numFmt numFmtId="165" formatCode="\$#,##0.00"/>
    <numFmt numFmtId="166" formatCode="#,##0;\(#,##0\);\-"/>
    <numFmt numFmtId="167" formatCode="_(* #,##0_);_(* \(#,##0\);_(* &quot;   -&quot;?_);_(@_)"/>
    <numFmt numFmtId="168" formatCode="d&quot;-&quot;mmm&quot;-&quot;yyyy"/>
    <numFmt numFmtId="169" formatCode="yyyy\-mm\-dd\ h:mm:ss"/>
    <numFmt numFmtId="170" formatCode="0.0%"/>
    <numFmt numFmtId="171" formatCode="dd/mm/yyyy"/>
    <numFmt numFmtId="172" formatCode="\$#,##0"/>
    <numFmt numFmtId="173" formatCode="0.0%;\(0.0%\);\-"/>
    <numFmt numFmtId="174" formatCode="[$-409]d\-mmm\-yy"/>
    <numFmt numFmtId="175" formatCode="dd/mm"/>
    <numFmt numFmtId="176" formatCode="mmm\ yy"/>
    <numFmt numFmtId="177" formatCode="#,##0.000;\(#,##0.000\);\-"/>
  </numFmts>
  <fonts count="4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1"/>
      <color rgb="FF000000"/>
      <name val="Arial"/>
      <family val="2"/>
    </font>
    <font>
      <sz val="11"/>
      <color rgb="FF375623"/>
      <name val="Arial"/>
      <family val="2"/>
    </font>
    <font>
      <i/>
      <sz val="10"/>
      <color rgb="FF666666"/>
      <name val="Arial"/>
      <family val="2"/>
    </font>
    <font>
      <b/>
      <sz val="12"/>
      <color rgb="FFC00000"/>
      <name val="Arial"/>
      <family val="2"/>
    </font>
    <font>
      <b/>
      <sz val="12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C00000"/>
      <name val="Arial"/>
      <family val="2"/>
    </font>
    <font>
      <b/>
      <i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rgb="FF980000"/>
      <name val="Arial"/>
      <family val="2"/>
    </font>
    <font>
      <b/>
      <sz val="10"/>
      <color rgb="FFFF0000"/>
      <name val="Arial"/>
      <family val="2"/>
    </font>
    <font>
      <i/>
      <sz val="11"/>
      <color rgb="FF000000"/>
      <name val="Arial"/>
      <family val="2"/>
    </font>
    <font>
      <sz val="11"/>
      <color rgb="FF0000FF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i/>
      <sz val="9"/>
      <color rgb="FF666666"/>
      <name val="Arial"/>
      <family val="2"/>
    </font>
    <font>
      <b/>
      <sz val="12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666666"/>
      <name val="Arial"/>
      <family val="2"/>
    </font>
    <font>
      <sz val="11"/>
      <color rgb="FF0000FF"/>
      <name val="Aptos Narrow"/>
      <family val="2"/>
    </font>
    <font>
      <sz val="11"/>
      <name val="Arial"/>
      <family val="2"/>
    </font>
    <font>
      <sz val="10"/>
      <color rgb="FF6AA84F"/>
      <name val="Arial"/>
      <family val="2"/>
    </font>
    <font>
      <sz val="10"/>
      <color rgb="FF666666"/>
      <name val="Arial"/>
      <family val="2"/>
    </font>
    <font>
      <b/>
      <sz val="10"/>
      <color rgb="FFC00000"/>
      <name val="Arial"/>
      <family val="2"/>
    </font>
    <font>
      <sz val="10"/>
      <color rgb="FF375623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theme="4" tint="-0.499984740745262"/>
      <name val="Arial"/>
      <family val="2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5DCF7"/>
        <bgColor rgb="FF95DCF7"/>
      </patternFill>
    </fill>
    <fill>
      <patternFill patternType="solid">
        <fgColor rgb="FFF2F2F2"/>
        <bgColor rgb="FFF2F2F2"/>
      </patternFill>
    </fill>
    <fill>
      <patternFill patternType="solid">
        <fgColor rgb="FF9FC5E8"/>
        <bgColor rgb="FF9FC5E8"/>
      </patternFill>
    </fill>
    <fill>
      <patternFill patternType="solid">
        <fgColor rgb="FFBFBFBF"/>
        <bgColor rgb="FFBFBFBF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F8D7DA"/>
        <bgColor rgb="FFF8D7D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43" fillId="0" borderId="0" applyNumberFormat="0" applyFill="0" applyBorder="0" applyAlignment="0" applyProtection="0"/>
    <xf numFmtId="9" fontId="44" fillId="0" borderId="0" applyFont="0" applyFill="0" applyBorder="0" applyAlignment="0" applyProtection="0"/>
  </cellStyleXfs>
  <cellXfs count="215">
    <xf numFmtId="0" fontId="0" fillId="0" borderId="0" xfId="0"/>
    <xf numFmtId="0" fontId="4" fillId="0" borderId="0" xfId="0" applyFont="1"/>
    <xf numFmtId="0" fontId="2" fillId="0" borderId="0" xfId="0" applyFont="1"/>
    <xf numFmtId="164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6" fillId="0" borderId="0" xfId="0" applyFont="1"/>
    <xf numFmtId="0" fontId="8" fillId="0" borderId="0" xfId="0" applyFont="1"/>
    <xf numFmtId="0" fontId="9" fillId="0" borderId="0" xfId="0" applyFont="1"/>
    <xf numFmtId="164" fontId="10" fillId="0" borderId="0" xfId="0" applyNumberFormat="1" applyFont="1" applyAlignment="1">
      <alignment horizontal="center"/>
    </xf>
    <xf numFmtId="0" fontId="10" fillId="0" borderId="0" xfId="0" applyFont="1"/>
    <xf numFmtId="3" fontId="10" fillId="0" borderId="0" xfId="0" applyNumberFormat="1" applyFont="1" applyAlignment="1">
      <alignment horizontal="right"/>
    </xf>
    <xf numFmtId="0" fontId="11" fillId="0" borderId="0" xfId="0" applyFont="1"/>
    <xf numFmtId="165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6" fontId="12" fillId="0" borderId="0" xfId="0" applyNumberFormat="1" applyFont="1"/>
    <xf numFmtId="165" fontId="10" fillId="0" borderId="0" xfId="0" applyNumberFormat="1" applyFont="1" applyAlignment="1">
      <alignment horizontal="center"/>
    </xf>
    <xf numFmtId="0" fontId="13" fillId="0" borderId="0" xfId="0" applyFont="1" applyAlignment="1">
      <alignment horizontal="left" vertical="center"/>
    </xf>
    <xf numFmtId="166" fontId="13" fillId="0" borderId="0" xfId="0" applyNumberFormat="1" applyFont="1" applyAlignment="1">
      <alignment horizontal="left" vertical="center"/>
    </xf>
    <xf numFmtId="167" fontId="2" fillId="0" borderId="0" xfId="0" applyNumberFormat="1" applyFont="1"/>
    <xf numFmtId="1" fontId="6" fillId="0" borderId="0" xfId="0" applyNumberFormat="1" applyFont="1" applyAlignment="1">
      <alignment horizontal="center" vertical="center" wrapText="1"/>
    </xf>
    <xf numFmtId="168" fontId="10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left" vertical="center"/>
    </xf>
    <xf numFmtId="167" fontId="12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166" fontId="7" fillId="0" borderId="0" xfId="0" applyNumberFormat="1" applyFont="1" applyAlignment="1">
      <alignment horizontal="left" vertical="center"/>
    </xf>
    <xf numFmtId="169" fontId="13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5" fontId="10" fillId="0" borderId="0" xfId="0" applyNumberFormat="1" applyFont="1" applyAlignment="1">
      <alignment horizontal="left" vertical="center"/>
    </xf>
    <xf numFmtId="166" fontId="15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167" fontId="2" fillId="0" borderId="0" xfId="0" applyNumberFormat="1" applyFont="1" applyAlignment="1">
      <alignment horizontal="right"/>
    </xf>
    <xf numFmtId="167" fontId="4" fillId="0" borderId="0" xfId="0" applyNumberFormat="1" applyFont="1"/>
    <xf numFmtId="170" fontId="18" fillId="0" borderId="0" xfId="0" applyNumberFormat="1" applyFont="1" applyAlignment="1">
      <alignment horizontal="center"/>
    </xf>
    <xf numFmtId="0" fontId="16" fillId="2" borderId="1" xfId="0" applyFont="1" applyFill="1" applyBorder="1" applyAlignment="1">
      <alignment horizontal="left" vertical="center"/>
    </xf>
    <xf numFmtId="168" fontId="10" fillId="3" borderId="1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67" fontId="12" fillId="0" borderId="0" xfId="0" applyNumberFormat="1" applyFont="1"/>
    <xf numFmtId="3" fontId="10" fillId="3" borderId="1" xfId="0" applyNumberFormat="1" applyFont="1" applyFill="1" applyBorder="1" applyAlignment="1">
      <alignment horizontal="left" vertical="center"/>
    </xf>
    <xf numFmtId="166" fontId="10" fillId="3" borderId="1" xfId="0" applyNumberFormat="1" applyFont="1" applyFill="1" applyBorder="1" applyAlignment="1">
      <alignment horizontal="left" vertical="center"/>
    </xf>
    <xf numFmtId="166" fontId="6" fillId="3" borderId="1" xfId="0" applyNumberFormat="1" applyFont="1" applyFill="1" applyBorder="1" applyAlignment="1">
      <alignment horizontal="left" vertical="center"/>
    </xf>
    <xf numFmtId="169" fontId="13" fillId="3" borderId="1" xfId="0" applyNumberFormat="1" applyFont="1" applyFill="1" applyBorder="1" applyAlignment="1">
      <alignment horizontal="left" vertical="center"/>
    </xf>
    <xf numFmtId="1" fontId="7" fillId="3" borderId="1" xfId="0" applyNumberFormat="1" applyFont="1" applyFill="1" applyBorder="1" applyAlignment="1">
      <alignment horizontal="left" vertical="center"/>
    </xf>
    <xf numFmtId="166" fontId="7" fillId="3" borderId="1" xfId="0" applyNumberFormat="1" applyFont="1" applyFill="1" applyBorder="1" applyAlignment="1">
      <alignment horizontal="left" vertical="center"/>
    </xf>
    <xf numFmtId="164" fontId="10" fillId="4" borderId="1" xfId="0" applyNumberFormat="1" applyFont="1" applyFill="1" applyBorder="1" applyAlignment="1">
      <alignment horizontal="center"/>
    </xf>
    <xf numFmtId="0" fontId="10" fillId="4" borderId="1" xfId="0" applyFont="1" applyFill="1" applyBorder="1"/>
    <xf numFmtId="3" fontId="10" fillId="4" borderId="1" xfId="0" applyNumberFormat="1" applyFont="1" applyFill="1" applyBorder="1" applyAlignment="1">
      <alignment horizontal="right"/>
    </xf>
    <xf numFmtId="165" fontId="9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9" fillId="4" borderId="1" xfId="0" applyFont="1" applyFill="1" applyBorder="1"/>
    <xf numFmtId="165" fontId="10" fillId="4" borderId="1" xfId="0" applyNumberFormat="1" applyFont="1" applyFill="1" applyBorder="1" applyAlignment="1">
      <alignment horizontal="center"/>
    </xf>
    <xf numFmtId="166" fontId="10" fillId="0" borderId="0" xfId="0" applyNumberFormat="1" applyFont="1" applyAlignment="1">
      <alignment horizontal="right"/>
    </xf>
    <xf numFmtId="171" fontId="10" fillId="0" borderId="0" xfId="0" applyNumberFormat="1" applyFont="1" applyAlignment="1">
      <alignment horizontal="center" vertical="center" wrapText="1"/>
    </xf>
    <xf numFmtId="167" fontId="19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167" fontId="11" fillId="0" borderId="0" xfId="0" applyNumberFormat="1" applyFont="1"/>
    <xf numFmtId="170" fontId="7" fillId="0" borderId="0" xfId="0" applyNumberFormat="1" applyFont="1" applyAlignment="1">
      <alignment horizontal="center" vertical="center" wrapText="1"/>
    </xf>
    <xf numFmtId="170" fontId="6" fillId="0" borderId="0" xfId="0" applyNumberFormat="1" applyFont="1" applyAlignment="1">
      <alignment horizontal="center" vertical="center" wrapText="1"/>
    </xf>
    <xf numFmtId="166" fontId="21" fillId="0" borderId="0" xfId="0" applyNumberFormat="1" applyFont="1" applyAlignment="1">
      <alignment horizontal="left" vertical="center"/>
    </xf>
    <xf numFmtId="0" fontId="22" fillId="0" borderId="0" xfId="0" applyFont="1"/>
    <xf numFmtId="166" fontId="4" fillId="0" borderId="0" xfId="0" applyNumberFormat="1" applyFont="1"/>
    <xf numFmtId="167" fontId="11" fillId="5" borderId="1" xfId="0" applyNumberFormat="1" applyFont="1" applyFill="1" applyBorder="1"/>
    <xf numFmtId="9" fontId="4" fillId="0" borderId="0" xfId="0" applyNumberFormat="1" applyFont="1"/>
    <xf numFmtId="9" fontId="23" fillId="5" borderId="1" xfId="0" applyNumberFormat="1" applyFont="1" applyFill="1" applyBorder="1"/>
    <xf numFmtId="166" fontId="11" fillId="0" borderId="0" xfId="0" applyNumberFormat="1" applyFont="1" applyAlignment="1">
      <alignment horizontal="right"/>
    </xf>
    <xf numFmtId="166" fontId="24" fillId="0" borderId="0" xfId="0" applyNumberFormat="1" applyFont="1" applyAlignment="1">
      <alignment horizontal="right"/>
    </xf>
    <xf numFmtId="166" fontId="25" fillId="0" borderId="0" xfId="0" applyNumberFormat="1" applyFont="1" applyAlignment="1">
      <alignment horizontal="right"/>
    </xf>
    <xf numFmtId="166" fontId="26" fillId="0" borderId="0" xfId="0" applyNumberFormat="1" applyFont="1"/>
    <xf numFmtId="166" fontId="24" fillId="0" borderId="0" xfId="0" applyNumberFormat="1" applyFont="1"/>
    <xf numFmtId="172" fontId="4" fillId="0" borderId="0" xfId="0" applyNumberFormat="1" applyFont="1" applyAlignment="1">
      <alignment horizontal="right"/>
    </xf>
    <xf numFmtId="166" fontId="27" fillId="0" borderId="0" xfId="0" applyNumberFormat="1" applyFont="1"/>
    <xf numFmtId="0" fontId="28" fillId="0" borderId="0" xfId="0" applyFont="1"/>
    <xf numFmtId="0" fontId="2" fillId="6" borderId="1" xfId="0" applyFont="1" applyFill="1" applyBorder="1"/>
    <xf numFmtId="0" fontId="29" fillId="0" borderId="0" xfId="0" applyFont="1"/>
    <xf numFmtId="165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horizontal="center" wrapText="1"/>
    </xf>
    <xf numFmtId="173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165" fontId="4" fillId="0" borderId="0" xfId="0" applyNumberFormat="1" applyFont="1"/>
    <xf numFmtId="166" fontId="2" fillId="0" borderId="0" xfId="0" applyNumberFormat="1" applyFont="1"/>
    <xf numFmtId="170" fontId="4" fillId="0" borderId="0" xfId="0" applyNumberFormat="1" applyFont="1" applyAlignment="1">
      <alignment horizontal="center" wrapText="1"/>
    </xf>
    <xf numFmtId="0" fontId="30" fillId="0" borderId="0" xfId="0" applyFont="1"/>
    <xf numFmtId="0" fontId="31" fillId="7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167" fontId="31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167" fontId="23" fillId="0" borderId="0" xfId="0" applyNumberFormat="1" applyFont="1"/>
    <xf numFmtId="15" fontId="23" fillId="0" borderId="0" xfId="0" applyNumberFormat="1" applyFont="1" applyAlignment="1">
      <alignment horizontal="center"/>
    </xf>
    <xf numFmtId="174" fontId="23" fillId="0" borderId="0" xfId="0" applyNumberFormat="1" applyFont="1" applyAlignment="1">
      <alignment horizontal="center"/>
    </xf>
    <xf numFmtId="167" fontId="30" fillId="6" borderId="1" xfId="0" applyNumberFormat="1" applyFont="1" applyFill="1" applyBorder="1" applyAlignment="1">
      <alignment horizontal="center"/>
    </xf>
    <xf numFmtId="167" fontId="30" fillId="9" borderId="1" xfId="0" applyNumberFormat="1" applyFont="1" applyFill="1" applyBorder="1" applyAlignment="1">
      <alignment horizontal="center"/>
    </xf>
    <xf numFmtId="170" fontId="2" fillId="0" borderId="0" xfId="0" applyNumberFormat="1" applyFont="1" applyAlignment="1">
      <alignment horizontal="center" wrapText="1"/>
    </xf>
    <xf numFmtId="3" fontId="23" fillId="0" borderId="0" xfId="0" applyNumberFormat="1" applyFont="1"/>
    <xf numFmtId="166" fontId="32" fillId="0" borderId="0" xfId="0" applyNumberFormat="1" applyFont="1"/>
    <xf numFmtId="167" fontId="23" fillId="2" borderId="1" xfId="0" applyNumberFormat="1" applyFont="1" applyFill="1" applyBorder="1"/>
    <xf numFmtId="167" fontId="33" fillId="0" borderId="0" xfId="0" applyNumberFormat="1" applyFont="1"/>
    <xf numFmtId="1" fontId="4" fillId="0" borderId="0" xfId="0" applyNumberFormat="1" applyFont="1"/>
    <xf numFmtId="0" fontId="10" fillId="2" borderId="1" xfId="0" applyFont="1" applyFill="1" applyBorder="1"/>
    <xf numFmtId="0" fontId="6" fillId="8" borderId="1" xfId="0" applyFont="1" applyFill="1" applyBorder="1" applyAlignment="1">
      <alignment horizontal="left" vertical="center"/>
    </xf>
    <xf numFmtId="171" fontId="10" fillId="8" borderId="1" xfId="0" applyNumberFormat="1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 wrapText="1"/>
    </xf>
    <xf numFmtId="166" fontId="35" fillId="8" borderId="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 vertical="center"/>
    </xf>
    <xf numFmtId="175" fontId="17" fillId="0" borderId="0" xfId="0" applyNumberFormat="1" applyFont="1" applyAlignment="1">
      <alignment horizontal="center" vertical="center" wrapText="1"/>
    </xf>
    <xf numFmtId="166" fontId="37" fillId="8" borderId="1" xfId="0" applyNumberFormat="1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166" fontId="38" fillId="0" borderId="0" xfId="0" applyNumberFormat="1" applyFont="1" applyAlignment="1">
      <alignment horizontal="left" vertical="center"/>
    </xf>
    <xf numFmtId="166" fontId="6" fillId="12" borderId="1" xfId="0" applyNumberFormat="1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10" fontId="7" fillId="0" borderId="0" xfId="0" applyNumberFormat="1" applyFont="1" applyAlignment="1">
      <alignment horizontal="left" vertical="center"/>
    </xf>
    <xf numFmtId="10" fontId="6" fillId="0" borderId="0" xfId="0" applyNumberFormat="1" applyFont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166" fontId="37" fillId="12" borderId="1" xfId="0" applyNumberFormat="1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 wrapText="1"/>
    </xf>
    <xf numFmtId="9" fontId="23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66" fontId="37" fillId="0" borderId="0" xfId="0" applyNumberFormat="1" applyFont="1" applyAlignment="1">
      <alignment horizontal="left" vertical="center"/>
    </xf>
    <xf numFmtId="0" fontId="23" fillId="0" borderId="0" xfId="0" applyFont="1"/>
    <xf numFmtId="0" fontId="4" fillId="0" borderId="0" xfId="0" applyFont="1" applyAlignment="1">
      <alignment horizontal="center"/>
    </xf>
    <xf numFmtId="3" fontId="11" fillId="0" borderId="0" xfId="0" applyNumberFormat="1" applyFont="1"/>
    <xf numFmtId="170" fontId="23" fillId="0" borderId="0" xfId="0" applyNumberFormat="1" applyFont="1"/>
    <xf numFmtId="9" fontId="11" fillId="0" borderId="0" xfId="0" applyNumberFormat="1" applyFont="1"/>
    <xf numFmtId="9" fontId="23" fillId="0" borderId="0" xfId="0" applyNumberFormat="1" applyFont="1"/>
    <xf numFmtId="168" fontId="10" fillId="0" borderId="0" xfId="0" applyNumberFormat="1" applyFont="1" applyAlignment="1">
      <alignment horizontal="center"/>
    </xf>
    <xf numFmtId="3" fontId="30" fillId="0" borderId="0" xfId="0" applyNumberFormat="1" applyFont="1"/>
    <xf numFmtId="0" fontId="31" fillId="0" borderId="0" xfId="0" applyFont="1"/>
    <xf numFmtId="0" fontId="4" fillId="2" borderId="1" xfId="0" applyFont="1" applyFill="1" applyBorder="1"/>
    <xf numFmtId="165" fontId="30" fillId="0" borderId="0" xfId="0" applyNumberFormat="1" applyFont="1"/>
    <xf numFmtId="9" fontId="23" fillId="2" borderId="1" xfId="0" applyNumberFormat="1" applyFont="1" applyFill="1" applyBorder="1"/>
    <xf numFmtId="166" fontId="17" fillId="0" borderId="0" xfId="0" applyNumberFormat="1" applyFont="1" applyAlignment="1">
      <alignment horizontal="left" vertical="center"/>
    </xf>
    <xf numFmtId="0" fontId="40" fillId="0" borderId="0" xfId="0" applyFont="1"/>
    <xf numFmtId="170" fontId="4" fillId="14" borderId="0" xfId="0" applyNumberFormat="1" applyFont="1" applyFill="1" applyAlignment="1">
      <alignment horizontal="center" wrapText="1"/>
    </xf>
    <xf numFmtId="0" fontId="3" fillId="0" borderId="0" xfId="0" applyFont="1"/>
    <xf numFmtId="165" fontId="41" fillId="0" borderId="0" xfId="0" applyNumberFormat="1" applyFont="1" applyAlignment="1">
      <alignment horizontal="center"/>
    </xf>
    <xf numFmtId="165" fontId="41" fillId="4" borderId="0" xfId="0" applyNumberFormat="1" applyFont="1" applyFill="1" applyAlignment="1">
      <alignment horizontal="center"/>
    </xf>
    <xf numFmtId="0" fontId="41" fillId="4" borderId="1" xfId="0" applyFont="1" applyFill="1" applyBorder="1" applyAlignment="1">
      <alignment horizontal="center"/>
    </xf>
    <xf numFmtId="1" fontId="7" fillId="0" borderId="0" xfId="0" applyNumberFormat="1" applyFont="1" applyAlignment="1">
      <alignment horizontal="center" vertical="center" wrapText="1"/>
    </xf>
    <xf numFmtId="165" fontId="10" fillId="14" borderId="0" xfId="0" applyNumberFormat="1" applyFont="1" applyFill="1" applyAlignment="1">
      <alignment horizontal="center"/>
    </xf>
    <xf numFmtId="166" fontId="10" fillId="14" borderId="0" xfId="0" applyNumberFormat="1" applyFont="1" applyFill="1" applyAlignment="1">
      <alignment horizontal="left" vertical="center"/>
    </xf>
    <xf numFmtId="165" fontId="10" fillId="15" borderId="0" xfId="0" applyNumberFormat="1" applyFont="1" applyFill="1" applyAlignment="1">
      <alignment horizontal="center"/>
    </xf>
    <xf numFmtId="166" fontId="17" fillId="3" borderId="1" xfId="0" applyNumberFormat="1" applyFont="1" applyFill="1" applyBorder="1" applyAlignment="1">
      <alignment horizontal="left" vertical="center"/>
    </xf>
    <xf numFmtId="0" fontId="4" fillId="16" borderId="0" xfId="0" applyFont="1" applyFill="1"/>
    <xf numFmtId="0" fontId="13" fillId="14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2" fillId="0" borderId="0" xfId="0" applyFont="1" applyAlignment="1">
      <alignment horizontal="center" vertical="center" wrapText="1"/>
    </xf>
    <xf numFmtId="0" fontId="43" fillId="0" borderId="0" xfId="1"/>
    <xf numFmtId="0" fontId="10" fillId="14" borderId="0" xfId="0" applyFont="1" applyFill="1"/>
    <xf numFmtId="166" fontId="41" fillId="3" borderId="1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0" fillId="17" borderId="0" xfId="0" applyFont="1" applyFill="1"/>
    <xf numFmtId="9" fontId="4" fillId="0" borderId="0" xfId="2" applyFont="1"/>
    <xf numFmtId="0" fontId="10" fillId="18" borderId="0" xfId="0" applyFont="1" applyFill="1" applyAlignment="1">
      <alignment horizontal="center" vertical="center" wrapText="1"/>
    </xf>
    <xf numFmtId="164" fontId="10" fillId="18" borderId="0" xfId="0" applyNumberFormat="1" applyFont="1" applyFill="1" applyAlignment="1">
      <alignment horizontal="center" vertical="center" wrapText="1"/>
    </xf>
    <xf numFmtId="0" fontId="10" fillId="18" borderId="0" xfId="0" applyFont="1" applyFill="1" applyAlignment="1">
      <alignment horizontal="left" vertical="center"/>
    </xf>
    <xf numFmtId="0" fontId="7" fillId="18" borderId="0" xfId="0" applyFont="1" applyFill="1" applyAlignment="1">
      <alignment horizontal="left" vertical="center"/>
    </xf>
    <xf numFmtId="166" fontId="10" fillId="18" borderId="0" xfId="0" applyNumberFormat="1" applyFont="1" applyFill="1" applyAlignment="1">
      <alignment horizontal="left" vertical="center"/>
    </xf>
    <xf numFmtId="166" fontId="6" fillId="18" borderId="0" xfId="0" applyNumberFormat="1" applyFont="1" applyFill="1" applyAlignment="1">
      <alignment horizontal="left" vertical="center"/>
    </xf>
    <xf numFmtId="166" fontId="7" fillId="18" borderId="0" xfId="0" applyNumberFormat="1" applyFont="1" applyFill="1" applyAlignment="1">
      <alignment horizontal="left" vertical="center"/>
    </xf>
    <xf numFmtId="1" fontId="7" fillId="18" borderId="0" xfId="0" applyNumberFormat="1" applyFont="1" applyFill="1" applyAlignment="1">
      <alignment horizontal="center" vertical="center" wrapText="1"/>
    </xf>
    <xf numFmtId="0" fontId="7" fillId="18" borderId="0" xfId="0" applyFont="1" applyFill="1" applyAlignment="1">
      <alignment horizontal="center" vertical="center" wrapText="1"/>
    </xf>
    <xf numFmtId="0" fontId="16" fillId="18" borderId="0" xfId="0" applyFont="1" applyFill="1" applyAlignment="1">
      <alignment horizontal="left" vertical="center"/>
    </xf>
    <xf numFmtId="0" fontId="17" fillId="18" borderId="0" xfId="0" applyFont="1" applyFill="1" applyAlignment="1">
      <alignment horizontal="center" vertical="center" wrapText="1"/>
    </xf>
    <xf numFmtId="0" fontId="6" fillId="18" borderId="0" xfId="0" applyFont="1" applyFill="1" applyAlignment="1">
      <alignment horizontal="left" vertical="center"/>
    </xf>
    <xf numFmtId="177" fontId="45" fillId="19" borderId="0" xfId="0" applyNumberFormat="1" applyFont="1" applyFill="1" applyAlignment="1">
      <alignment horizontal="left" vertical="center"/>
    </xf>
    <xf numFmtId="0" fontId="10" fillId="14" borderId="0" xfId="0" applyFont="1" applyFill="1" applyAlignment="1">
      <alignment horizontal="left" vertical="center"/>
    </xf>
    <xf numFmtId="0" fontId="10" fillId="20" borderId="0" xfId="0" applyFont="1" applyFill="1" applyAlignment="1">
      <alignment horizontal="center" vertical="center" wrapText="1"/>
    </xf>
    <xf numFmtId="164" fontId="10" fillId="20" borderId="0" xfId="0" applyNumberFormat="1" applyFont="1" applyFill="1" applyAlignment="1">
      <alignment horizontal="center" vertical="center" wrapText="1"/>
    </xf>
    <xf numFmtId="0" fontId="10" fillId="20" borderId="0" xfId="0" applyFont="1" applyFill="1" applyAlignment="1">
      <alignment horizontal="left" vertical="center"/>
    </xf>
    <xf numFmtId="0" fontId="7" fillId="20" borderId="0" xfId="0" applyFont="1" applyFill="1" applyAlignment="1">
      <alignment horizontal="left" vertical="center"/>
    </xf>
    <xf numFmtId="166" fontId="10" fillId="20" borderId="0" xfId="0" applyNumberFormat="1" applyFont="1" applyFill="1" applyAlignment="1">
      <alignment horizontal="left" vertical="center"/>
    </xf>
    <xf numFmtId="166" fontId="6" fillId="20" borderId="0" xfId="0" applyNumberFormat="1" applyFont="1" applyFill="1" applyAlignment="1">
      <alignment horizontal="left" vertical="center"/>
    </xf>
    <xf numFmtId="166" fontId="7" fillId="20" borderId="0" xfId="0" applyNumberFormat="1" applyFont="1" applyFill="1" applyAlignment="1">
      <alignment horizontal="left" vertical="center"/>
    </xf>
    <xf numFmtId="1" fontId="7" fillId="20" borderId="0" xfId="0" applyNumberFormat="1" applyFont="1" applyFill="1" applyAlignment="1">
      <alignment horizontal="center" vertical="center" wrapText="1"/>
    </xf>
    <xf numFmtId="0" fontId="7" fillId="20" borderId="0" xfId="0" applyFont="1" applyFill="1" applyAlignment="1">
      <alignment horizontal="center" vertical="center" wrapText="1"/>
    </xf>
    <xf numFmtId="0" fontId="16" fillId="20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/>
    <xf numFmtId="0" fontId="6" fillId="0" borderId="0" xfId="0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166" fontId="15" fillId="0" borderId="0" xfId="0" applyNumberFormat="1" applyFont="1" applyAlignment="1">
      <alignment horizontal="center" vertical="center" wrapText="1"/>
    </xf>
    <xf numFmtId="0" fontId="28" fillId="0" borderId="0" xfId="0" applyFont="1"/>
    <xf numFmtId="0" fontId="6" fillId="10" borderId="2" xfId="0" applyFont="1" applyFill="1" applyBorder="1" applyAlignment="1">
      <alignment horizontal="center" vertical="center" wrapText="1"/>
    </xf>
    <xf numFmtId="0" fontId="34" fillId="0" borderId="3" xfId="0" applyFont="1" applyBorder="1"/>
    <xf numFmtId="0" fontId="36" fillId="0" borderId="0" xfId="0" applyFont="1" applyAlignment="1">
      <alignment horizontal="left" vertical="center"/>
    </xf>
  </cellXfs>
  <cellStyles count="3">
    <cellStyle name="Hyperlink" xfId="1" builtinId="8"/>
    <cellStyle name="Normal" xfId="0" builtinId="0"/>
    <cellStyle name="Percent" xfId="2" builtinId="5"/>
  </cellStyles>
  <dxfs count="10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Flujo de Caja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Resumen!$B$17</c:f>
              <c:strCache>
                <c:ptCount val="1"/>
                <c:pt idx="0">
                  <c:v>Saldo Inicial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Resumen!$C$17:$N$17</c:f>
              <c:numCache>
                <c:formatCode>_(* #,##0_);_(* \(#,##0\);_(* "   -"?_);_(@_)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3628284.13</c:v>
                </c:pt>
                <c:pt idx="4">
                  <c:v>46685528.440000005</c:v>
                </c:pt>
                <c:pt idx="5">
                  <c:v>251456604.44</c:v>
                </c:pt>
                <c:pt idx="6">
                  <c:v>195045443.47999999</c:v>
                </c:pt>
                <c:pt idx="7">
                  <c:v>104262447.58999999</c:v>
                </c:pt>
                <c:pt idx="8">
                  <c:v>75999625.219999984</c:v>
                </c:pt>
                <c:pt idx="9">
                  <c:v>9572289.359999992</c:v>
                </c:pt>
                <c:pt idx="10">
                  <c:v>63360593.460000008</c:v>
                </c:pt>
                <c:pt idx="11">
                  <c:v>63360593.460000008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D-4EB3-AFBC-222C3BFDA422}"/>
            </c:ext>
          </c:extLst>
        </c:ser>
        <c:ser>
          <c:idx val="10"/>
          <c:order val="1"/>
          <c:tx>
            <c:strRef>
              <c:f>Resumen!$B$27</c:f>
              <c:strCache>
                <c:ptCount val="1"/>
                <c:pt idx="0">
                  <c:v>Saldo Final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Resumen!$C$27:$N$27</c:f>
              <c:numCache>
                <c:formatCode>_(* #,##0_);_(* \(#,##0\);_(* "   -"?_);_(@_)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3628284.13</c:v>
                </c:pt>
                <c:pt idx="3">
                  <c:v>46685528.440000005</c:v>
                </c:pt>
                <c:pt idx="4">
                  <c:v>251456604.44</c:v>
                </c:pt>
                <c:pt idx="5">
                  <c:v>195045443.47999999</c:v>
                </c:pt>
                <c:pt idx="6">
                  <c:v>104262447.58999999</c:v>
                </c:pt>
                <c:pt idx="7">
                  <c:v>75999625.219999984</c:v>
                </c:pt>
                <c:pt idx="8">
                  <c:v>9572289.359999992</c:v>
                </c:pt>
                <c:pt idx="9">
                  <c:v>63360593.460000008</c:v>
                </c:pt>
                <c:pt idx="10">
                  <c:v>63360593.460000008</c:v>
                </c:pt>
                <c:pt idx="11">
                  <c:v>63360593.460000008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DD-4EB3-AFBC-222C3BFD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3567887"/>
        <c:axId val="1519596911"/>
      </c:lineChart>
      <c:catAx>
        <c:axId val="152356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9596911"/>
        <c:crosses val="autoZero"/>
        <c:auto val="1"/>
        <c:lblAlgn val="ctr"/>
        <c:lblOffset val="100"/>
        <c:noMultiLvlLbl val="0"/>
      </c:catAx>
      <c:valAx>
        <c:axId val="151959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   -&quot;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2356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228605</xdr:colOff>
      <xdr:row>13</xdr:row>
      <xdr:rowOff>36512</xdr:rowOff>
    </xdr:from>
    <xdr:to>
      <xdr:col>27</xdr:col>
      <xdr:colOff>533399</xdr:colOff>
      <xdr:row>37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EE5ED-8174-12E9-AF48-726BB7D21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5</xdr:col>
      <xdr:colOff>606238</xdr:colOff>
      <xdr:row>21</xdr:row>
      <xdr:rowOff>166951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BDC494-3B3E-41A4-0DDD-05A7EC367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6" y="3265714"/>
          <a:ext cx="5169166" cy="711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8Om0REh-zkuZNfu-JHQBKEZbUhkMH-UE_ZbSgjpWadU/edit?gid=527771349" TargetMode="External"/><Relationship Id="rId1" Type="http://schemas.openxmlformats.org/officeDocument/2006/relationships/hyperlink" Target="https://docs.google.com/spreadsheets/d/18Om0REh-zkuZNfu-JHQBKEZbUhkMH-UE_ZbSgjpWadU/edit?gid=527771349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12.6640625" defaultRowHeight="15" customHeight="1" x14ac:dyDescent="0.3"/>
  <cols>
    <col min="1" max="1" width="2.9140625" customWidth="1"/>
    <col min="2" max="2" width="33.25" customWidth="1"/>
    <col min="3" max="15" width="13.25" customWidth="1"/>
    <col min="16" max="16" width="12.4140625" customWidth="1"/>
  </cols>
  <sheetData>
    <row r="1" spans="1:26" ht="14.2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2"/>
      <c r="C2" s="8" t="s">
        <v>10</v>
      </c>
      <c r="D2" s="8" t="s">
        <v>10</v>
      </c>
      <c r="E2" s="8" t="s">
        <v>10</v>
      </c>
      <c r="F2" s="8" t="s">
        <v>10</v>
      </c>
      <c r="G2" s="8" t="s">
        <v>10</v>
      </c>
      <c r="H2" s="8" t="s">
        <v>10</v>
      </c>
      <c r="I2" s="8" t="s">
        <v>10</v>
      </c>
      <c r="J2" s="8" t="s">
        <v>10</v>
      </c>
      <c r="K2" s="8" t="s">
        <v>10</v>
      </c>
      <c r="L2" s="8" t="s">
        <v>10</v>
      </c>
      <c r="M2" s="8" t="s">
        <v>10</v>
      </c>
      <c r="N2" s="8" t="s">
        <v>10</v>
      </c>
      <c r="O2" s="8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2" t="s">
        <v>17</v>
      </c>
      <c r="C3" s="8">
        <v>1</v>
      </c>
      <c r="D3" s="8">
        <f t="shared" ref="D3:N3" si="0">C3+1</f>
        <v>2</v>
      </c>
      <c r="E3" s="8">
        <f t="shared" si="0"/>
        <v>3</v>
      </c>
      <c r="F3" s="8">
        <f t="shared" si="0"/>
        <v>4</v>
      </c>
      <c r="G3" s="8">
        <f t="shared" si="0"/>
        <v>5</v>
      </c>
      <c r="H3" s="8">
        <f t="shared" si="0"/>
        <v>6</v>
      </c>
      <c r="I3" s="8">
        <f t="shared" si="0"/>
        <v>7</v>
      </c>
      <c r="J3" s="8">
        <f t="shared" si="0"/>
        <v>8</v>
      </c>
      <c r="K3" s="8">
        <f t="shared" si="0"/>
        <v>9</v>
      </c>
      <c r="L3" s="8">
        <f t="shared" si="0"/>
        <v>10</v>
      </c>
      <c r="M3" s="8">
        <f t="shared" si="0"/>
        <v>11</v>
      </c>
      <c r="N3" s="8">
        <f t="shared" si="0"/>
        <v>12</v>
      </c>
      <c r="O3" s="8" t="s">
        <v>20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6" t="s">
        <v>21</v>
      </c>
      <c r="C4" s="19">
        <f>SUMIFS(CxC!$H$11:$H$51,CxC!$T$11:$T$51,C$3)</f>
        <v>0</v>
      </c>
      <c r="D4" s="19">
        <f>SUMIFS(CxC!$H$11:$H$51,CxC!$T$11:$T$51,D$3)</f>
        <v>0</v>
      </c>
      <c r="E4" s="19">
        <f>SUMIFS(CxC!$H$11:$H$51,CxC!$T$11:$T$51,E$3)</f>
        <v>0</v>
      </c>
      <c r="F4" s="19">
        <f>SUMIFS(CxC!$H$11:$H$51,CxC!$T$11:$T$51,F$3)</f>
        <v>39970574</v>
      </c>
      <c r="G4" s="19">
        <f>SUMIFS(CxC!$H$11:$H$51,CxC!$T$11:$T$51,G$3)</f>
        <v>257438378</v>
      </c>
      <c r="H4" s="19">
        <f>SUMIFS(CxC!$H$11:$H$51,CxC!$T$11:$T$51,H$3)</f>
        <v>0</v>
      </c>
      <c r="I4" s="19">
        <f>SUMIFS(CxC!$H$11:$H$51,CxC!$T$11:$T$51,I$3)</f>
        <v>42623908</v>
      </c>
      <c r="J4" s="19">
        <f>SUMIFS(CxC!$H$11:$H$51,CxC!$T$11:$T$51,J$3)</f>
        <v>62704578</v>
      </c>
      <c r="K4" s="19">
        <f>SUMIFS(CxC!$H$11:$H$51,CxC!$T$11:$T$51,K$3)</f>
        <v>47529217</v>
      </c>
      <c r="L4" s="19">
        <f>SUMIFS(CxC!$H$11:$H$51,CxC!$T$11:$T$51,L$3)</f>
        <v>36414888</v>
      </c>
      <c r="M4" s="19">
        <f>SUMIFS(CxC!$H$11:$H$51,CxC!$T$11:$T$51,M$3)</f>
        <v>0</v>
      </c>
      <c r="N4" s="19">
        <f>SUMIFS(CxC!$H$11:$H$51,CxC!$T$11:$T$51,N$3)</f>
        <v>0</v>
      </c>
      <c r="O4" s="23">
        <f t="shared" ref="O4:O6" si="1">+SUM(C4:N4)</f>
        <v>486681543</v>
      </c>
      <c r="P4" s="2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 t="s">
        <v>40</v>
      </c>
      <c r="C5" s="30">
        <f>-SUMIFS(CxP!$K$6:$K$163,CxP!$X$6:$X$163,$B5,CxP!$Y$6:$Y$163,"Si",CxP!$B$6:$B$163,"&gt;="&amp;DATE(2026,C$3,1),CxP!$B$6:$B$163,"&lt;="&amp;EOMONTH(DATE(2026,C$3,1),0))-SUMIFS(CxP!$M$6:$M$163,CxP!$X$6:$X$163,$B5,CxP!$Y$6:$Y$163,"Si",CxP!$B$6:$B$163,"&gt;="&amp;DATE(2026,C$3,1),CxP!$B$6:$B$163,"&lt;="&amp;EOMONTH(DATE(2026,C$3,1),0))+SUMIFS('Extractos bancarios - Manglar'!$C:$C,'Extractos bancarios - Manglar'!$G:$G,$B5,'Extractos bancarios - Manglar'!$L:$L,C$3,'Extractos bancarios - Manglar'!$M:$M,"")-SUMIFS('Extractos bancarios - Manglar'!$C:$C,'Extractos bancarios - Manglar'!$G:$G,$B5,'Extractos bancarios - Manglar'!$L:$L,C$3,'Extractos bancarios - Manglar'!$M:$M,"",'Extractos bancarios - Manglar'!$K:$K,"Si")*0.19/1.19</f>
        <v>0</v>
      </c>
      <c r="D5" s="30">
        <f>-SUMIFS(CxP!$K$6:$K$163,CxP!$X$6:$X$163,$B5,CxP!$Y$6:$Y$163,"Si",CxP!$B$6:$B$163,"&gt;="&amp;DATE(2026,D$3,1),CxP!$B$6:$B$163,"&lt;="&amp;EOMONTH(DATE(2026,D$3,1),0))-SUMIFS(CxP!$M$6:$M$163,CxP!$X$6:$X$163,$B5,CxP!$Y$6:$Y$163,"Si",CxP!$B$6:$B$163,"&gt;="&amp;DATE(2026,D$3,1),CxP!$B$6:$B$163,"&lt;="&amp;EOMONTH(DATE(2026,D$3,1),0))+SUMIFS('Extractos bancarios - Manglar'!$C:$C,'Extractos bancarios - Manglar'!$G:$G,$B5,'Extractos bancarios - Manglar'!$L:$L,D$3,'Extractos bancarios - Manglar'!$M:$M,"")-SUMIFS('Extractos bancarios - Manglar'!$C:$C,'Extractos bancarios - Manglar'!$G:$G,$B5,'Extractos bancarios - Manglar'!$L:$L,D$3,'Extractos bancarios - Manglar'!$M:$M,"",'Extractos bancarios - Manglar'!$K:$K,"Si")*0.19/1.19</f>
        <v>0</v>
      </c>
      <c r="E5" s="30">
        <f>-SUMIFS(CxP!$K$6:$K$163,CxP!$X$6:$X$163,$B5,CxP!$Y$6:$Y$163,"Si",CxP!$B$6:$B$163,"&gt;="&amp;DATE(2026,E$3,1),CxP!$B$6:$B$163,"&lt;="&amp;EOMONTH(DATE(2026,E$3,1),0))-SUMIFS(CxP!$M$6:$M$163,CxP!$X$6:$X$163,$B5,CxP!$Y$6:$Y$163,"Si",CxP!$B$6:$B$163,"&gt;="&amp;DATE(2026,E$3,1),CxP!$B$6:$B$163,"&lt;="&amp;EOMONTH(DATE(2026,E$3,1),0))+SUMIFS('Extractos bancarios - Manglar'!$C:$C,'Extractos bancarios - Manglar'!$G:$G,$B5,'Extractos bancarios - Manglar'!$L:$L,E$3,'Extractos bancarios - Manglar'!$M:$M,"")-SUMIFS('Extractos bancarios - Manglar'!$C:$C,'Extractos bancarios - Manglar'!$G:$G,$B5,'Extractos bancarios - Manglar'!$L:$L,E$3,'Extractos bancarios - Manglar'!$M:$M,"",'Extractos bancarios - Manglar'!$K:$K,"Si")*0.19/1.19</f>
        <v>-96100</v>
      </c>
      <c r="F5" s="30">
        <f>-SUMIFS(CxP!$K$6:$K$163,CxP!$X$6:$X$163,$B5,CxP!$Y$6:$Y$163,"Si",CxP!$B$6:$B$163,"&gt;="&amp;DATE(2026,F$3,1),CxP!$B$6:$B$163,"&lt;="&amp;EOMONTH(DATE(2026,F$3,1),0))-SUMIFS(CxP!$M$6:$M$163,CxP!$X$6:$X$163,$B5,CxP!$Y$6:$Y$163,"Si",CxP!$B$6:$B$163,"&gt;="&amp;DATE(2026,F$3,1),CxP!$B$6:$B$163,"&lt;="&amp;EOMONTH(DATE(2026,F$3,1),0))+SUMIFS('Extractos bancarios - Manglar'!$C:$C,'Extractos bancarios - Manglar'!$G:$G,$B5,'Extractos bancarios - Manglar'!$L:$L,F$3,'Extractos bancarios - Manglar'!$M:$M,"")-SUMIFS('Extractos bancarios - Manglar'!$C:$C,'Extractos bancarios - Manglar'!$G:$G,$B5,'Extractos bancarios - Manglar'!$L:$L,F$3,'Extractos bancarios - Manglar'!$M:$M,"",'Extractos bancarios - Manglar'!$K:$K,"Si")*0.19/1.19</f>
        <v>-11807898.67</v>
      </c>
      <c r="G5" s="30">
        <f>-SUMIFS(CxP!$K$6:$K$163,CxP!$X$6:$X$163,$B5,CxP!$Y$6:$Y$163,"Si",CxP!$B$6:$B$163,"&gt;="&amp;DATE(2026,G$3,1),CxP!$B$6:$B$163,"&lt;="&amp;EOMONTH(DATE(2026,G$3,1),0))-SUMIFS(CxP!$M$6:$M$163,CxP!$X$6:$X$163,$B5,CxP!$Y$6:$Y$163,"Si",CxP!$B$6:$B$163,"&gt;="&amp;DATE(2026,G$3,1),CxP!$B$6:$B$163,"&lt;="&amp;EOMONTH(DATE(2026,G$3,1),0))+SUMIFS('Extractos bancarios - Manglar'!$C:$C,'Extractos bancarios - Manglar'!$G:$G,$B5,'Extractos bancarios - Manglar'!$L:$L,G$3,'Extractos bancarios - Manglar'!$M:$M,"")-SUMIFS('Extractos bancarios - Manglar'!$C:$C,'Extractos bancarios - Manglar'!$G:$G,$B5,'Extractos bancarios - Manglar'!$L:$L,G$3,'Extractos bancarios - Manglar'!$M:$M,"",'Extractos bancarios - Manglar'!$K:$K,"Si")*0.19/1.19</f>
        <v>-12820269.209411765</v>
      </c>
      <c r="H5" s="30">
        <f>-SUMIFS(CxP!$K$6:$K$163,CxP!$X$6:$X$163,$B5,CxP!$Y$6:$Y$163,"Si",CxP!$B$6:$B$163,"&gt;="&amp;DATE(2026,H$3,1),CxP!$B$6:$B$163,"&lt;="&amp;EOMONTH(DATE(2026,H$3,1),0))-SUMIFS(CxP!$M$6:$M$163,CxP!$X$6:$X$163,$B5,CxP!$Y$6:$Y$163,"Si",CxP!$B$6:$B$163,"&gt;="&amp;DATE(2026,H$3,1),CxP!$B$6:$B$163,"&lt;="&amp;EOMONTH(DATE(2026,H$3,1),0))+SUMIFS('Extractos bancarios - Manglar'!$C:$C,'Extractos bancarios - Manglar'!$G:$G,$B5,'Extractos bancarios - Manglar'!$L:$L,H$3,'Extractos bancarios - Manglar'!$M:$M,"")-SUMIFS('Extractos bancarios - Manglar'!$C:$C,'Extractos bancarios - Manglar'!$G:$G,$B5,'Extractos bancarios - Manglar'!$L:$L,H$3,'Extractos bancarios - Manglar'!$M:$M,"",'Extractos bancarios - Manglar'!$K:$K,"Si")*0.19/1.19</f>
        <v>-165231429.02000001</v>
      </c>
      <c r="I5" s="30">
        <f>-SUMIFS(CxP!$K$6:$K$163,CxP!$X$6:$X$163,$B5,CxP!$Y$6:$Y$163,"Si",CxP!$B$6:$B$163,"&gt;="&amp;DATE(2026,I$3,1),CxP!$B$6:$B$163,"&lt;="&amp;EOMONTH(DATE(2026,I$3,1),0))-SUMIFS(CxP!$M$6:$M$163,CxP!$X$6:$X$163,$B5,CxP!$Y$6:$Y$163,"Si",CxP!$B$6:$B$163,"&gt;="&amp;DATE(2026,I$3,1),CxP!$B$6:$B$163,"&lt;="&amp;EOMONTH(DATE(2026,I$3,1),0))+SUMIFS('Extractos bancarios - Manglar'!$C:$C,'Extractos bancarios - Manglar'!$G:$G,$B5,'Extractos bancarios - Manglar'!$L:$L,I$3,'Extractos bancarios - Manglar'!$M:$M,"")-SUMIFS('Extractos bancarios - Manglar'!$C:$C,'Extractos bancarios - Manglar'!$G:$G,$B5,'Extractos bancarios - Manglar'!$L:$L,I$3,'Extractos bancarios - Manglar'!$M:$M,"",'Extractos bancarios - Manglar'!$K:$K,"Si")*0.19/1.19</f>
        <v>-39675772.299999997</v>
      </c>
      <c r="J5" s="30">
        <f>-SUMIFS(CxP!$K$6:$K$163,CxP!$X$6:$X$163,$B5,CxP!$Y$6:$Y$163,"Si",CxP!$B$6:$B$163,"&gt;="&amp;DATE(2026,J$3,1),CxP!$B$6:$B$163,"&lt;="&amp;EOMONTH(DATE(2026,J$3,1),0))-SUMIFS(CxP!$M$6:$M$163,CxP!$X$6:$X$163,$B5,CxP!$Y$6:$Y$163,"Si",CxP!$B$6:$B$163,"&gt;="&amp;DATE(2026,J$3,1),CxP!$B$6:$B$163,"&lt;="&amp;EOMONTH(DATE(2026,J$3,1),0))+SUMIFS('Extractos bancarios - Manglar'!$C:$C,'Extractos bancarios - Manglar'!$G:$G,$B5,'Extractos bancarios - Manglar'!$L:$L,J$3,'Extractos bancarios - Manglar'!$M:$M,"")-SUMIFS('Extractos bancarios - Manglar'!$C:$C,'Extractos bancarios - Manglar'!$G:$G,$B5,'Extractos bancarios - Manglar'!$L:$L,J$3,'Extractos bancarios - Manglar'!$M:$M,"",'Extractos bancarios - Manglar'!$K:$K,"Si")*0.19/1.19</f>
        <v>-18764242.922605041</v>
      </c>
      <c r="K5" s="30">
        <f>-SUMIFS(CxP!$K$6:$K$163,CxP!$X$6:$X$163,$B5,CxP!$Y$6:$Y$163,"Si",CxP!$B$6:$B$163,"&gt;="&amp;DATE(2026,K$3,1),CxP!$B$6:$B$163,"&lt;="&amp;EOMONTH(DATE(2026,K$3,1),0))-SUMIFS(CxP!$M$6:$M$163,CxP!$X$6:$X$163,$B5,CxP!$Y$6:$Y$163,"Si",CxP!$B$6:$B$163,"&gt;="&amp;DATE(2026,K$3,1),CxP!$B$6:$B$163,"&lt;="&amp;EOMONTH(DATE(2026,K$3,1),0))+SUMIFS('Extractos bancarios - Manglar'!$C:$C,'Extractos bancarios - Manglar'!$G:$G,$B5,'Extractos bancarios - Manglar'!$L:$L,K$3,'Extractos bancarios - Manglar'!$M:$M,"")-SUMIFS('Extractos bancarios - Manglar'!$C:$C,'Extractos bancarios - Manglar'!$G:$G,$B5,'Extractos bancarios - Manglar'!$L:$L,K$3,'Extractos bancarios - Manglar'!$M:$M,"",'Extractos bancarios - Manglar'!$K:$K,"Si")*0.19/1.19</f>
        <v>-106463249.25588235</v>
      </c>
      <c r="L5" s="30">
        <f>-SUMIFS(CxP!$K$6:$K$163,CxP!$X$6:$X$163,$B5,CxP!$Y$6:$Y$163,"Si",CxP!$B$6:$B$163,"&gt;="&amp;DATE(2026,L$3,1),CxP!$B$6:$B$163,"&lt;="&amp;EOMONTH(DATE(2026,L$3,1),0))-SUMIFS(CxP!$M$6:$M$163,CxP!$X$6:$X$163,$B5,CxP!$Y$6:$Y$163,"Si",CxP!$B$6:$B$163,"&gt;="&amp;DATE(2026,L$3,1),CxP!$B$6:$B$163,"&lt;="&amp;EOMONTH(DATE(2026,L$3,1),0))+SUMIFS('Extractos bancarios - Manglar'!$C:$C,'Extractos bancarios - Manglar'!$G:$G,$B5,'Extractos bancarios - Manglar'!$L:$L,L$3,'Extractos bancarios - Manglar'!$M:$M,"")-SUMIFS('Extractos bancarios - Manglar'!$C:$C,'Extractos bancarios - Manglar'!$G:$G,$B5,'Extractos bancarios - Manglar'!$L:$L,L$3,'Extractos bancarios - Manglar'!$M:$M,"",'Extractos bancarios - Manglar'!$K:$K,"Si")*0.19/1.19</f>
        <v>-1994129.158235294</v>
      </c>
      <c r="M5" s="30">
        <f>-SUMIFS(CxP!$K$6:$K$163,CxP!$X$6:$X$163,$B5,CxP!$Y$6:$Y$163,"Si",CxP!$B$6:$B$163,"&gt;="&amp;DATE(2026,M$3,1),CxP!$B$6:$B$163,"&lt;="&amp;EOMONTH(DATE(2026,M$3,1),0))-SUMIFS(CxP!$M$6:$M$163,CxP!$X$6:$X$163,$B5,CxP!$Y$6:$Y$163,"Si",CxP!$B$6:$B$163,"&gt;="&amp;DATE(2026,M$3,1),CxP!$B$6:$B$163,"&lt;="&amp;EOMONTH(DATE(2026,M$3,1),0))+SUMIFS('Extractos bancarios - Manglar'!$C:$C,'Extractos bancarios - Manglar'!$G:$G,$B5,'Extractos bancarios - Manglar'!$L:$L,M$3,'Extractos bancarios - Manglar'!$M:$M,"")-SUMIFS('Extractos bancarios - Manglar'!$C:$C,'Extractos bancarios - Manglar'!$G:$G,$B5,'Extractos bancarios - Manglar'!$L:$L,M$3,'Extractos bancarios - Manglar'!$M:$M,"",'Extractos bancarios - Manglar'!$K:$K,"Si")*0.19/1.19</f>
        <v>0</v>
      </c>
      <c r="N5" s="30">
        <f>-SUMIFS(CxP!$K$6:$K$163,CxP!$X$6:$X$163,$B5,CxP!$Y$6:$Y$163,"Si",CxP!$B$6:$B$163,"&gt;="&amp;DATE(2026,N$3,1),CxP!$B$6:$B$163,"&lt;="&amp;EOMONTH(DATE(2026,N$3,1),0))-SUMIFS(CxP!$M$6:$M$163,CxP!$X$6:$X$163,$B5,CxP!$Y$6:$Y$163,"Si",CxP!$B$6:$B$163,"&gt;="&amp;DATE(2026,N$3,1),CxP!$B$6:$B$163,"&lt;="&amp;EOMONTH(DATE(2026,N$3,1),0))+SUMIFS('Extractos bancarios - Manglar'!$C:$C,'Extractos bancarios - Manglar'!$G:$G,$B5,'Extractos bancarios - Manglar'!$L:$L,N$3,'Extractos bancarios - Manglar'!$M:$M,"")-SUMIFS('Extractos bancarios - Manglar'!$C:$C,'Extractos bancarios - Manglar'!$G:$G,$B5,'Extractos bancarios - Manglar'!$L:$L,N$3,'Extractos bancarios - Manglar'!$M:$M,"",'Extractos bancarios - Manglar'!$K:$K,"Si")*0.19/1.19</f>
        <v>0</v>
      </c>
      <c r="O5" s="42">
        <f t="shared" si="1"/>
        <v>-356853090.53613448</v>
      </c>
      <c r="P5" s="43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2" t="s">
        <v>147</v>
      </c>
      <c r="C6" s="23">
        <f t="shared" ref="C6:N6" si="2">+C4+C5</f>
        <v>0</v>
      </c>
      <c r="D6" s="23">
        <f t="shared" si="2"/>
        <v>0</v>
      </c>
      <c r="E6" s="23">
        <f t="shared" si="2"/>
        <v>-96100</v>
      </c>
      <c r="F6" s="23">
        <f t="shared" si="2"/>
        <v>28162675.329999998</v>
      </c>
      <c r="G6" s="23">
        <f t="shared" si="2"/>
        <v>244618108.79058823</v>
      </c>
      <c r="H6" s="23">
        <f t="shared" si="2"/>
        <v>-165231429.02000001</v>
      </c>
      <c r="I6" s="23">
        <f t="shared" si="2"/>
        <v>2948135.700000003</v>
      </c>
      <c r="J6" s="23">
        <f t="shared" si="2"/>
        <v>43940335.077394962</v>
      </c>
      <c r="K6" s="23">
        <f t="shared" si="2"/>
        <v>-58934032.255882353</v>
      </c>
      <c r="L6" s="23">
        <f t="shared" si="2"/>
        <v>34420758.841764703</v>
      </c>
      <c r="M6" s="23">
        <f t="shared" si="2"/>
        <v>0</v>
      </c>
      <c r="N6" s="23">
        <f t="shared" si="2"/>
        <v>0</v>
      </c>
      <c r="O6" s="23">
        <f t="shared" si="1"/>
        <v>129828452.46386556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2" t="s">
        <v>151</v>
      </c>
      <c r="C7" s="44" t="str">
        <f t="shared" ref="C7:O7" si="3">IFERROR(+C6/C$4,"-")</f>
        <v>-</v>
      </c>
      <c r="D7" s="44" t="str">
        <f t="shared" si="3"/>
        <v>-</v>
      </c>
      <c r="E7" s="44" t="str">
        <f t="shared" si="3"/>
        <v>-</v>
      </c>
      <c r="F7" s="44">
        <f t="shared" si="3"/>
        <v>0.70458521136073748</v>
      </c>
      <c r="G7" s="44">
        <f t="shared" si="3"/>
        <v>0.95020062933502569</v>
      </c>
      <c r="H7" s="44" t="str">
        <f t="shared" si="3"/>
        <v>-</v>
      </c>
      <c r="I7" s="44">
        <f t="shared" si="3"/>
        <v>6.9166245854322017E-2</v>
      </c>
      <c r="J7" s="44">
        <f t="shared" si="3"/>
        <v>0.70075162737551577</v>
      </c>
      <c r="K7" s="44">
        <f t="shared" si="3"/>
        <v>-1.239953779501193</v>
      </c>
      <c r="L7" s="44">
        <f t="shared" si="3"/>
        <v>0.9452386299187493</v>
      </c>
      <c r="M7" s="44" t="str">
        <f t="shared" si="3"/>
        <v>-</v>
      </c>
      <c r="N7" s="44" t="str">
        <f t="shared" si="3"/>
        <v>-</v>
      </c>
      <c r="O7" s="44">
        <f t="shared" si="3"/>
        <v>0.26676263838480013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 t="s">
        <v>156</v>
      </c>
      <c r="C8" s="43">
        <f>(SUMIFS('Extractos bancarios - Manglar'!$C:$C,'Extractos bancarios - Manglar'!$G:$G,$B8,'Extractos bancarios - Manglar'!$L:$L,C$3,'Extractos bancarios - Manglar'!$K:$K,"Si")/1.19)+SUMIFS('Extractos bancarios - Manglar'!$C:$C,'Extractos bancarios - Manglar'!$G:$G,$B8,'Extractos bancarios - Manglar'!$L:$L,C$3,'Extractos bancarios - Manglar'!$K:$K,"No")</f>
        <v>0</v>
      </c>
      <c r="D8" s="43">
        <f>(SUMIFS('Extractos bancarios - Manglar'!$C:$C,'Extractos bancarios - Manglar'!$G:$G,$B8,'Extractos bancarios - Manglar'!$L:$L,D$3,'Extractos bancarios - Manglar'!$K:$K,"Si")/1.19)+SUMIFS('Extractos bancarios - Manglar'!$C:$C,'Extractos bancarios - Manglar'!$G:$G,$B8,'Extractos bancarios - Manglar'!$L:$L,D$3,'Extractos bancarios - Manglar'!$K:$K,"No")</f>
        <v>0</v>
      </c>
      <c r="E8" s="43">
        <f>(SUMIFS('Extractos bancarios - Manglar'!$C:$C,'Extractos bancarios - Manglar'!$G:$G,$B8,'Extractos bancarios - Manglar'!$L:$L,E$3,'Extractos bancarios - Manglar'!$K:$K,"Si")/1.19)+SUMIFS('Extractos bancarios - Manglar'!$C:$C,'Extractos bancarios - Manglar'!$G:$G,$B8,'Extractos bancarios - Manglar'!$L:$L,E$3,'Extractos bancarios - Manglar'!$K:$K,"No")</f>
        <v>0</v>
      </c>
      <c r="F8" s="43">
        <f>(SUMIFS('Extractos bancarios - Manglar'!$C:$C,'Extractos bancarios - Manglar'!$G:$G,$B8,'Extractos bancarios - Manglar'!$L:$L,F$3,'Extractos bancarios - Manglar'!$K:$K,"Si")/1.19)+SUMIFS('Extractos bancarios - Manglar'!$C:$C,'Extractos bancarios - Manglar'!$G:$G,$B8,'Extractos bancarios - Manglar'!$L:$L,F$3,'Extractos bancarios - Manglar'!$K:$K,"No")</f>
        <v>0</v>
      </c>
      <c r="G8" s="43">
        <f>(SUMIFS('Extractos bancarios - Manglar'!$C:$C,'Extractos bancarios - Manglar'!$G:$G,$B8,'Extractos bancarios - Manglar'!$L:$L,G$3,'Extractos bancarios - Manglar'!$K:$K,"Si")/1.19)+SUMIFS('Extractos bancarios - Manglar'!$C:$C,'Extractos bancarios - Manglar'!$G:$G,$B8,'Extractos bancarios - Manglar'!$L:$L,G$3,'Extractos bancarios - Manglar'!$K:$K,"No")</f>
        <v>0</v>
      </c>
      <c r="H8" s="43">
        <f>(SUMIFS('Extractos bancarios - Manglar'!$C:$C,'Extractos bancarios - Manglar'!$G:$G,$B8,'Extractos bancarios - Manglar'!$L:$L,H$3,'Extractos bancarios - Manglar'!$K:$K,"Si")/1.19)+SUMIFS('Extractos bancarios - Manglar'!$C:$C,'Extractos bancarios - Manglar'!$G:$G,$B8,'Extractos bancarios - Manglar'!$L:$L,H$3,'Extractos bancarios - Manglar'!$K:$K,"No")</f>
        <v>0</v>
      </c>
      <c r="I8" s="43">
        <f>(SUMIFS('Extractos bancarios - Manglar'!$C:$C,'Extractos bancarios - Manglar'!$G:$G,$B8,'Extractos bancarios - Manglar'!$L:$L,I$3,'Extractos bancarios - Manglar'!$K:$K,"Si")/1.19)+SUMIFS('Extractos bancarios - Manglar'!$C:$C,'Extractos bancarios - Manglar'!$G:$G,$B8,'Extractos bancarios - Manglar'!$L:$L,I$3,'Extractos bancarios - Manglar'!$K:$K,"No")</f>
        <v>0</v>
      </c>
      <c r="J8" s="43">
        <f>(SUMIFS('Extractos bancarios - Manglar'!$C:$C,'Extractos bancarios - Manglar'!$G:$G,$B8,'Extractos bancarios - Manglar'!$L:$L,J$3,'Extractos bancarios - Manglar'!$K:$K,"Si")/1.19)+SUMIFS('Extractos bancarios - Manglar'!$C:$C,'Extractos bancarios - Manglar'!$G:$G,$B8,'Extractos bancarios - Manglar'!$L:$L,J$3,'Extractos bancarios - Manglar'!$K:$K,"No")</f>
        <v>0</v>
      </c>
      <c r="K8" s="43">
        <f>(SUMIFS('Extractos bancarios - Manglar'!$C:$C,'Extractos bancarios - Manglar'!$G:$G,$B8,'Extractos bancarios - Manglar'!$L:$L,K$3,'Extractos bancarios - Manglar'!$K:$K,"Si")/1.19)+SUMIFS('Extractos bancarios - Manglar'!$C:$C,'Extractos bancarios - Manglar'!$G:$G,$B8,'Extractos bancarios - Manglar'!$L:$L,K$3,'Extractos bancarios - Manglar'!$K:$K,"No")</f>
        <v>0</v>
      </c>
      <c r="L8" s="43">
        <f>(SUMIFS('Extractos bancarios - Manglar'!$C:$C,'Extractos bancarios - Manglar'!$G:$G,$B8,'Extractos bancarios - Manglar'!$L:$L,L$3,'Extractos bancarios - Manglar'!$K:$K,"Si")/1.19)+SUMIFS('Extractos bancarios - Manglar'!$C:$C,'Extractos bancarios - Manglar'!$G:$G,$B8,'Extractos bancarios - Manglar'!$L:$L,L$3,'Extractos bancarios - Manglar'!$K:$K,"No")</f>
        <v>0</v>
      </c>
      <c r="M8" s="43">
        <f>(SUMIFS('Extractos bancarios - Manglar'!$C:$C,'Extractos bancarios - Manglar'!$G:$G,$B8,'Extractos bancarios - Manglar'!$L:$L,M$3,'Extractos bancarios - Manglar'!$K:$K,"Si")/1.19)+SUMIFS('Extractos bancarios - Manglar'!$C:$C,'Extractos bancarios - Manglar'!$G:$G,$B8,'Extractos bancarios - Manglar'!$L:$L,M$3,'Extractos bancarios - Manglar'!$K:$K,"No")</f>
        <v>0</v>
      </c>
      <c r="N8" s="43">
        <f>(SUMIFS('Extractos bancarios - Manglar'!$C:$C,'Extractos bancarios - Manglar'!$G:$G,$B8,'Extractos bancarios - Manglar'!$L:$L,N$3,'Extractos bancarios - Manglar'!$K:$K,"Si")/1.19)+SUMIFS('Extractos bancarios - Manglar'!$C:$C,'Extractos bancarios - Manglar'!$G:$G,$B8,'Extractos bancarios - Manglar'!$L:$L,N$3,'Extractos bancarios - Manglar'!$K:$K,"No")</f>
        <v>0</v>
      </c>
      <c r="O8" s="23">
        <f t="shared" ref="O8:O13" si="4">+SUM(C8:N8)</f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 t="s">
        <v>186</v>
      </c>
      <c r="C9" s="52">
        <f>-SUMIFS(CxP!$K$6:$K$163,CxP!$X$6:$X$163,$B9,CxP!$Y$6:$Y$163,"Si",CxP!$B$6:$B$163,"&gt;="&amp;DATE(2026,C$3,1),CxP!$B$6:$B$163,"&lt;="&amp;EOMONTH(DATE(2026,C$3,1),0))-SUMIFS(CxP!$M$6:$M$163,CxP!$X$6:$X$163,$B9,CxP!$Y$6:$Y$163,"Si",CxP!$B$6:$B$163,"&gt;="&amp;DATE(2026,C$3,1),CxP!$B$6:$B$163,"&lt;="&amp;EOMONTH(DATE(2026,C$3,1),0))+SUMIFS('Extractos bancarios - Manglar'!$C:$C,'Extractos bancarios - Manglar'!$G:$G,$B9,'Extractos bancarios - Manglar'!$L:$L,C$3,'Extractos bancarios - Manglar'!$M:$M,"")-SUMIFS('Extractos bancarios - Manglar'!$C:$C,'Extractos bancarios - Manglar'!$G:$G,$B9,'Extractos bancarios - Manglar'!$L:$L,C$3,'Extractos bancarios - Manglar'!$M:$M,"",'Extractos bancarios - Manglar'!$K:$K,"Si")*0.19/1.19</f>
        <v>0</v>
      </c>
      <c r="D9" s="52">
        <f>-SUMIFS(CxP!$K$6:$K$163,CxP!$X$6:$X$163,$B9,CxP!$Y$6:$Y$163,"Si",CxP!$B$6:$B$163,"&gt;="&amp;DATE(2026,D$3,1),CxP!$B$6:$B$163,"&lt;="&amp;EOMONTH(DATE(2026,D$3,1),0))-SUMIFS(CxP!$M$6:$M$163,CxP!$X$6:$X$163,$B9,CxP!$Y$6:$Y$163,"Si",CxP!$B$6:$B$163,"&gt;="&amp;DATE(2026,D$3,1),CxP!$B$6:$B$163,"&lt;="&amp;EOMONTH(DATE(2026,D$3,1),0))+SUMIFS('Extractos bancarios - Manglar'!$C:$C,'Extractos bancarios - Manglar'!$G:$G,$B9,'Extractos bancarios - Manglar'!$L:$L,D$3,'Extractos bancarios - Manglar'!$M:$M,"")-SUMIFS('Extractos bancarios - Manglar'!$C:$C,'Extractos bancarios - Manglar'!$G:$G,$B9,'Extractos bancarios - Manglar'!$L:$L,D$3,'Extractos bancarios - Manglar'!$M:$M,"",'Extractos bancarios - Manglar'!$K:$K,"Si")*0.19/1.19</f>
        <v>0</v>
      </c>
      <c r="E9" s="52">
        <f>-SUMIFS(CxP!$K$6:$K$163,CxP!$X$6:$X$163,$B9,CxP!$Y$6:$Y$163,"Si",CxP!$B$6:$B$163,"&gt;="&amp;DATE(2026,E$3,1),CxP!$B$6:$B$163,"&lt;="&amp;EOMONTH(DATE(2026,E$3,1),0))-SUMIFS(CxP!$M$6:$M$163,CxP!$X$6:$X$163,$B9,CxP!$Y$6:$Y$163,"Si",CxP!$B$6:$B$163,"&gt;="&amp;DATE(2026,E$3,1),CxP!$B$6:$B$163,"&lt;="&amp;EOMONTH(DATE(2026,E$3,1),0))+SUMIFS('Extractos bancarios - Manglar'!$C:$C,'Extractos bancarios - Manglar'!$G:$G,$B9,'Extractos bancarios - Manglar'!$L:$L,E$3,'Extractos bancarios - Manglar'!$M:$M,"")-SUMIFS('Extractos bancarios - Manglar'!$C:$C,'Extractos bancarios - Manglar'!$G:$G,$B9,'Extractos bancarios - Manglar'!$L:$L,E$3,'Extractos bancarios - Manglar'!$M:$M,"",'Extractos bancarios - Manglar'!$K:$K,"Si")*0.19/1.19</f>
        <v>-18050</v>
      </c>
      <c r="F9" s="52">
        <f>-SUMIFS(CxP!$K$6:$K$163,CxP!$X$6:$X$163,$B9,CxP!$Y$6:$Y$163,"Si",CxP!$B$6:$B$163,"&gt;="&amp;DATE(2026,F$3,1),CxP!$B$6:$B$163,"&lt;="&amp;EOMONTH(DATE(2026,F$3,1),0))-SUMIFS(CxP!$M$6:$M$163,CxP!$X$6:$X$163,$B9,CxP!$Y$6:$Y$163,"Si",CxP!$B$6:$B$163,"&gt;="&amp;DATE(2026,F$3,1),CxP!$B$6:$B$163,"&lt;="&amp;EOMONTH(DATE(2026,F$3,1),0))+SUMIFS('Extractos bancarios - Manglar'!$C:$C,'Extractos bancarios - Manglar'!$G:$G,$B9,'Extractos bancarios - Manglar'!$L:$L,F$3,'Extractos bancarios - Manglar'!$M:$M,"")-SUMIFS('Extractos bancarios - Manglar'!$C:$C,'Extractos bancarios - Manglar'!$G:$G,$B9,'Extractos bancarios - Manglar'!$L:$L,F$3,'Extractos bancarios - Manglar'!$M:$M,"",'Extractos bancarios - Manglar'!$K:$K,"Si")*0.19/1.19</f>
        <v>-18050</v>
      </c>
      <c r="G9" s="52">
        <f>-SUMIFS(CxP!$K$6:$K$163,CxP!$X$6:$X$163,$B9,CxP!$Y$6:$Y$163,"Si",CxP!$B$6:$B$163,"&gt;="&amp;DATE(2026,G$3,1),CxP!$B$6:$B$163,"&lt;="&amp;EOMONTH(DATE(2026,G$3,1),0))-SUMIFS(CxP!$M$6:$M$163,CxP!$X$6:$X$163,$B9,CxP!$Y$6:$Y$163,"Si",CxP!$B$6:$B$163,"&gt;="&amp;DATE(2026,G$3,1),CxP!$B$6:$B$163,"&lt;="&amp;EOMONTH(DATE(2026,G$3,1),0))+SUMIFS('Extractos bancarios - Manglar'!$C:$C,'Extractos bancarios - Manglar'!$G:$G,$B9,'Extractos bancarios - Manglar'!$L:$L,G$3,'Extractos bancarios - Manglar'!$M:$M,"")-SUMIFS('Extractos bancarios - Manglar'!$C:$C,'Extractos bancarios - Manglar'!$G:$G,$B9,'Extractos bancarios - Manglar'!$L:$L,G$3,'Extractos bancarios - Manglar'!$M:$M,"",'Extractos bancarios - Manglar'!$K:$K,"Si")*0.19/1.19</f>
        <v>-18050</v>
      </c>
      <c r="H9" s="52">
        <f>-SUMIFS(CxP!$K$6:$K$163,CxP!$X$6:$X$163,$B9,CxP!$Y$6:$Y$163,"Si",CxP!$B$6:$B$163,"&gt;="&amp;DATE(2026,H$3,1),CxP!$B$6:$B$163,"&lt;="&amp;EOMONTH(DATE(2026,H$3,1),0))-SUMIFS(CxP!$M$6:$M$163,CxP!$X$6:$X$163,$B9,CxP!$Y$6:$Y$163,"Si",CxP!$B$6:$B$163,"&gt;="&amp;DATE(2026,H$3,1),CxP!$B$6:$B$163,"&lt;="&amp;EOMONTH(DATE(2026,H$3,1),0))+SUMIFS('Extractos bancarios - Manglar'!$C:$C,'Extractos bancarios - Manglar'!$G:$G,$B9,'Extractos bancarios - Manglar'!$L:$L,H$3,'Extractos bancarios - Manglar'!$M:$M,"")-SUMIFS('Extractos bancarios - Manglar'!$C:$C,'Extractos bancarios - Manglar'!$G:$G,$B9,'Extractos bancarios - Manglar'!$L:$L,H$3,'Extractos bancarios - Manglar'!$M:$M,"",'Extractos bancarios - Manglar'!$K:$K,"Si")*0.19/1.19</f>
        <v>-18050</v>
      </c>
      <c r="I9" s="52">
        <f>-SUMIFS(CxP!$K$6:$K$163,CxP!$X$6:$X$163,$B9,CxP!$Y$6:$Y$163,"Si",CxP!$B$6:$B$163,"&gt;="&amp;DATE(2026,I$3,1),CxP!$B$6:$B$163,"&lt;="&amp;EOMONTH(DATE(2026,I$3,1),0))-SUMIFS(CxP!$M$6:$M$163,CxP!$X$6:$X$163,$B9,CxP!$Y$6:$Y$163,"Si",CxP!$B$6:$B$163,"&gt;="&amp;DATE(2026,I$3,1),CxP!$B$6:$B$163,"&lt;="&amp;EOMONTH(DATE(2026,I$3,1),0))+SUMIFS('Extractos bancarios - Manglar'!$C:$C,'Extractos bancarios - Manglar'!$G:$G,$B9,'Extractos bancarios - Manglar'!$L:$L,I$3,'Extractos bancarios - Manglar'!$M:$M,"")-SUMIFS('Extractos bancarios - Manglar'!$C:$C,'Extractos bancarios - Manglar'!$G:$G,$B9,'Extractos bancarios - Manglar'!$L:$L,I$3,'Extractos bancarios - Manglar'!$M:$M,"",'Extractos bancarios - Manglar'!$K:$K,"Si")*0.19/1.19</f>
        <v>-18050</v>
      </c>
      <c r="J9" s="52">
        <f>-SUMIFS(CxP!$K$6:$K$163,CxP!$X$6:$X$163,$B9,CxP!$Y$6:$Y$163,"Si",CxP!$B$6:$B$163,"&gt;="&amp;DATE(2026,J$3,1),CxP!$B$6:$B$163,"&lt;="&amp;EOMONTH(DATE(2026,J$3,1),0))-SUMIFS(CxP!$M$6:$M$163,CxP!$X$6:$X$163,$B9,CxP!$Y$6:$Y$163,"Si",CxP!$B$6:$B$163,"&gt;="&amp;DATE(2026,J$3,1),CxP!$B$6:$B$163,"&lt;="&amp;EOMONTH(DATE(2026,J$3,1),0))+SUMIFS('Extractos bancarios - Manglar'!$C:$C,'Extractos bancarios - Manglar'!$G:$G,$B9,'Extractos bancarios - Manglar'!$L:$L,J$3,'Extractos bancarios - Manglar'!$M:$M,"")-SUMIFS('Extractos bancarios - Manglar'!$C:$C,'Extractos bancarios - Manglar'!$G:$G,$B9,'Extractos bancarios - Manglar'!$L:$L,J$3,'Extractos bancarios - Manglar'!$M:$M,"",'Extractos bancarios - Manglar'!$K:$K,"Si")*0.19/1.19</f>
        <v>-18050</v>
      </c>
      <c r="K9" s="52">
        <f>-SUMIFS(CxP!$K$6:$K$163,CxP!$X$6:$X$163,$B9,CxP!$Y$6:$Y$163,"Si",CxP!$B$6:$B$163,"&gt;="&amp;DATE(2026,K$3,1),CxP!$B$6:$B$163,"&lt;="&amp;EOMONTH(DATE(2026,K$3,1),0))-SUMIFS(CxP!$M$6:$M$163,CxP!$X$6:$X$163,$B9,CxP!$Y$6:$Y$163,"Si",CxP!$B$6:$B$163,"&gt;="&amp;DATE(2026,K$3,1),CxP!$B$6:$B$163,"&lt;="&amp;EOMONTH(DATE(2026,K$3,1),0))+SUMIFS('Extractos bancarios - Manglar'!$C:$C,'Extractos bancarios - Manglar'!$G:$G,$B9,'Extractos bancarios - Manglar'!$L:$L,K$3,'Extractos bancarios - Manglar'!$M:$M,"")-SUMIFS('Extractos bancarios - Manglar'!$C:$C,'Extractos bancarios - Manglar'!$G:$G,$B9,'Extractos bancarios - Manglar'!$L:$L,K$3,'Extractos bancarios - Manglar'!$M:$M,"",'Extractos bancarios - Manglar'!$K:$K,"Si")*0.19/1.19</f>
        <v>-18050</v>
      </c>
      <c r="L9" s="52">
        <f>-SUMIFS(CxP!$K$6:$K$163,CxP!$X$6:$X$163,$B9,CxP!$Y$6:$Y$163,"Si",CxP!$B$6:$B$163,"&gt;="&amp;DATE(2026,L$3,1),CxP!$B$6:$B$163,"&lt;="&amp;EOMONTH(DATE(2026,L$3,1),0))-SUMIFS(CxP!$M$6:$M$163,CxP!$X$6:$X$163,$B9,CxP!$Y$6:$Y$163,"Si",CxP!$B$6:$B$163,"&gt;="&amp;DATE(2026,L$3,1),CxP!$B$6:$B$163,"&lt;="&amp;EOMONTH(DATE(2026,L$3,1),0))+SUMIFS('Extractos bancarios - Manglar'!$C:$C,'Extractos bancarios - Manglar'!$G:$G,$B9,'Extractos bancarios - Manglar'!$L:$L,L$3,'Extractos bancarios - Manglar'!$M:$M,"")-SUMIFS('Extractos bancarios - Manglar'!$C:$C,'Extractos bancarios - Manglar'!$G:$G,$B9,'Extractos bancarios - Manglar'!$L:$L,L$3,'Extractos bancarios - Manglar'!$M:$M,"",'Extractos bancarios - Manglar'!$K:$K,"Si")*0.19/1.19</f>
        <v>-18050</v>
      </c>
      <c r="M9" s="52">
        <f>-SUMIFS(CxP!$K$6:$K$163,CxP!$X$6:$X$163,$B9,CxP!$Y$6:$Y$163,"Si",CxP!$B$6:$B$163,"&gt;="&amp;DATE(2026,M$3,1),CxP!$B$6:$B$163,"&lt;="&amp;EOMONTH(DATE(2026,M$3,1),0))-SUMIFS(CxP!$M$6:$M$163,CxP!$X$6:$X$163,$B9,CxP!$Y$6:$Y$163,"Si",CxP!$B$6:$B$163,"&gt;="&amp;DATE(2026,M$3,1),CxP!$B$6:$B$163,"&lt;="&amp;EOMONTH(DATE(2026,M$3,1),0))+SUMIFS('Extractos bancarios - Manglar'!$C:$C,'Extractos bancarios - Manglar'!$G:$G,$B9,'Extractos bancarios - Manglar'!$L:$L,M$3,'Extractos bancarios - Manglar'!$M:$M,"")-SUMIFS('Extractos bancarios - Manglar'!$C:$C,'Extractos bancarios - Manglar'!$G:$G,$B9,'Extractos bancarios - Manglar'!$L:$L,M$3,'Extractos bancarios - Manglar'!$M:$M,"",'Extractos bancarios - Manglar'!$K:$K,"Si")*0.19/1.19</f>
        <v>0</v>
      </c>
      <c r="N9" s="52">
        <f>-SUMIFS(CxP!$K$6:$K$163,CxP!$X$6:$X$163,$B9,CxP!$Y$6:$Y$163,"Si",CxP!$B$6:$B$163,"&gt;="&amp;DATE(2026,N$3,1),CxP!$B$6:$B$163,"&lt;="&amp;EOMONTH(DATE(2026,N$3,1),0))-SUMIFS(CxP!$M$6:$M$163,CxP!$X$6:$X$163,$B9,CxP!$Y$6:$Y$163,"Si",CxP!$B$6:$B$163,"&gt;="&amp;DATE(2026,N$3,1),CxP!$B$6:$B$163,"&lt;="&amp;EOMONTH(DATE(2026,N$3,1),0))+SUMIFS('Extractos bancarios - Manglar'!$C:$C,'Extractos bancarios - Manglar'!$G:$G,$B9,'Extractos bancarios - Manglar'!$L:$L,N$3,'Extractos bancarios - Manglar'!$M:$M,"")-SUMIFS('Extractos bancarios - Manglar'!$C:$C,'Extractos bancarios - Manglar'!$G:$G,$B9,'Extractos bancarios - Manglar'!$L:$L,N$3,'Extractos bancarios - Manglar'!$M:$M,"",'Extractos bancarios - Manglar'!$K:$K,"Si")*0.19/1.19</f>
        <v>0</v>
      </c>
      <c r="O9" s="23">
        <f t="shared" si="4"/>
        <v>-144400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 t="s">
        <v>260</v>
      </c>
      <c r="C10" s="52">
        <f>-SUMIFS(CxP!$K$6:$K$163,CxP!$X$6:$X$163,$B10,CxP!$Y$6:$Y$163,"Si",CxP!$B$6:$B$163,"&gt;="&amp;DATE(2026,C$3,1),CxP!$B$6:$B$163,"&lt;="&amp;EOMONTH(DATE(2026,C$3,1),0))-SUMIFS(CxP!$M$6:$M$163,CxP!$X$6:$X$163,$B10,CxP!$Y$6:$Y$163,"Si",CxP!$B$6:$B$163,"&gt;="&amp;DATE(2026,C$3,1),CxP!$B$6:$B$163,"&lt;="&amp;EOMONTH(DATE(2026,C$3,1),0))+SUMIFS('Extractos bancarios - Manglar'!$C:$C,'Extractos bancarios - Manglar'!$G:$G,$B10,'Extractos bancarios - Manglar'!$L:$L,C$3,'Extractos bancarios - Manglar'!$M:$M,"")-SUMIFS('Extractos bancarios - Manglar'!$C:$C,'Extractos bancarios - Manglar'!$G:$G,$B10,'Extractos bancarios - Manglar'!$L:$L,C$3,'Extractos bancarios - Manglar'!$M:$M,"",'Extractos bancarios - Manglar'!$K:$K,"Si")*0.19/1.19</f>
        <v>0</v>
      </c>
      <c r="D10" s="52">
        <f>-SUMIFS(CxP!$K$6:$K$163,CxP!$X$6:$X$163,$B10,CxP!$Y$6:$Y$163,"Si",CxP!$B$6:$B$163,"&gt;="&amp;DATE(2026,D$3,1),CxP!$B$6:$B$163,"&lt;="&amp;EOMONTH(DATE(2026,D$3,1),0))-SUMIFS(CxP!$M$6:$M$163,CxP!$X$6:$X$163,$B10,CxP!$Y$6:$Y$163,"Si",CxP!$B$6:$B$163,"&gt;="&amp;DATE(2026,D$3,1),CxP!$B$6:$B$163,"&lt;="&amp;EOMONTH(DATE(2026,D$3,1),0))+SUMIFS('Extractos bancarios - Manglar'!$C:$C,'Extractos bancarios - Manglar'!$G:$G,$B10,'Extractos bancarios - Manglar'!$L:$L,D$3,'Extractos bancarios - Manglar'!$M:$M,"")-SUMIFS('Extractos bancarios - Manglar'!$C:$C,'Extractos bancarios - Manglar'!$G:$G,$B10,'Extractos bancarios - Manglar'!$L:$L,D$3,'Extractos bancarios - Manglar'!$M:$M,"",'Extractos bancarios - Manglar'!$K:$K,"Si")*0.19/1.19</f>
        <v>0</v>
      </c>
      <c r="E10" s="52">
        <f>-SUMIFS(CxP!$K$6:$K$163,CxP!$X$6:$X$163,$B10,CxP!$Y$6:$Y$163,"Si",CxP!$B$6:$B$163,"&gt;="&amp;DATE(2026,E$3,1),CxP!$B$6:$B$163,"&lt;="&amp;EOMONTH(DATE(2026,E$3,1),0))-SUMIFS(CxP!$M$6:$M$163,CxP!$X$6:$X$163,$B10,CxP!$Y$6:$Y$163,"Si",CxP!$B$6:$B$163,"&gt;="&amp;DATE(2026,E$3,1),CxP!$B$6:$B$163,"&lt;="&amp;EOMONTH(DATE(2026,E$3,1),0))+SUMIFS('Extractos bancarios - Manglar'!$C:$C,'Extractos bancarios - Manglar'!$G:$G,$B10,'Extractos bancarios - Manglar'!$L:$L,E$3,'Extractos bancarios - Manglar'!$M:$M,"")-SUMIFS('Extractos bancarios - Manglar'!$C:$C,'Extractos bancarios - Manglar'!$G:$G,$B10,'Extractos bancarios - Manglar'!$L:$L,E$3,'Extractos bancarios - Manglar'!$M:$M,"",'Extractos bancarios - Manglar'!$K:$K,"Si")*0.19/1.19</f>
        <v>-667854</v>
      </c>
      <c r="F10" s="52">
        <f>-SUMIFS(CxP!$K$6:$K$163,CxP!$X$6:$X$163,$B10,CxP!$Y$6:$Y$163,"Si",CxP!$B$6:$B$163,"&gt;="&amp;DATE(2026,F$3,1),CxP!$B$6:$B$163,"&lt;="&amp;EOMONTH(DATE(2026,F$3,1),0))-SUMIFS(CxP!$M$6:$M$163,CxP!$X$6:$X$163,$B10,CxP!$Y$6:$Y$163,"Si",CxP!$B$6:$B$163,"&gt;="&amp;DATE(2026,F$3,1),CxP!$B$6:$B$163,"&lt;="&amp;EOMONTH(DATE(2026,F$3,1),0))+SUMIFS('Extractos bancarios - Manglar'!$C:$C,'Extractos bancarios - Manglar'!$G:$G,$B10,'Extractos bancarios - Manglar'!$L:$L,F$3,'Extractos bancarios - Manglar'!$M:$M,"")-SUMIFS('Extractos bancarios - Manglar'!$C:$C,'Extractos bancarios - Manglar'!$G:$G,$B10,'Extractos bancarios - Manglar'!$L:$L,F$3,'Extractos bancarios - Manglar'!$M:$M,"",'Extractos bancarios - Manglar'!$K:$K,"Si")*0.19/1.19</f>
        <v>-222529</v>
      </c>
      <c r="G10" s="52">
        <f>-SUMIFS(CxP!$K$6:$K$163,CxP!$X$6:$X$163,$B10,CxP!$Y$6:$Y$163,"Si",CxP!$B$6:$B$163,"&gt;="&amp;DATE(2026,G$3,1),CxP!$B$6:$B$163,"&lt;="&amp;EOMONTH(DATE(2026,G$3,1),0))-SUMIFS(CxP!$M$6:$M$163,CxP!$X$6:$X$163,$B10,CxP!$Y$6:$Y$163,"Si",CxP!$B$6:$B$163,"&gt;="&amp;DATE(2026,G$3,1),CxP!$B$6:$B$163,"&lt;="&amp;EOMONTH(DATE(2026,G$3,1),0))+SUMIFS('Extractos bancarios - Manglar'!$C:$C,'Extractos bancarios - Manglar'!$G:$G,$B10,'Extractos bancarios - Manglar'!$L:$L,G$3,'Extractos bancarios - Manglar'!$M:$M,"")-SUMIFS('Extractos bancarios - Manglar'!$C:$C,'Extractos bancarios - Manglar'!$G:$G,$B10,'Extractos bancarios - Manglar'!$L:$L,G$3,'Extractos bancarios - Manglar'!$M:$M,"",'Extractos bancarios - Manglar'!$K:$K,"Si")*0.19/1.19</f>
        <v>-339061</v>
      </c>
      <c r="H10" s="52">
        <f>-SUMIFS(CxP!$K$6:$K$163,CxP!$X$6:$X$163,$B10,CxP!$Y$6:$Y$163,"Si",CxP!$B$6:$B$163,"&gt;="&amp;DATE(2026,H$3,1),CxP!$B$6:$B$163,"&lt;="&amp;EOMONTH(DATE(2026,H$3,1),0))-SUMIFS(CxP!$M$6:$M$163,CxP!$X$6:$X$163,$B10,CxP!$Y$6:$Y$163,"Si",CxP!$B$6:$B$163,"&gt;="&amp;DATE(2026,H$3,1),CxP!$B$6:$B$163,"&lt;="&amp;EOMONTH(DATE(2026,H$3,1),0))+SUMIFS('Extractos bancarios - Manglar'!$C:$C,'Extractos bancarios - Manglar'!$G:$G,$B10,'Extractos bancarios - Manglar'!$L:$L,H$3,'Extractos bancarios - Manglar'!$M:$M,"")-SUMIFS('Extractos bancarios - Manglar'!$C:$C,'Extractos bancarios - Manglar'!$G:$G,$B10,'Extractos bancarios - Manglar'!$L:$L,H$3,'Extractos bancarios - Manglar'!$M:$M,"",'Extractos bancarios - Manglar'!$K:$K,"Si")*0.19/1.19</f>
        <v>-1134601.01</v>
      </c>
      <c r="I10" s="52">
        <f>-SUMIFS(CxP!$K$6:$K$163,CxP!$X$6:$X$163,$B10,CxP!$Y$6:$Y$163,"Si",CxP!$B$6:$B$163,"&gt;="&amp;DATE(2026,I$3,1),CxP!$B$6:$B$163,"&lt;="&amp;EOMONTH(DATE(2026,I$3,1),0))-SUMIFS(CxP!$M$6:$M$163,CxP!$X$6:$X$163,$B10,CxP!$Y$6:$Y$163,"Si",CxP!$B$6:$B$163,"&gt;="&amp;DATE(2026,I$3,1),CxP!$B$6:$B$163,"&lt;="&amp;EOMONTH(DATE(2026,I$3,1),0))+SUMIFS('Extractos bancarios - Manglar'!$C:$C,'Extractos bancarios - Manglar'!$G:$G,$B10,'Extractos bancarios - Manglar'!$L:$L,I$3,'Extractos bancarios - Manglar'!$M:$M,"")-SUMIFS('Extractos bancarios - Manglar'!$C:$C,'Extractos bancarios - Manglar'!$G:$G,$B10,'Extractos bancarios - Manglar'!$L:$L,I$3,'Extractos bancarios - Manglar'!$M:$M,"",'Extractos bancarios - Manglar'!$K:$K,"Si")*0.19/1.19</f>
        <v>-11200397.05882353</v>
      </c>
      <c r="J10" s="52">
        <f>-SUMIFS(CxP!$K$6:$K$163,CxP!$X$6:$X$163,$B10,CxP!$Y$6:$Y$163,"Si",CxP!$B$6:$B$163,"&gt;="&amp;DATE(2026,J$3,1),CxP!$B$6:$B$163,"&lt;="&amp;EOMONTH(DATE(2026,J$3,1),0))-SUMIFS(CxP!$M$6:$M$163,CxP!$X$6:$X$163,$B10,CxP!$Y$6:$Y$163,"Si",CxP!$B$6:$B$163,"&gt;="&amp;DATE(2026,J$3,1),CxP!$B$6:$B$163,"&lt;="&amp;EOMONTH(DATE(2026,J$3,1),0))+SUMIFS('Extractos bancarios - Manglar'!$C:$C,'Extractos bancarios - Manglar'!$G:$G,$B10,'Extractos bancarios - Manglar'!$L:$L,J$3,'Extractos bancarios - Manglar'!$M:$M,"")-SUMIFS('Extractos bancarios - Manglar'!$C:$C,'Extractos bancarios - Manglar'!$G:$G,$B10,'Extractos bancarios - Manglar'!$L:$L,J$3,'Extractos bancarios - Manglar'!$M:$M,"",'Extractos bancarios - Manglar'!$K:$K,"Si")*0.19/1.19</f>
        <v>-531388.66613445373</v>
      </c>
      <c r="K10" s="52">
        <f>-SUMIFS(CxP!$K$6:$K$163,CxP!$X$6:$X$163,$B10,CxP!$Y$6:$Y$163,"Si",CxP!$B$6:$B$163,"&gt;="&amp;DATE(2026,K$3,1),CxP!$B$6:$B$163,"&lt;="&amp;EOMONTH(DATE(2026,K$3,1),0))-SUMIFS(CxP!$M$6:$M$163,CxP!$X$6:$X$163,$B10,CxP!$Y$6:$Y$163,"Si",CxP!$B$6:$B$163,"&gt;="&amp;DATE(2026,K$3,1),CxP!$B$6:$B$163,"&lt;="&amp;EOMONTH(DATE(2026,K$3,1),0))+SUMIFS('Extractos bancarios - Manglar'!$C:$C,'Extractos bancarios - Manglar'!$G:$G,$B10,'Extractos bancarios - Manglar'!$L:$L,K$3,'Extractos bancarios - Manglar'!$M:$M,"")-SUMIFS('Extractos bancarios - Manglar'!$C:$C,'Extractos bancarios - Manglar'!$G:$G,$B10,'Extractos bancarios - Manglar'!$L:$L,K$3,'Extractos bancarios - Manglar'!$M:$M,"",'Extractos bancarios - Manglar'!$K:$K,"Si")*0.19/1.19</f>
        <v>-7932391.5042016814</v>
      </c>
      <c r="L10" s="52">
        <f>-SUMIFS(CxP!$K$6:$K$163,CxP!$X$6:$X$163,$B10,CxP!$Y$6:$Y$163,"Si",CxP!$B$6:$B$163,"&gt;="&amp;DATE(2026,L$3,1),CxP!$B$6:$B$163,"&lt;="&amp;EOMONTH(DATE(2026,L$3,1),0))-SUMIFS(CxP!$M$6:$M$163,CxP!$X$6:$X$163,$B10,CxP!$Y$6:$Y$163,"Si",CxP!$B$6:$B$163,"&gt;="&amp;DATE(2026,L$3,1),CxP!$B$6:$B$163,"&lt;="&amp;EOMONTH(DATE(2026,L$3,1),0))+SUMIFS('Extractos bancarios - Manglar'!$C:$C,'Extractos bancarios - Manglar'!$G:$G,$B10,'Extractos bancarios - Manglar'!$L:$L,L$3,'Extractos bancarios - Manglar'!$M:$M,"")-SUMIFS('Extractos bancarios - Manglar'!$C:$C,'Extractos bancarios - Manglar'!$G:$G,$B10,'Extractos bancarios - Manglar'!$L:$L,L$3,'Extractos bancarios - Manglar'!$M:$M,"",'Extractos bancarios - Manglar'!$K:$K,"Si")*0.19/1.19</f>
        <v>-6145179.6699999999</v>
      </c>
      <c r="M10" s="52">
        <f>-SUMIFS(CxP!$K$6:$K$163,CxP!$X$6:$X$163,$B10,CxP!$Y$6:$Y$163,"Si",CxP!$B$6:$B$163,"&gt;="&amp;DATE(2026,M$3,1),CxP!$B$6:$B$163,"&lt;="&amp;EOMONTH(DATE(2026,M$3,1),0))-SUMIFS(CxP!$M$6:$M$163,CxP!$X$6:$X$163,$B10,CxP!$Y$6:$Y$163,"Si",CxP!$B$6:$B$163,"&gt;="&amp;DATE(2026,M$3,1),CxP!$B$6:$B$163,"&lt;="&amp;EOMONTH(DATE(2026,M$3,1),0))+SUMIFS('Extractos bancarios - Manglar'!$C:$C,'Extractos bancarios - Manglar'!$G:$G,$B10,'Extractos bancarios - Manglar'!$L:$L,M$3,'Extractos bancarios - Manglar'!$M:$M,"")-SUMIFS('Extractos bancarios - Manglar'!$C:$C,'Extractos bancarios - Manglar'!$G:$G,$B10,'Extractos bancarios - Manglar'!$L:$L,M$3,'Extractos bancarios - Manglar'!$M:$M,"",'Extractos bancarios - Manglar'!$K:$K,"Si")*0.19/1.19</f>
        <v>0</v>
      </c>
      <c r="N10" s="52">
        <f>-SUMIFS(CxP!$K$6:$K$163,CxP!$X$6:$X$163,$B10,CxP!$Y$6:$Y$163,"Si",CxP!$B$6:$B$163,"&gt;="&amp;DATE(2026,N$3,1),CxP!$B$6:$B$163,"&lt;="&amp;EOMONTH(DATE(2026,N$3,1),0))-SUMIFS(CxP!$M$6:$M$163,CxP!$X$6:$X$163,$B10,CxP!$Y$6:$Y$163,"Si",CxP!$B$6:$B$163,"&gt;="&amp;DATE(2026,N$3,1),CxP!$B$6:$B$163,"&lt;="&amp;EOMONTH(DATE(2026,N$3,1),0))+SUMIFS('Extractos bancarios - Manglar'!$C:$C,'Extractos bancarios - Manglar'!$G:$G,$B10,'Extractos bancarios - Manglar'!$L:$L,N$3,'Extractos bancarios - Manglar'!$M:$M,"")-SUMIFS('Extractos bancarios - Manglar'!$C:$C,'Extractos bancarios - Manglar'!$G:$G,$B10,'Extractos bancarios - Manglar'!$L:$L,N$3,'Extractos bancarios - Manglar'!$M:$M,"",'Extractos bancarios - Manglar'!$K:$K,"Si")*0.19/1.19</f>
        <v>0</v>
      </c>
      <c r="O10" s="23">
        <f t="shared" si="4"/>
        <v>-28173401.909159668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 t="s">
        <v>322</v>
      </c>
      <c r="C11" s="52">
        <f>-SUMIFS(CxP!$K$6:$K$163,CxP!$X$6:$X$163,$B11,CxP!$Y$6:$Y$163,"Si",CxP!$B$6:$B$163,"&gt;="&amp;DATE(2026,C$3,1),CxP!$B$6:$B$163,"&lt;="&amp;EOMONTH(DATE(2026,C$3,1),0))-SUMIFS(CxP!$M$6:$M$163,CxP!$X$6:$X$163,$B11,CxP!$Y$6:$Y$163,"Si",CxP!$B$6:$B$163,"&gt;="&amp;DATE(2026,C$3,1),CxP!$B$6:$B$163,"&lt;="&amp;EOMONTH(DATE(2026,C$3,1),0))+SUMIFS('Extractos bancarios - Manglar'!$C:$C,'Extractos bancarios - Manglar'!$G:$G,$B11,'Extractos bancarios - Manglar'!$L:$L,C$3,'Extractos bancarios - Manglar'!$M:$M,"")-SUMIFS('Extractos bancarios - Manglar'!$C:$C,'Extractos bancarios - Manglar'!$G:$G,$B11,'Extractos bancarios - Manglar'!$L:$L,C$3,'Extractos bancarios - Manglar'!$M:$M,"",'Extractos bancarios - Manglar'!$K:$K,"Si")*0.19/1.19</f>
        <v>0</v>
      </c>
      <c r="D11" s="52">
        <f>-SUMIFS(CxP!$K$6:$K$163,CxP!$X$6:$X$163,$B11,CxP!$Y$6:$Y$163,"Si",CxP!$B$6:$B$163,"&gt;="&amp;DATE(2026,D$3,1),CxP!$B$6:$B$163,"&lt;="&amp;EOMONTH(DATE(2026,D$3,1),0))-SUMIFS(CxP!$M$6:$M$163,CxP!$X$6:$X$163,$B11,CxP!$Y$6:$Y$163,"Si",CxP!$B$6:$B$163,"&gt;="&amp;DATE(2026,D$3,1),CxP!$B$6:$B$163,"&lt;="&amp;EOMONTH(DATE(2026,D$3,1),0))+SUMIFS('Extractos bancarios - Manglar'!$C:$C,'Extractos bancarios - Manglar'!$G:$G,$B11,'Extractos bancarios - Manglar'!$L:$L,D$3,'Extractos bancarios - Manglar'!$M:$M,"")-SUMIFS('Extractos bancarios - Manglar'!$C:$C,'Extractos bancarios - Manglar'!$G:$G,$B11,'Extractos bancarios - Manglar'!$L:$L,D$3,'Extractos bancarios - Manglar'!$M:$M,"",'Extractos bancarios - Manglar'!$K:$K,"Si")*0.19/1.19</f>
        <v>0</v>
      </c>
      <c r="E11" s="52">
        <f>-SUMIFS(CxP!$K$6:$K$163,CxP!$X$6:$X$163,$B11,CxP!$Y$6:$Y$163,"Si",CxP!$B$6:$B$163,"&gt;="&amp;DATE(2026,E$3,1),CxP!$B$6:$B$163,"&lt;="&amp;EOMONTH(DATE(2026,E$3,1),0))-SUMIFS(CxP!$M$6:$M$163,CxP!$X$6:$X$163,$B11,CxP!$Y$6:$Y$163,"Si",CxP!$B$6:$B$163,"&gt;="&amp;DATE(2026,E$3,1),CxP!$B$6:$B$163,"&lt;="&amp;EOMONTH(DATE(2026,E$3,1),0))+SUMIFS('Extractos bancarios - Manglar'!$C:$C,'Extractos bancarios - Manglar'!$G:$G,$B11,'Extractos bancarios - Manglar'!$L:$L,E$3,'Extractos bancarios - Manglar'!$M:$M,"")-SUMIFS('Extractos bancarios - Manglar'!$C:$C,'Extractos bancarios - Manglar'!$G:$G,$B11,'Extractos bancarios - Manglar'!$L:$L,E$3,'Extractos bancarios - Manglar'!$M:$M,"",'Extractos bancarios - Manglar'!$K:$K,"Si")*0.19/1.19</f>
        <v>-7519.77</v>
      </c>
      <c r="F11" s="52">
        <f>-SUMIFS(CxP!$K$6:$K$163,CxP!$X$6:$X$163,$B11,CxP!$Y$6:$Y$163,"Si",CxP!$B$6:$B$163,"&gt;="&amp;DATE(2026,F$3,1),CxP!$B$6:$B$163,"&lt;="&amp;EOMONTH(DATE(2026,F$3,1),0))-SUMIFS(CxP!$M$6:$M$163,CxP!$X$6:$X$163,$B11,CxP!$Y$6:$Y$163,"Si",CxP!$B$6:$B$163,"&gt;="&amp;DATE(2026,F$3,1),CxP!$B$6:$B$163,"&lt;="&amp;EOMONTH(DATE(2026,F$3,1),0))+SUMIFS('Extractos bancarios - Manglar'!$C:$C,'Extractos bancarios - Manglar'!$G:$G,$B11,'Extractos bancarios - Manglar'!$L:$L,F$3,'Extractos bancarios - Manglar'!$M:$M,"")-SUMIFS('Extractos bancarios - Manglar'!$C:$C,'Extractos bancarios - Manglar'!$G:$G,$B11,'Extractos bancarios - Manglar'!$L:$L,F$3,'Extractos bancarios - Manglar'!$M:$M,"",'Extractos bancarios - Manglar'!$K:$K,"Si")*0.19/1.19</f>
        <v>8199.7800000000007</v>
      </c>
      <c r="G11" s="52">
        <f>-SUMIFS(CxP!$K$6:$K$163,CxP!$X$6:$X$163,$B11,CxP!$Y$6:$Y$163,"Si",CxP!$B$6:$B$163,"&gt;="&amp;DATE(2026,G$3,1),CxP!$B$6:$B$163,"&lt;="&amp;EOMONTH(DATE(2026,G$3,1),0))-SUMIFS(CxP!$M$6:$M$163,CxP!$X$6:$X$163,$B11,CxP!$Y$6:$Y$163,"Si",CxP!$B$6:$B$163,"&gt;="&amp;DATE(2026,G$3,1),CxP!$B$6:$B$163,"&lt;="&amp;EOMONTH(DATE(2026,G$3,1),0))+SUMIFS('Extractos bancarios - Manglar'!$C:$C,'Extractos bancarios - Manglar'!$G:$G,$B11,'Extractos bancarios - Manglar'!$L:$L,G$3,'Extractos bancarios - Manglar'!$M:$M,"")-SUMIFS('Extractos bancarios - Manglar'!$C:$C,'Extractos bancarios - Manglar'!$G:$G,$B11,'Extractos bancarios - Manglar'!$L:$L,G$3,'Extractos bancarios - Manglar'!$M:$M,"",'Extractos bancarios - Manglar'!$K:$K,"Si")*0.19/1.19</f>
        <v>-114199</v>
      </c>
      <c r="H11" s="52">
        <f>-SUMIFS(CxP!$K$6:$K$163,CxP!$X$6:$X$163,$B11,CxP!$Y$6:$Y$163,"Si",CxP!$B$6:$B$163,"&gt;="&amp;DATE(2026,H$3,1),CxP!$B$6:$B$163,"&lt;="&amp;EOMONTH(DATE(2026,H$3,1),0))-SUMIFS(CxP!$M$6:$M$163,CxP!$X$6:$X$163,$B11,CxP!$Y$6:$Y$163,"Si",CxP!$B$6:$B$163,"&gt;="&amp;DATE(2026,H$3,1),CxP!$B$6:$B$163,"&lt;="&amp;EOMONTH(DATE(2026,H$3,1),0))+SUMIFS('Extractos bancarios - Manglar'!$C:$C,'Extractos bancarios - Manglar'!$G:$G,$B11,'Extractos bancarios - Manglar'!$L:$L,H$3,'Extractos bancarios - Manglar'!$M:$M,"")-SUMIFS('Extractos bancarios - Manglar'!$C:$C,'Extractos bancarios - Manglar'!$G:$G,$B11,'Extractos bancarios - Manglar'!$L:$L,H$3,'Extractos bancarios - Manglar'!$M:$M,"",'Extractos bancarios - Manglar'!$K:$K,"Si")*0.19/1.19</f>
        <v>-382139.66</v>
      </c>
      <c r="I11" s="52">
        <f>-SUMIFS(CxP!$K$6:$K$163,CxP!$X$6:$X$163,$B11,CxP!$Y$6:$Y$163,"Si",CxP!$B$6:$B$163,"&gt;="&amp;DATE(2026,I$3,1),CxP!$B$6:$B$163,"&lt;="&amp;EOMONTH(DATE(2026,I$3,1),0))-SUMIFS(CxP!$M$6:$M$163,CxP!$X$6:$X$163,$B11,CxP!$Y$6:$Y$163,"Si",CxP!$B$6:$B$163,"&gt;="&amp;DATE(2026,I$3,1),CxP!$B$6:$B$163,"&lt;="&amp;EOMONTH(DATE(2026,I$3,1),0))+SUMIFS('Extractos bancarios - Manglar'!$C:$C,'Extractos bancarios - Manglar'!$G:$G,$B11,'Extractos bancarios - Manglar'!$L:$L,I$3,'Extractos bancarios - Manglar'!$M:$M,"")-SUMIFS('Extractos bancarios - Manglar'!$C:$C,'Extractos bancarios - Manglar'!$G:$G,$B11,'Extractos bancarios - Manglar'!$L:$L,I$3,'Extractos bancarios - Manglar'!$M:$M,"",'Extractos bancarios - Manglar'!$K:$K,"Si")*0.19/1.19</f>
        <v>-386753.78999999992</v>
      </c>
      <c r="J11" s="52">
        <f>-SUMIFS(CxP!$K$6:$K$163,CxP!$X$6:$X$163,$B11,CxP!$Y$6:$Y$163,"Si",CxP!$B$6:$B$163,"&gt;="&amp;DATE(2026,J$3,1),CxP!$B$6:$B$163,"&lt;="&amp;EOMONTH(DATE(2026,J$3,1),0))-SUMIFS(CxP!$M$6:$M$163,CxP!$X$6:$X$163,$B11,CxP!$Y$6:$Y$163,"Si",CxP!$B$6:$B$163,"&gt;="&amp;DATE(2026,J$3,1),CxP!$B$6:$B$163,"&lt;="&amp;EOMONTH(DATE(2026,J$3,1),0))+SUMIFS('Extractos bancarios - Manglar'!$C:$C,'Extractos bancarios - Manglar'!$G:$G,$B11,'Extractos bancarios - Manglar'!$L:$L,J$3,'Extractos bancarios - Manglar'!$M:$M,"")-SUMIFS('Extractos bancarios - Manglar'!$C:$C,'Extractos bancarios - Manglar'!$G:$G,$B11,'Extractos bancarios - Manglar'!$L:$L,J$3,'Extractos bancarios - Manglar'!$M:$M,"",'Extractos bancarios - Manglar'!$K:$K,"Si")*0.19/1.19</f>
        <v>-159676.10999999993</v>
      </c>
      <c r="K11" s="52">
        <f>-SUMIFS(CxP!$K$6:$K$163,CxP!$X$6:$X$163,$B11,CxP!$Y$6:$Y$163,"Si",CxP!$B$6:$B$163,"&gt;="&amp;DATE(2026,K$3,1),CxP!$B$6:$B$163,"&lt;="&amp;EOMONTH(DATE(2026,K$3,1),0))-SUMIFS(CxP!$M$6:$M$163,CxP!$X$6:$X$163,$B11,CxP!$Y$6:$Y$163,"Si",CxP!$B$6:$B$163,"&gt;="&amp;DATE(2026,K$3,1),CxP!$B$6:$B$163,"&lt;="&amp;EOMONTH(DATE(2026,K$3,1),0))+SUMIFS('Extractos bancarios - Manglar'!$C:$C,'Extractos bancarios - Manglar'!$G:$G,$B11,'Extractos bancarios - Manglar'!$L:$L,K$3,'Extractos bancarios - Manglar'!$M:$M,"")-SUMIFS('Extractos bancarios - Manglar'!$C:$C,'Extractos bancarios - Manglar'!$G:$G,$B11,'Extractos bancarios - Manglar'!$L:$L,K$3,'Extractos bancarios - Manglar'!$M:$M,"",'Extractos bancarios - Manglar'!$K:$K,"Si")*0.19/1.19</f>
        <v>-550329.47000000009</v>
      </c>
      <c r="L11" s="52">
        <f>-SUMIFS(CxP!$K$6:$K$163,CxP!$X$6:$X$163,$B11,CxP!$Y$6:$Y$163,"Si",CxP!$B$6:$B$163,"&gt;="&amp;DATE(2026,L$3,1),CxP!$B$6:$B$163,"&lt;="&amp;EOMONTH(DATE(2026,L$3,1),0))-SUMIFS(CxP!$M$6:$M$163,CxP!$X$6:$X$163,$B11,CxP!$Y$6:$Y$163,"Si",CxP!$B$6:$B$163,"&gt;="&amp;DATE(2026,L$3,1),CxP!$B$6:$B$163,"&lt;="&amp;EOMONTH(DATE(2026,L$3,1),0))+SUMIFS('Extractos bancarios - Manglar'!$C:$C,'Extractos bancarios - Manglar'!$G:$G,$B11,'Extractos bancarios - Manglar'!$L:$L,L$3,'Extractos bancarios - Manglar'!$M:$M,"")-SUMIFS('Extractos bancarios - Manglar'!$C:$C,'Extractos bancarios - Manglar'!$G:$G,$B11,'Extractos bancarios - Manglar'!$L:$L,L$3,'Extractos bancarios - Manglar'!$M:$M,"",'Extractos bancarios - Manglar'!$K:$K,"Si")*0.19/1.19</f>
        <v>-74490.25</v>
      </c>
      <c r="M11" s="52">
        <f>-SUMIFS(CxP!$K$6:$K$163,CxP!$X$6:$X$163,$B11,CxP!$Y$6:$Y$163,"Si",CxP!$B$6:$B$163,"&gt;="&amp;DATE(2026,M$3,1),CxP!$B$6:$B$163,"&lt;="&amp;EOMONTH(DATE(2026,M$3,1),0))-SUMIFS(CxP!$M$6:$M$163,CxP!$X$6:$X$163,$B11,CxP!$Y$6:$Y$163,"Si",CxP!$B$6:$B$163,"&gt;="&amp;DATE(2026,M$3,1),CxP!$B$6:$B$163,"&lt;="&amp;EOMONTH(DATE(2026,M$3,1),0))+SUMIFS('Extractos bancarios - Manglar'!$C:$C,'Extractos bancarios - Manglar'!$G:$G,$B11,'Extractos bancarios - Manglar'!$L:$L,M$3,'Extractos bancarios - Manglar'!$M:$M,"")-SUMIFS('Extractos bancarios - Manglar'!$C:$C,'Extractos bancarios - Manglar'!$G:$G,$B11,'Extractos bancarios - Manglar'!$L:$L,M$3,'Extractos bancarios - Manglar'!$M:$M,"",'Extractos bancarios - Manglar'!$K:$K,"Si")*0.19/1.19</f>
        <v>0</v>
      </c>
      <c r="N11" s="52">
        <f>-SUMIFS(CxP!$K$6:$K$163,CxP!$X$6:$X$163,$B11,CxP!$Y$6:$Y$163,"Si",CxP!$B$6:$B$163,"&gt;="&amp;DATE(2026,N$3,1),CxP!$B$6:$B$163,"&lt;="&amp;EOMONTH(DATE(2026,N$3,1),0))-SUMIFS(CxP!$M$6:$M$163,CxP!$X$6:$X$163,$B11,CxP!$Y$6:$Y$163,"Si",CxP!$B$6:$B$163,"&gt;="&amp;DATE(2026,N$3,1),CxP!$B$6:$B$163,"&lt;="&amp;EOMONTH(DATE(2026,N$3,1),0))+SUMIFS('Extractos bancarios - Manglar'!$C:$C,'Extractos bancarios - Manglar'!$G:$G,$B11,'Extractos bancarios - Manglar'!$L:$L,N$3,'Extractos bancarios - Manglar'!$M:$M,"")-SUMIFS('Extractos bancarios - Manglar'!$C:$C,'Extractos bancarios - Manglar'!$G:$G,$B11,'Extractos bancarios - Manglar'!$L:$L,N$3,'Extractos bancarios - Manglar'!$M:$M,"",'Extractos bancarios - Manglar'!$K:$K,"Si")*0.19/1.19</f>
        <v>0</v>
      </c>
      <c r="O11" s="23">
        <f t="shared" si="4"/>
        <v>-1666908.27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 t="s">
        <v>351</v>
      </c>
      <c r="C12" s="43">
        <f>SUMIFS('Extractos bancarios - Manglar'!$C:$C,'Extractos bancarios - Manglar'!$G:$G,$B12,'Extractos bancarios - Manglar'!$L:$L,C$3)</f>
        <v>0</v>
      </c>
      <c r="D12" s="43">
        <f>SUMIFS('Extractos bancarios - Manglar'!$C:$C,'Extractos bancarios - Manglar'!$G:$G,$B12,'Extractos bancarios - Manglar'!$L:$L,D$3)</f>
        <v>0</v>
      </c>
      <c r="E12" s="43">
        <f>SUMIFS('Extractos bancarios - Manglar'!$C:$C,'Extractos bancarios - Manglar'!$G:$G,$B12,'Extractos bancarios - Manglar'!$L:$L,E$3)</f>
        <v>0</v>
      </c>
      <c r="F12" s="43">
        <f>SUMIFS('Extractos bancarios - Manglar'!$C:$C,'Extractos bancarios - Manglar'!$G:$G,$B12,'Extractos bancarios - Manglar'!$L:$L,F$3)</f>
        <v>0</v>
      </c>
      <c r="G12" s="43">
        <f>SUMIFS('Extractos bancarios - Manglar'!$C:$C,'Extractos bancarios - Manglar'!$G:$G,$B12,'Extractos bancarios - Manglar'!$L:$L,G$3)</f>
        <v>0</v>
      </c>
      <c r="H12" s="43">
        <f>SUMIFS('Extractos bancarios - Manglar'!$C:$C,'Extractos bancarios - Manglar'!$G:$G,$B12,'Extractos bancarios - Manglar'!$L:$L,H$3)</f>
        <v>0</v>
      </c>
      <c r="I12" s="43">
        <f>SUMIFS('Extractos bancarios - Manglar'!$C:$C,'Extractos bancarios - Manglar'!$G:$G,$B12,'Extractos bancarios - Manglar'!$L:$L,I$3)</f>
        <v>0</v>
      </c>
      <c r="J12" s="43">
        <f>SUMIFS('Extractos bancarios - Manglar'!$C:$C,'Extractos bancarios - Manglar'!$G:$G,$B12,'Extractos bancarios - Manglar'!$L:$L,J$3)</f>
        <v>0</v>
      </c>
      <c r="K12" s="43">
        <f>SUMIFS('Extractos bancarios - Manglar'!$C:$C,'Extractos bancarios - Manglar'!$G:$G,$B12,'Extractos bancarios - Manglar'!$L:$L,K$3)</f>
        <v>0</v>
      </c>
      <c r="L12" s="43">
        <f>SUMIFS('Extractos bancarios - Manglar'!$C:$C,'Extractos bancarios - Manglar'!$G:$G,$B12,'Extractos bancarios - Manglar'!$L:$L,L$3)</f>
        <v>0</v>
      </c>
      <c r="M12" s="43">
        <f>SUMIFS('Extractos bancarios - Manglar'!$C:$C,'Extractos bancarios - Manglar'!$G:$G,$B12,'Extractos bancarios - Manglar'!$L:$L,M$3)</f>
        <v>0</v>
      </c>
      <c r="N12" s="43">
        <f>SUMIFS('Extractos bancarios - Manglar'!$C:$C,'Extractos bancarios - Manglar'!$G:$G,$B12,'Extractos bancarios - Manglar'!$L:$L,N$3)</f>
        <v>0</v>
      </c>
      <c r="O12" s="23">
        <f t="shared" si="4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2" t="s">
        <v>369</v>
      </c>
      <c r="C13" s="23">
        <f t="shared" ref="C13:N13" si="5">C6+SUM(C8:C12)</f>
        <v>0</v>
      </c>
      <c r="D13" s="23">
        <f t="shared" si="5"/>
        <v>0</v>
      </c>
      <c r="E13" s="23">
        <f t="shared" si="5"/>
        <v>-789523.77</v>
      </c>
      <c r="F13" s="23">
        <f t="shared" si="5"/>
        <v>27930296.109999999</v>
      </c>
      <c r="G13" s="23">
        <f t="shared" si="5"/>
        <v>244146798.79058823</v>
      </c>
      <c r="H13" s="23">
        <f t="shared" si="5"/>
        <v>-166766219.69</v>
      </c>
      <c r="I13" s="23">
        <f t="shared" si="5"/>
        <v>-8657065.1488235258</v>
      </c>
      <c r="J13" s="23">
        <f t="shared" si="5"/>
        <v>43231220.301260509</v>
      </c>
      <c r="K13" s="23">
        <f t="shared" si="5"/>
        <v>-67434803.230084032</v>
      </c>
      <c r="L13" s="23">
        <f t="shared" si="5"/>
        <v>28183038.921764702</v>
      </c>
      <c r="M13" s="23">
        <f t="shared" si="5"/>
        <v>0</v>
      </c>
      <c r="N13" s="23">
        <f t="shared" si="5"/>
        <v>0</v>
      </c>
      <c r="O13" s="23">
        <f t="shared" si="4"/>
        <v>99843742.284705877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2" t="s">
        <v>372</v>
      </c>
      <c r="C14" s="44" t="str">
        <f t="shared" ref="C14:O14" si="6">IFERROR(+C13/C$4,"-")</f>
        <v>-</v>
      </c>
      <c r="D14" s="44" t="str">
        <f t="shared" si="6"/>
        <v>-</v>
      </c>
      <c r="E14" s="44" t="str">
        <f t="shared" si="6"/>
        <v>-</v>
      </c>
      <c r="F14" s="44">
        <f t="shared" si="6"/>
        <v>0.69877145397011309</v>
      </c>
      <c r="G14" s="44">
        <f t="shared" si="6"/>
        <v>0.94836986111910726</v>
      </c>
      <c r="H14" s="44" t="str">
        <f t="shared" si="6"/>
        <v>-</v>
      </c>
      <c r="I14" s="44">
        <f t="shared" si="6"/>
        <v>-0.20310350587335929</v>
      </c>
      <c r="J14" s="44">
        <f t="shared" si="6"/>
        <v>0.68944280752930842</v>
      </c>
      <c r="K14" s="44">
        <f t="shared" si="6"/>
        <v>-1.4188073670576991</v>
      </c>
      <c r="L14" s="44">
        <f t="shared" si="6"/>
        <v>0.77394275994380934</v>
      </c>
      <c r="M14" s="44" t="str">
        <f t="shared" si="6"/>
        <v>-</v>
      </c>
      <c r="N14" s="44" t="str">
        <f t="shared" si="6"/>
        <v>-</v>
      </c>
      <c r="O14" s="44">
        <f t="shared" si="6"/>
        <v>0.20515210350745905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2" t="s">
        <v>377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2" t="s">
        <v>378</v>
      </c>
      <c r="C17" s="68">
        <v>0</v>
      </c>
      <c r="D17" s="69">
        <f t="shared" ref="D17:N17" si="7">C27</f>
        <v>0</v>
      </c>
      <c r="E17" s="69">
        <f t="shared" si="7"/>
        <v>0</v>
      </c>
      <c r="F17" s="69">
        <f t="shared" si="7"/>
        <v>3628284.13</v>
      </c>
      <c r="G17" s="69">
        <f t="shared" si="7"/>
        <v>46685528.440000005</v>
      </c>
      <c r="H17" s="69">
        <f t="shared" si="7"/>
        <v>251456604.44</v>
      </c>
      <c r="I17" s="69">
        <f t="shared" si="7"/>
        <v>195045443.47999999</v>
      </c>
      <c r="J17" s="69">
        <f t="shared" si="7"/>
        <v>104262447.58999999</v>
      </c>
      <c r="K17" s="69">
        <f t="shared" si="7"/>
        <v>75999625.219999984</v>
      </c>
      <c r="L17" s="69">
        <f t="shared" si="7"/>
        <v>9572289.359999992</v>
      </c>
      <c r="M17" s="69">
        <f t="shared" si="7"/>
        <v>63360593.460000008</v>
      </c>
      <c r="N17" s="69">
        <f t="shared" si="7"/>
        <v>63360593.460000008</v>
      </c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 t="s">
        <v>384</v>
      </c>
      <c r="C18" s="70">
        <f>SUMIFS('Extractos bancarios - Manglar'!$C:$C,'Extractos bancarios - Manglar'!$G:$G,$B18,'Extractos bancarios - Manglar'!$F:$F,C$3)</f>
        <v>0</v>
      </c>
      <c r="D18" s="70">
        <f>SUMIFS('Extractos bancarios - Manglar'!$C:$C,'Extractos bancarios - Manglar'!$G:$G,$B18,'Extractos bancarios - Manglar'!$F:$F,D$3)</f>
        <v>0</v>
      </c>
      <c r="E18" s="70">
        <f>SUMIFS('Extractos bancarios - Manglar'!$C:$C,'Extractos bancarios - Manglar'!$G:$G,$B18,'Extractos bancarios - Manglar'!$F:$F,E$3)</f>
        <v>0</v>
      </c>
      <c r="F18" s="70">
        <f>SUMIFS('Extractos bancarios - Manglar'!$C:$C,'Extractos bancarios - Manglar'!$G:$G,$B18,'Extractos bancarios - Manglar'!$F:$F,F$3)</f>
        <v>46656749.829999998</v>
      </c>
      <c r="G18" s="70">
        <f>SUMIFS('Extractos bancarios - Manglar'!$C:$C,'Extractos bancarios - Manglar'!$G:$G,$B18,'Extractos bancarios - Manglar'!$F:$F,G$3)</f>
        <v>247410429</v>
      </c>
      <c r="H18" s="70">
        <f>SUMIFS('Extractos bancarios - Manglar'!$C:$C,'Extractos bancarios - Manglar'!$G:$G,$B18,'Extractos bancarios - Manglar'!$F:$F,H$3)</f>
        <v>47109266</v>
      </c>
      <c r="I18" s="70">
        <f>SUMIFS('Extractos bancarios - Manglar'!$C:$C,'Extractos bancarios - Manglar'!$G:$G,$B18,'Extractos bancarios - Manglar'!$F:$F,I$3)</f>
        <v>20102227</v>
      </c>
      <c r="J18" s="70">
        <f>SUMIFS('Extractos bancarios - Manglar'!$C:$C,'Extractos bancarios - Manglar'!$G:$G,$B18,'Extractos bancarios - Manglar'!$F:$F,J$3)</f>
        <v>28009175.27</v>
      </c>
      <c r="K18" s="70">
        <f>SUMIFS('Extractos bancarios - Manglar'!$C:$C,'Extractos bancarios - Manglar'!$G:$G,$B18,'Extractos bancarios - Manglar'!$F:$F,K$3)</f>
        <v>69677620.170000002</v>
      </c>
      <c r="L18" s="70">
        <f>SUMIFS('Extractos bancarios - Manglar'!$C:$C,'Extractos bancarios - Manglar'!$G:$G,$B18,'Extractos bancarios - Manglar'!$F:$F,L$3)</f>
        <v>82602214.88000001</v>
      </c>
      <c r="M18" s="70">
        <f>SUMIFS('Extractos bancarios - Manglar'!$C:$C,'Extractos bancarios - Manglar'!$G:$G,$B18,'Extractos bancarios - Manglar'!$F:$F,M$3)</f>
        <v>0</v>
      </c>
      <c r="N18" s="70">
        <f>SUMIFS('Extractos bancarios - Manglar'!$C:$C,'Extractos bancarios - Manglar'!$G:$G,$B18,'Extractos bancarios - Manglar'!$F:$F,N$3)</f>
        <v>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 t="s">
        <v>156</v>
      </c>
      <c r="C19" s="70">
        <f>SUMIFS('Extractos bancarios - Manglar'!$C:$C,'Extractos bancarios - Manglar'!$G:$G,$B19,'Extractos bancarios - Manglar'!$F:$F,C$3)</f>
        <v>0</v>
      </c>
      <c r="D19" s="70">
        <f>SUMIFS('Extractos bancarios - Manglar'!$C:$C,'Extractos bancarios - Manglar'!$G:$G,$B19,'Extractos bancarios - Manglar'!$F:$F,D$3)</f>
        <v>0</v>
      </c>
      <c r="E19" s="70">
        <f>SUMIFS('Extractos bancarios - Manglar'!$C:$C,'Extractos bancarios - Manglar'!$G:$G,$B19,'Extractos bancarios - Manglar'!$F:$F,E$3)</f>
        <v>4500000</v>
      </c>
      <c r="F19" s="70">
        <f>SUMIFS('Extractos bancarios - Manglar'!$C:$C,'Extractos bancarios - Manglar'!$G:$G,$B19,'Extractos bancarios - Manglar'!$F:$F,F$3)</f>
        <v>6500000</v>
      </c>
      <c r="G19" s="70">
        <f>SUMIFS('Extractos bancarios - Manglar'!$C:$C,'Extractos bancarios - Manglar'!$G:$G,$B19,'Extractos bancarios - Manglar'!$F:$F,G$3)</f>
        <v>0</v>
      </c>
      <c r="H19" s="70">
        <f>SUMIFS('Extractos bancarios - Manglar'!$C:$C,'Extractos bancarios - Manglar'!$G:$G,$B19,'Extractos bancarios - Manglar'!$F:$F,H$3)</f>
        <v>0</v>
      </c>
      <c r="I19" s="70">
        <f>SUMIFS('Extractos bancarios - Manglar'!$C:$C,'Extractos bancarios - Manglar'!$G:$G,$B19,'Extractos bancarios - Manglar'!$F:$F,I$3)</f>
        <v>0</v>
      </c>
      <c r="J19" s="70">
        <f>SUMIFS('Extractos bancarios - Manglar'!$C:$C,'Extractos bancarios - Manglar'!$G:$G,$B19,'Extractos bancarios - Manglar'!$F:$F,J$3)</f>
        <v>0</v>
      </c>
      <c r="K19" s="70">
        <f>SUMIFS('Extractos bancarios - Manglar'!$C:$C,'Extractos bancarios - Manglar'!$G:$G,$B19,'Extractos bancarios - Manglar'!$F:$F,K$3)</f>
        <v>0</v>
      </c>
      <c r="L19" s="70">
        <f>SUMIFS('Extractos bancarios - Manglar'!$C:$C,'Extractos bancarios - Manglar'!$G:$G,$B19,'Extractos bancarios - Manglar'!$F:$F,L$3)</f>
        <v>0</v>
      </c>
      <c r="M19" s="70">
        <f>SUMIFS('Extractos bancarios - Manglar'!$C:$C,'Extractos bancarios - Manglar'!$G:$G,$B19,'Extractos bancarios - Manglar'!$F:$F,M$3)</f>
        <v>0</v>
      </c>
      <c r="N19" s="70">
        <f>SUMIFS('Extractos bancarios - Manglar'!$C:$C,'Extractos bancarios - Manglar'!$G:$G,$B19,'Extractos bancarios - Manglar'!$F:$F,N$3)</f>
        <v>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 t="s">
        <v>40</v>
      </c>
      <c r="C20" s="70">
        <f>SUMIFS('Extractos bancarios - Manglar'!$C:$C,'Extractos bancarios - Manglar'!$G:$G,$B20,'Extractos bancarios - Manglar'!$F:$F,C$3)</f>
        <v>0</v>
      </c>
      <c r="D20" s="70">
        <f>SUMIFS('Extractos bancarios - Manglar'!$C:$C,'Extractos bancarios - Manglar'!$G:$G,$B20,'Extractos bancarios - Manglar'!$F:$F,D$3)</f>
        <v>0</v>
      </c>
      <c r="E20" s="70">
        <f>SUMIFS('Extractos bancarios - Manglar'!$C:$C,'Extractos bancarios - Manglar'!$G:$G,$B20,'Extractos bancarios - Manglar'!$F:$F,E$3)</f>
        <v>0</v>
      </c>
      <c r="F20" s="70">
        <f>SUMIFS('Extractos bancarios - Manglar'!$C:$C,'Extractos bancarios - Manglar'!$G:$G,$B20,'Extractos bancarios - Manglar'!$F:$F,F$3)</f>
        <v>-9862800</v>
      </c>
      <c r="G20" s="70">
        <f>SUMIFS('Extractos bancarios - Manglar'!$C:$C,'Extractos bancarios - Manglar'!$G:$G,$B20,'Extractos bancarios - Manglar'!$F:$F,G$3)</f>
        <v>-35504330</v>
      </c>
      <c r="H20" s="70">
        <f>SUMIFS('Extractos bancarios - Manglar'!$C:$C,'Extractos bancarios - Manglar'!$G:$G,$B20,'Extractos bancarios - Manglar'!$F:$F,H$3)</f>
        <v>-98158229</v>
      </c>
      <c r="I20" s="70">
        <f>SUMIFS('Extractos bancarios - Manglar'!$C:$C,'Extractos bancarios - Manglar'!$G:$G,$B20,'Extractos bancarios - Manglar'!$F:$F,I$3)</f>
        <v>-90085008</v>
      </c>
      <c r="J20" s="70">
        <f>SUMIFS('Extractos bancarios - Manglar'!$C:$C,'Extractos bancarios - Manglar'!$G:$G,$B20,'Extractos bancarios - Manglar'!$F:$F,J$3)</f>
        <v>-36896839</v>
      </c>
      <c r="K20" s="70">
        <f>SUMIFS('Extractos bancarios - Manglar'!$C:$C,'Extractos bancarios - Manglar'!$G:$G,$B20,'Extractos bancarios - Manglar'!$F:$F,K$3)</f>
        <v>-108045451.17</v>
      </c>
      <c r="L20" s="70">
        <f>SUMIFS('Extractos bancarios - Manglar'!$C:$C,'Extractos bancarios - Manglar'!$G:$G,$B20,'Extractos bancarios - Manglar'!$F:$F,L$3)</f>
        <v>-22482223.640000001</v>
      </c>
      <c r="M20" s="70">
        <f>SUMIFS('Extractos bancarios - Manglar'!$C:$C,'Extractos bancarios - Manglar'!$G:$G,$B20,'Extractos bancarios - Manglar'!$F:$F,M$3)</f>
        <v>0</v>
      </c>
      <c r="N20" s="70">
        <f>SUMIFS('Extractos bancarios - Manglar'!$C:$C,'Extractos bancarios - Manglar'!$G:$G,$B20,'Extractos bancarios - Manglar'!$F:$F,N$3)</f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 t="s">
        <v>186</v>
      </c>
      <c r="C21" s="70">
        <f>SUMIFS('Extractos bancarios - Manglar'!$C:$C,'Extractos bancarios - Manglar'!$G:$G,$B21,'Extractos bancarios - Manglar'!$F:$F,C$3)</f>
        <v>0</v>
      </c>
      <c r="D21" s="70">
        <f>SUMIFS('Extractos bancarios - Manglar'!$C:$C,'Extractos bancarios - Manglar'!$G:$G,$B21,'Extractos bancarios - Manglar'!$F:$F,D$3)</f>
        <v>0</v>
      </c>
      <c r="E21" s="70">
        <f>SUMIFS('Extractos bancarios - Manglar'!$C:$C,'Extractos bancarios - Manglar'!$G:$G,$B21,'Extractos bancarios - Manglar'!$F:$F,E$3)</f>
        <v>-18050</v>
      </c>
      <c r="F21" s="70">
        <f>SUMIFS('Extractos bancarios - Manglar'!$C:$C,'Extractos bancarios - Manglar'!$G:$G,$B21,'Extractos bancarios - Manglar'!$F:$F,F$3)</f>
        <v>-18050</v>
      </c>
      <c r="G21" s="70">
        <f>SUMIFS('Extractos bancarios - Manglar'!$C:$C,'Extractos bancarios - Manglar'!$G:$G,$B21,'Extractos bancarios - Manglar'!$F:$F,G$3)</f>
        <v>-18050</v>
      </c>
      <c r="H21" s="70">
        <f>SUMIFS('Extractos bancarios - Manglar'!$C:$C,'Extractos bancarios - Manglar'!$G:$G,$B21,'Extractos bancarios - Manglar'!$F:$F,H$3)</f>
        <v>-18050</v>
      </c>
      <c r="I21" s="70">
        <f>SUMIFS('Extractos bancarios - Manglar'!$C:$C,'Extractos bancarios - Manglar'!$G:$G,$B21,'Extractos bancarios - Manglar'!$F:$F,I$3)</f>
        <v>-18050</v>
      </c>
      <c r="J21" s="70">
        <f>SUMIFS('Extractos bancarios - Manglar'!$C:$C,'Extractos bancarios - Manglar'!$G:$G,$B21,'Extractos bancarios - Manglar'!$F:$F,J$3)</f>
        <v>-18050</v>
      </c>
      <c r="K21" s="70">
        <f>SUMIFS('Extractos bancarios - Manglar'!$C:$C,'Extractos bancarios - Manglar'!$G:$G,$B21,'Extractos bancarios - Manglar'!$F:$F,K$3)</f>
        <v>-18050</v>
      </c>
      <c r="L21" s="70">
        <f>SUMIFS('Extractos bancarios - Manglar'!$C:$C,'Extractos bancarios - Manglar'!$G:$G,$B21,'Extractos bancarios - Manglar'!$F:$F,L$3)</f>
        <v>-18050</v>
      </c>
      <c r="M21" s="70">
        <f>SUMIFS('Extractos bancarios - Manglar'!$C:$C,'Extractos bancarios - Manglar'!$G:$G,$B21,'Extractos bancarios - Manglar'!$F:$F,M$3)</f>
        <v>0</v>
      </c>
      <c r="N21" s="70">
        <f>SUMIFS('Extractos bancarios - Manglar'!$C:$C,'Extractos bancarios - Manglar'!$G:$G,$B21,'Extractos bancarios - Manglar'!$F:$F,N$3)</f>
        <v>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 t="s">
        <v>260</v>
      </c>
      <c r="C22" s="70">
        <f>SUMIFS('Extractos bancarios - Manglar'!$C:$C,'Extractos bancarios - Manglar'!$G:$G,$B22,'Extractos bancarios - Manglar'!$F:$F,C$3)</f>
        <v>0</v>
      </c>
      <c r="D22" s="70">
        <f>SUMIFS('Extractos bancarios - Manglar'!$C:$C,'Extractos bancarios - Manglar'!$G:$G,$B22,'Extractos bancarios - Manglar'!$F:$F,D$3)</f>
        <v>0</v>
      </c>
      <c r="E22" s="70">
        <f>SUMIFS('Extractos bancarios - Manglar'!$C:$C,'Extractos bancarios - Manglar'!$G:$G,$B22,'Extractos bancarios - Manglar'!$F:$F,E$3)</f>
        <v>-844704</v>
      </c>
      <c r="F22" s="70">
        <f>SUMIFS('Extractos bancarios - Manglar'!$C:$C,'Extractos bancarios - Manglar'!$G:$G,$B22,'Extractos bancarios - Manglar'!$F:$F,F$3)</f>
        <v>-222529</v>
      </c>
      <c r="G22" s="70">
        <f>SUMIFS('Extractos bancarios - Manglar'!$C:$C,'Extractos bancarios - Manglar'!$G:$G,$B22,'Extractos bancarios - Manglar'!$F:$F,G$3)</f>
        <v>-679448</v>
      </c>
      <c r="H22" s="70">
        <f>SUMIFS('Extractos bancarios - Manglar'!$C:$C,'Extractos bancarios - Manglar'!$G:$G,$B22,'Extractos bancarios - Manglar'!$F:$F,H$3)</f>
        <v>-1136030</v>
      </c>
      <c r="I22" s="70">
        <f>SUMIFS('Extractos bancarios - Manglar'!$C:$C,'Extractos bancarios - Manglar'!$G:$G,$B22,'Extractos bancarios - Manglar'!$F:$F,I$3)</f>
        <v>-12831543</v>
      </c>
      <c r="J22" s="70">
        <f>SUMIFS('Extractos bancarios - Manglar'!$C:$C,'Extractos bancarios - Manglar'!$G:$G,$B22,'Extractos bancarios - Manglar'!$F:$F,J$3)</f>
        <v>-788548.33</v>
      </c>
      <c r="K22" s="70">
        <f>SUMIFS('Extractos bancarios - Manglar'!$C:$C,'Extractos bancarios - Manglar'!$G:$G,$B22,'Extractos bancarios - Manglar'!$F:$F,K$3)</f>
        <v>-9354356.9900000002</v>
      </c>
      <c r="L22" s="70">
        <f>SUMIFS('Extractos bancarios - Manglar'!$C:$C,'Extractos bancarios - Manglar'!$G:$G,$B22,'Extractos bancarios - Manglar'!$F:$F,L$3)</f>
        <v>-6151246.8899999997</v>
      </c>
      <c r="M22" s="70">
        <f>SUMIFS('Extractos bancarios - Manglar'!$C:$C,'Extractos bancarios - Manglar'!$G:$G,$B22,'Extractos bancarios - Manglar'!$F:$F,M$3)</f>
        <v>0</v>
      </c>
      <c r="N22" s="70">
        <f>SUMIFS('Extractos bancarios - Manglar'!$C:$C,'Extractos bancarios - Manglar'!$G:$G,$B22,'Extractos bancarios - Manglar'!$F:$F,N$3)</f>
        <v>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 t="s">
        <v>322</v>
      </c>
      <c r="C23" s="70">
        <f>SUMIFS('Extractos bancarios - Manglar'!$C:$C,'Extractos bancarios - Manglar'!$G:$G,$B23,'Extractos bancarios - Manglar'!$F:$F,C$3)</f>
        <v>0</v>
      </c>
      <c r="D23" s="70">
        <f>SUMIFS('Extractos bancarios - Manglar'!$C:$C,'Extractos bancarios - Manglar'!$G:$G,$B23,'Extractos bancarios - Manglar'!$F:$F,D$3)</f>
        <v>0</v>
      </c>
      <c r="E23" s="70">
        <f>SUMIFS('Extractos bancarios - Manglar'!$C:$C,'Extractos bancarios - Manglar'!$G:$G,$B23,'Extractos bancarios - Manglar'!$F:$F,E$3)</f>
        <v>-7519.77</v>
      </c>
      <c r="F23" s="70">
        <f>SUMIFS('Extractos bancarios - Manglar'!$C:$C,'Extractos bancarios - Manglar'!$G:$G,$B23,'Extractos bancarios - Manglar'!$F:$F,F$3)</f>
        <v>8199.7800000000007</v>
      </c>
      <c r="G23" s="70">
        <f>SUMIFS('Extractos bancarios - Manglar'!$C:$C,'Extractos bancarios - Manglar'!$G:$G,$B23,'Extractos bancarios - Manglar'!$F:$F,G$3)</f>
        <v>-114199</v>
      </c>
      <c r="H23" s="70">
        <f>SUMIFS('Extractos bancarios - Manglar'!$C:$C,'Extractos bancarios - Manglar'!$G:$G,$B23,'Extractos bancarios - Manglar'!$F:$F,H$3)</f>
        <v>-382139.66</v>
      </c>
      <c r="I23" s="70">
        <f>SUMIFS('Extractos bancarios - Manglar'!$C:$C,'Extractos bancarios - Manglar'!$G:$G,$B23,'Extractos bancarios - Manglar'!$F:$F,I$3)</f>
        <v>-386753.78999999992</v>
      </c>
      <c r="J23" s="70">
        <f>SUMIFS('Extractos bancarios - Manglar'!$C:$C,'Extractos bancarios - Manglar'!$G:$G,$B23,'Extractos bancarios - Manglar'!$F:$F,J$3)</f>
        <v>-159676.10999999993</v>
      </c>
      <c r="K23" s="70">
        <f>SUMIFS('Extractos bancarios - Manglar'!$C:$C,'Extractos bancarios - Manglar'!$G:$G,$B23,'Extractos bancarios - Manglar'!$F:$F,K$3)</f>
        <v>-550329.47000000009</v>
      </c>
      <c r="L23" s="70">
        <f>SUMIFS('Extractos bancarios - Manglar'!$C:$C,'Extractos bancarios - Manglar'!$G:$G,$B23,'Extractos bancarios - Manglar'!$F:$F,L$3)</f>
        <v>-74490.25</v>
      </c>
      <c r="M23" s="70">
        <f>SUMIFS('Extractos bancarios - Manglar'!$C:$C,'Extractos bancarios - Manglar'!$G:$G,$B23,'Extractos bancarios - Manglar'!$F:$F,M$3)</f>
        <v>0</v>
      </c>
      <c r="N23" s="70">
        <f>SUMIFS('Extractos bancarios - Manglar'!$C:$C,'Extractos bancarios - Manglar'!$G:$G,$B23,'Extractos bancarios - Manglar'!$F:$F,N$3)</f>
        <v>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 t="s">
        <v>351</v>
      </c>
      <c r="C24" s="70">
        <f>SUMIFS('Extractos bancarios - Manglar'!$C:$C,'Extractos bancarios - Manglar'!$G:$G,$B24,'Extractos bancarios - Manglar'!$F:$F,C$3)</f>
        <v>0</v>
      </c>
      <c r="D24" s="70">
        <f>SUMIFS('Extractos bancarios - Manglar'!$C:$C,'Extractos bancarios - Manglar'!$G:$G,$B24,'Extractos bancarios - Manglar'!$F:$F,D$3)</f>
        <v>0</v>
      </c>
      <c r="E24" s="70">
        <f>SUMIFS('Extractos bancarios - Manglar'!$C:$C,'Extractos bancarios - Manglar'!$G:$G,$B24,'Extractos bancarios - Manglar'!$F:$F,E$3)</f>
        <v>0</v>
      </c>
      <c r="F24" s="70">
        <f>SUMIFS('Extractos bancarios - Manglar'!$C:$C,'Extractos bancarios - Manglar'!$G:$G,$B24,'Extractos bancarios - Manglar'!$F:$F,F$3)</f>
        <v>0</v>
      </c>
      <c r="G24" s="70">
        <f>SUMIFS('Extractos bancarios - Manglar'!$C:$C,'Extractos bancarios - Manglar'!$G:$G,$B24,'Extractos bancarios - Manglar'!$F:$F,G$3)</f>
        <v>-2500000</v>
      </c>
      <c r="H24" s="70">
        <f>SUMIFS('Extractos bancarios - Manglar'!$C:$C,'Extractos bancarios - Manglar'!$G:$G,$B24,'Extractos bancarios - Manglar'!$F:$F,H$3)</f>
        <v>0</v>
      </c>
      <c r="I24" s="70">
        <f>SUMIFS('Extractos bancarios - Manglar'!$C:$C,'Extractos bancarios - Manglar'!$G:$G,$B24,'Extractos bancarios - Manglar'!$F:$F,I$3)</f>
        <v>-7553270</v>
      </c>
      <c r="J24" s="70">
        <f>SUMIFS('Extractos bancarios - Manglar'!$C:$C,'Extractos bancarios - Manglar'!$G:$G,$B24,'Extractos bancarios - Manglar'!$F:$F,J$3)</f>
        <v>0</v>
      </c>
      <c r="K24" s="70">
        <f>SUMIFS('Extractos bancarios - Manglar'!$C:$C,'Extractos bancarios - Manglar'!$G:$G,$B24,'Extractos bancarios - Manglar'!$F:$F,K$3)</f>
        <v>0</v>
      </c>
      <c r="L24" s="70">
        <f>SUMIFS('Extractos bancarios - Manglar'!$C:$C,'Extractos bancarios - Manglar'!$G:$G,$B24,'Extractos bancarios - Manglar'!$F:$F,L$3)</f>
        <v>0</v>
      </c>
      <c r="M24" s="70">
        <f>SUMIFS('Extractos bancarios - Manglar'!$C:$C,'Extractos bancarios - Manglar'!$G:$G,$B24,'Extractos bancarios - Manglar'!$F:$F,M$3)</f>
        <v>0</v>
      </c>
      <c r="N24" s="70">
        <f>SUMIFS('Extractos bancarios - Manglar'!$C:$C,'Extractos bancarios - Manglar'!$G:$G,$B24,'Extractos bancarios - Manglar'!$F:$F,N$3)</f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74" t="s">
        <v>445</v>
      </c>
      <c r="C25" s="75">
        <f>SUMIFS('Extractos bancarios - Manglar'!$C:$C,'Extractos bancarios - Manglar'!$G:$G,$B25,'Extractos bancarios - Manglar'!$F:$F,C$3)</f>
        <v>0</v>
      </c>
      <c r="D25" s="75">
        <f>SUMIFS('Extractos bancarios - Manglar'!$C:$C,'Extractos bancarios - Manglar'!$G:$G,$B25,'Extractos bancarios - Manglar'!$F:$F,D$3)</f>
        <v>0</v>
      </c>
      <c r="E25" s="75">
        <f>SUMIFS('Extractos bancarios - Manglar'!$C:$C,'Extractos bancarios - Manglar'!$G:$G,$B25,'Extractos bancarios - Manglar'!$F:$F,E$3)</f>
        <v>0</v>
      </c>
      <c r="F25" s="75">
        <f>SUMIFS('Extractos bancarios - Manglar'!$C:$C,'Extractos bancarios - Manglar'!$G:$G,$B25,'Extractos bancarios - Manglar'!$F:$F,F$3)</f>
        <v>0</v>
      </c>
      <c r="G25" s="75">
        <f>SUMIFS('Extractos bancarios - Manglar'!$C:$C,'Extractos bancarios - Manglar'!$G:$G,$B25,'Extractos bancarios - Manglar'!$F:$F,G$3)</f>
        <v>0</v>
      </c>
      <c r="H25" s="75">
        <f>SUMIFS('Extractos bancarios - Manglar'!$C:$C,'Extractos bancarios - Manglar'!$G:$G,$B25,'Extractos bancarios - Manglar'!$F:$F,H$3)</f>
        <v>0</v>
      </c>
      <c r="I25" s="75">
        <f>SUMIFS('Extractos bancarios - Manglar'!$C:$C,'Extractos bancarios - Manglar'!$G:$G,$B25,'Extractos bancarios - Manglar'!$F:$F,I$3)</f>
        <v>0</v>
      </c>
      <c r="J25" s="75">
        <f>SUMIFS('Extractos bancarios - Manglar'!$C:$C,'Extractos bancarios - Manglar'!$G:$G,$B25,'Extractos bancarios - Manglar'!$F:$F,J$3)</f>
        <v>0</v>
      </c>
      <c r="K25" s="75">
        <f>SUMIFS('Extractos bancarios - Manglar'!$C:$C,'Extractos bancarios - Manglar'!$G:$G,$B25,'Extractos bancarios - Manglar'!$F:$F,K$3)</f>
        <v>0</v>
      </c>
      <c r="L25" s="75">
        <f>SUMIFS('Extractos bancarios - Manglar'!$C:$C,'Extractos bancarios - Manglar'!$G:$G,$B25,'Extractos bancarios - Manglar'!$F:$F,L$3)</f>
        <v>0</v>
      </c>
      <c r="M25" s="75">
        <f>SUMIFS('Extractos bancarios - Manglar'!$C:$C,'Extractos bancarios - Manglar'!$G:$G,$B25,'Extractos bancarios - Manglar'!$F:$F,M$3)</f>
        <v>0</v>
      </c>
      <c r="N25" s="75">
        <f>SUMIFS('Extractos bancarios - Manglar'!$C:$C,'Extractos bancarios - Manglar'!$G:$G,$B25,'Extractos bancarios - Manglar'!$F:$F,N$3)</f>
        <v>0</v>
      </c>
      <c r="O25" s="75">
        <f t="shared" ref="O25:O26" si="8">SUM(C25:N25)</f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74" t="s">
        <v>451</v>
      </c>
      <c r="C26" s="75">
        <f>SUMIFS('Extractos bancarios - Manglar'!$C:$C,'Extractos bancarios - Manglar'!$G:$G,"Impuestos",'Extractos bancarios - Manglar'!$F:$F,C$3)+SUMIFS('Extractos bancarios - Manglar'!$C:$C,'Extractos bancarios - Manglar'!$G:$G,"Imp x Pagar - IVA",'Extractos bancarios - Manglar'!$F:$F,C$3)</f>
        <v>0</v>
      </c>
      <c r="D26" s="75">
        <f>SUMIFS('Extractos bancarios - Manglar'!$C:$C,'Extractos bancarios - Manglar'!$G:$G,"Impuestos",'Extractos bancarios - Manglar'!$F:$F,D$3)+SUMIFS('Extractos bancarios - Manglar'!$C:$C,'Extractos bancarios - Manglar'!$G:$G,"Imp x Pagar - IVA",'Extractos bancarios - Manglar'!$F:$F,D$3)</f>
        <v>0</v>
      </c>
      <c r="E26" s="75">
        <f>SUMIFS('Extractos bancarios - Manglar'!$C:$C,'Extractos bancarios - Manglar'!$G:$G,"Impuestos",'Extractos bancarios - Manglar'!$F:$F,E$3)+SUMIFS('Extractos bancarios - Manglar'!$C:$C,'Extractos bancarios - Manglar'!$G:$G,"Imp x Pagar - IVA",'Extractos bancarios - Manglar'!$F:$F,E$3)</f>
        <v>-1442.1</v>
      </c>
      <c r="F26" s="75">
        <f>SUMIFS('Extractos bancarios - Manglar'!$C:$C,'Extractos bancarios - Manglar'!$G:$G,"Impuestos",'Extractos bancarios - Manglar'!$F:$F,F$3)+SUMIFS('Extractos bancarios - Manglar'!$C:$C,'Extractos bancarios - Manglar'!$G:$G,"Imp x Pagar - IVA",'Extractos bancarios - Manglar'!$F:$F,F$3)</f>
        <v>-4326.2999999999993</v>
      </c>
      <c r="G26" s="75">
        <f>SUMIFS('Extractos bancarios - Manglar'!$C:$C,'Extractos bancarios - Manglar'!$G:$G,"Impuestos",'Extractos bancarios - Manglar'!$F:$F,G$3)+SUMIFS('Extractos bancarios - Manglar'!$C:$C,'Extractos bancarios - Manglar'!$G:$G,"Imp x Pagar - IVA",'Extractos bancarios - Manglar'!$F:$F,G$3)</f>
        <v>-3823326</v>
      </c>
      <c r="H26" s="75">
        <f>SUMIFS('Extractos bancarios - Manglar'!$C:$C,'Extractos bancarios - Manglar'!$G:$G,"Impuestos",'Extractos bancarios - Manglar'!$F:$F,H$3)+SUMIFS('Extractos bancarios - Manglar'!$C:$C,'Extractos bancarios - Manglar'!$G:$G,"Imp x Pagar - IVA",'Extractos bancarios - Manglar'!$F:$F,H$3)</f>
        <v>-3825978.3</v>
      </c>
      <c r="I26" s="75">
        <f>SUMIFS('Extractos bancarios - Manglar'!$C:$C,'Extractos bancarios - Manglar'!$G:$G,"Impuestos",'Extractos bancarios - Manglar'!$F:$F,I$3)+SUMIFS('Extractos bancarios - Manglar'!$C:$C,'Extractos bancarios - Manglar'!$G:$G,"Imp x Pagar - IVA",'Extractos bancarios - Manglar'!$F:$F,I$3)</f>
        <v>-10598.1</v>
      </c>
      <c r="J26" s="75">
        <f>SUMIFS('Extractos bancarios - Manglar'!$C:$C,'Extractos bancarios - Manglar'!$G:$G,"Impuestos",'Extractos bancarios - Manglar'!$F:$F,J$3)+SUMIFS('Extractos bancarios - Manglar'!$C:$C,'Extractos bancarios - Manglar'!$G:$G,"Imp x Pagar - IVA",'Extractos bancarios - Manglar'!$F:$F,J$3)</f>
        <v>-18408884.199999999</v>
      </c>
      <c r="K26" s="75">
        <f>SUMIFS('Extractos bancarios - Manglar'!$C:$C,'Extractos bancarios - Manglar'!$G:$G,"Impuestos",'Extractos bancarios - Manglar'!$F:$F,K$3)+SUMIFS('Extractos bancarios - Manglar'!$C:$C,'Extractos bancarios - Manglar'!$G:$G,"Imp x Pagar - IVA",'Extractos bancarios - Manglar'!$F:$F,K$3)</f>
        <v>-18136768.399999999</v>
      </c>
      <c r="L26" s="75">
        <f>SUMIFS('Extractos bancarios - Manglar'!$C:$C,'Extractos bancarios - Manglar'!$G:$G,"Impuestos",'Extractos bancarios - Manglar'!$F:$F,L$3)+SUMIFS('Extractos bancarios - Manglar'!$C:$C,'Extractos bancarios - Manglar'!$G:$G,"Imp x Pagar - IVA",'Extractos bancarios - Manglar'!$F:$F,L$3)</f>
        <v>-87900</v>
      </c>
      <c r="M26" s="75">
        <f>SUMIFS('Extractos bancarios - Manglar'!$C:$C,'Extractos bancarios - Manglar'!$G:$G,"Impuestos",'Extractos bancarios - Manglar'!$F:$F,M$3)+SUMIFS('Extractos bancarios - Manglar'!$C:$C,'Extractos bancarios - Manglar'!$G:$G,"Imp x Pagar - IVA",'Extractos bancarios - Manglar'!$F:$F,M$3)</f>
        <v>0</v>
      </c>
      <c r="N26" s="75">
        <f>SUMIFS('Extractos bancarios - Manglar'!$C:$C,'Extractos bancarios - Manglar'!$G:$G,"Impuestos",'Extractos bancarios - Manglar'!$F:$F,N$3)+SUMIFS('Extractos bancarios - Manglar'!$C:$C,'Extractos bancarios - Manglar'!$G:$G,"Imp x Pagar - IVA",'Extractos bancarios - Manglar'!$F:$F,N$3)</f>
        <v>0</v>
      </c>
      <c r="O26" s="75">
        <f t="shared" si="8"/>
        <v>-44299223.399999999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2" t="s">
        <v>441</v>
      </c>
      <c r="C27" s="23">
        <f t="shared" ref="C27:N27" si="9">C17+C18+C19+SUM(C20:C24)+C25+C26</f>
        <v>0</v>
      </c>
      <c r="D27" s="23">
        <f t="shared" si="9"/>
        <v>0</v>
      </c>
      <c r="E27" s="23">
        <f t="shared" si="9"/>
        <v>3628284.13</v>
      </c>
      <c r="F27" s="23">
        <f t="shared" si="9"/>
        <v>46685528.440000005</v>
      </c>
      <c r="G27" s="23">
        <f t="shared" si="9"/>
        <v>251456604.44</v>
      </c>
      <c r="H27" s="23">
        <f t="shared" si="9"/>
        <v>195045443.47999999</v>
      </c>
      <c r="I27" s="23">
        <f t="shared" si="9"/>
        <v>104262447.58999999</v>
      </c>
      <c r="J27" s="23">
        <f t="shared" si="9"/>
        <v>75999625.219999984</v>
      </c>
      <c r="K27" s="23">
        <f t="shared" si="9"/>
        <v>9572289.359999992</v>
      </c>
      <c r="L27" s="23">
        <f t="shared" si="9"/>
        <v>63360593.460000008</v>
      </c>
      <c r="M27" s="23">
        <f t="shared" si="9"/>
        <v>63360593.460000008</v>
      </c>
      <c r="N27" s="23">
        <f t="shared" si="9"/>
        <v>63360593.460000008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2" t="s">
        <v>463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3"/>
      <c r="P32" s="43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 t="s">
        <v>464</v>
      </c>
      <c r="C33" s="70"/>
      <c r="D33" s="70"/>
      <c r="E33" s="70"/>
      <c r="F33" s="70"/>
      <c r="G33" s="70"/>
      <c r="H33" s="70"/>
      <c r="I33" s="70"/>
      <c r="J33" s="1"/>
      <c r="K33" s="1"/>
      <c r="L33" s="1"/>
      <c r="M33" s="76">
        <f>'Costos Fijos'!P4</f>
        <v>8329123.333333333</v>
      </c>
      <c r="N33" s="76">
        <f>'Costos Fijos'!Q4</f>
        <v>8329123.333333333</v>
      </c>
      <c r="O33" s="77"/>
      <c r="P33" s="77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 t="s">
        <v>465</v>
      </c>
      <c r="C34" s="70"/>
      <c r="D34" s="70"/>
      <c r="E34" s="70"/>
      <c r="F34" s="70"/>
      <c r="G34" s="70"/>
      <c r="H34" s="70"/>
      <c r="I34" s="70"/>
      <c r="J34" s="1"/>
      <c r="K34" s="1"/>
      <c r="L34" s="1"/>
      <c r="M34" s="78">
        <v>0.2</v>
      </c>
      <c r="N34" s="78">
        <v>0.2</v>
      </c>
      <c r="O34" s="43"/>
      <c r="P34" s="43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 t="s">
        <v>467</v>
      </c>
      <c r="C35" s="70"/>
      <c r="D35" s="70"/>
      <c r="E35" s="70"/>
      <c r="F35" s="70"/>
      <c r="G35" s="70"/>
      <c r="H35" s="70"/>
      <c r="I35" s="70"/>
      <c r="J35" s="1"/>
      <c r="K35" s="1"/>
      <c r="L35" s="1"/>
      <c r="M35" s="76">
        <f t="shared" ref="M35:N35" si="10">M33/M34</f>
        <v>41645616.666666664</v>
      </c>
      <c r="N35" s="76">
        <f t="shared" si="10"/>
        <v>41645616.666666664</v>
      </c>
      <c r="O35" s="43"/>
      <c r="P35" s="43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 t="s">
        <v>469</v>
      </c>
      <c r="C36" s="70"/>
      <c r="D36" s="70"/>
      <c r="E36" s="70"/>
      <c r="F36" s="70"/>
      <c r="G36" s="70"/>
      <c r="H36" s="70"/>
      <c r="I36" s="70"/>
      <c r="J36" s="1"/>
      <c r="K36" s="1"/>
      <c r="L36" s="1"/>
      <c r="M36" s="76">
        <f t="shared" ref="M36:N36" si="11">M35*(1-M34)</f>
        <v>33316493.333333332</v>
      </c>
      <c r="N36" s="76">
        <f t="shared" si="11"/>
        <v>33316493.333333332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5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2" t="s">
        <v>470</v>
      </c>
      <c r="C39" s="1"/>
      <c r="D39" s="1"/>
      <c r="E39" s="1"/>
      <c r="F39" s="15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 t="s">
        <v>471</v>
      </c>
      <c r="C40" s="79">
        <f>SUM('Extractos bancarios - Manglar'!$C:$C)</f>
        <v>63360593.460000001</v>
      </c>
      <c r="D40" s="1"/>
      <c r="E40" s="1"/>
      <c r="F40" s="15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 t="s">
        <v>474</v>
      </c>
      <c r="C41" s="79">
        <f>SUM(C18:N24)+SUM(C25:N26)</f>
        <v>63360593.459999971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2" t="s">
        <v>476</v>
      </c>
      <c r="C42" s="80">
        <f>C40-C41</f>
        <v>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 t="s">
        <v>477</v>
      </c>
      <c r="C43" s="81">
        <f>SUMIFS('Extractos bancarios - Manglar'!$C:$C,'Extractos bancarios - Manglar'!$G:$G,"Revisar")</f>
        <v>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 t="s">
        <v>480</v>
      </c>
      <c r="C45" s="82">
        <f>O4</f>
        <v>486681543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 t="s">
        <v>482</v>
      </c>
      <c r="C46" s="19">
        <f>(SUMIFS('Extractos bancarios - Manglar'!$C:$C,'Extractos bancarios - Manglar'!$G:$G,"Ingresos",'Extractos bancarios - Manglar'!$K:$K,"Si")/1.19)+SUMIFS('Extractos bancarios - Manglar'!$C:$C,'Extractos bancarios - Manglar'!$G:$G,"Ingresos",'Extractos bancarios - Manglar'!$K:$K,"No")+SUMIFS('Extractos bancarios - Manglar'!$C:$C,'Extractos bancarios - Manglar'!$G:$G,"Ingresos",'Extractos bancarios - Manglar'!$K:$K,"NA")</f>
        <v>455098892.56302524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2" t="s">
        <v>483</v>
      </c>
      <c r="C47" s="83">
        <f>C45-C46</f>
        <v>31582650.436974764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84"/>
      <c r="I48" s="84"/>
      <c r="J48" s="8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84"/>
      <c r="I49" s="84"/>
      <c r="J49" s="8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2" t="s">
        <v>486</v>
      </c>
      <c r="C50" s="1"/>
      <c r="D50" s="1"/>
      <c r="E50" s="1"/>
      <c r="F50" s="1"/>
      <c r="G50" s="1"/>
      <c r="H50" s="84"/>
      <c r="I50" s="84"/>
      <c r="J50" s="8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2" t="s">
        <v>487</v>
      </c>
      <c r="C51" s="85">
        <f>O5+O9+O10+O11</f>
        <v>-386837800.71529412</v>
      </c>
      <c r="D51" s="1"/>
      <c r="E51" s="1"/>
      <c r="F51" s="1"/>
      <c r="G51" s="1"/>
      <c r="H51" s="84"/>
      <c r="I51" s="84"/>
      <c r="J51" s="8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 t="s">
        <v>490</v>
      </c>
      <c r="C52" s="19">
        <f>-(SUMIFS(CxP!$K$6:$K$163,CxP!$X$6:$X$163,"Costo Ventas",CxP!$Y$6:$Y$163,"Si",CxP!$B$6:$B$163,"&gt;="&amp;DATE(2026,1,1),CxP!$B$6:$B$163,"&lt;="&amp;DATE(2026,12,31))+SUMIFS(CxP!$K$6:$K$163,CxP!$X$6:$X$163,"Costos Fijos",CxP!$Y$6:$Y$163,"Si",CxP!$B$6:$B$163,"&gt;="&amp;DATE(2026,1,1),CxP!$B$6:$B$163,"&lt;="&amp;DATE(2026,12,31))+SUMIFS(CxP!$K$6:$K$163,CxP!$X$6:$X$163,"Costos Operacionales",CxP!$Y$6:$Y$163,"Si",CxP!$B$6:$B$163,"&gt;="&amp;DATE(2026,1,1),CxP!$B$6:$B$163,"&lt;="&amp;DATE(2026,12,31))+SUMIFS(CxP!$K$6:$K$163,CxP!$X$6:$X$163,"Gastos Variables",CxP!$Y$6:$Y$163,"Si",CxP!$B$6:$B$163,"&gt;="&amp;DATE(2026,1,1),CxP!$B$6:$B$163,"&lt;="&amp;DATE(2026,12,31)))-(SUMIFS(CxP!$M$6:$M$163,CxP!$X$6:$X$163,"Costo Ventas",CxP!$Y$6:$Y$163,"Si",CxP!$B$6:$B$163,"&gt;="&amp;DATE(2026,1,1),CxP!$B$6:$B$163,"&lt;="&amp;DATE(2026,12,31))+SUMIFS(CxP!$M$6:$M$163,CxP!$X$6:$X$163,"Costos Fijos",CxP!$Y$6:$Y$163,"Si",CxP!$B$6:$B$163,"&gt;="&amp;DATE(2026,1,1),CxP!$B$6:$B$163,"&lt;="&amp;DATE(2026,12,31))+SUMIFS(CxP!$M$6:$M$163,CxP!$X$6:$X$163,"Costos Operacionales",CxP!$Y$6:$Y$163,"Si",CxP!$B$6:$B$163,"&gt;="&amp;DATE(2026,1,1),CxP!$B$6:$B$163,"&lt;="&amp;DATE(2026,12,31))+SUMIFS(CxP!$M$6:$M$163,CxP!$X$6:$X$163,"Gastos Variables",CxP!$Y$6:$Y$163,"Si",CxP!$B$6:$B$163,"&gt;="&amp;DATE(2026,1,1),CxP!$B$6:$B$163,"&lt;="&amp;DATE(2026,12,31)))</f>
        <v>-350705866.70941174</v>
      </c>
      <c r="D52" s="1"/>
      <c r="E52" s="1"/>
      <c r="F52" s="1"/>
      <c r="G52" s="1"/>
      <c r="H52" s="84"/>
      <c r="I52" s="84"/>
      <c r="J52" s="8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 t="s">
        <v>495</v>
      </c>
      <c r="C53" s="19">
        <f>C51-C52</f>
        <v>-36131934.005882382</v>
      </c>
      <c r="D53" s="1"/>
      <c r="E53" s="1"/>
      <c r="F53" s="1"/>
      <c r="G53" s="1"/>
      <c r="H53" s="84"/>
      <c r="I53" s="84"/>
      <c r="J53" s="8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84"/>
      <c r="I54" s="84"/>
      <c r="J54" s="8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2" t="s">
        <v>497</v>
      </c>
      <c r="C55" s="1"/>
      <c r="D55" s="1"/>
      <c r="E55" s="1"/>
      <c r="F55" s="1"/>
      <c r="G55" s="1"/>
      <c r="H55" s="84"/>
      <c r="I55" s="84"/>
      <c r="J55" s="8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2" t="s">
        <v>498</v>
      </c>
      <c r="C56" s="83">
        <f>-SUMIFS(CxP!$K$6:$K$163,CxP!$X$6:$X$163,"Por clasificar")-SUMIFS(CxP!$M$6:$M$163,CxP!$X$6:$X$163,"Por clasificar")</f>
        <v>-9257047.1100000013</v>
      </c>
      <c r="D56" s="1"/>
      <c r="E56" s="1"/>
      <c r="F56" s="1"/>
      <c r="G56" s="1"/>
      <c r="H56" s="84"/>
      <c r="I56" s="84"/>
      <c r="J56" s="8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2" t="s">
        <v>500</v>
      </c>
      <c r="C57" s="83">
        <f>-(SUMIFS(CxP!$K$6:$K$163,CxP!$X$6:$X$163,"Costo Ventas",CxP!$B$6:$B$163,"&gt;="&amp;DATE(2026,1,1),CxP!$B$6:$B$163,"&lt;="&amp;DATE(2026,12,31))+SUMIFS(CxP!$K$6:$K$163,CxP!$X$6:$X$163,"Costos Fijos",CxP!$B$6:$B$163,"&gt;="&amp;DATE(2026,1,1),CxP!$B$6:$B$163,"&lt;="&amp;DATE(2026,12,31))+SUMIFS(CxP!$K$6:$K$163,CxP!$X$6:$X$163,"Costos Operacionales",CxP!$B$6:$B$163,"&gt;="&amp;DATE(2026,1,1),CxP!$B$6:$B$163,"&lt;="&amp;DATE(2026,12,31))+SUMIFS(CxP!$K$6:$K$163,CxP!$X$6:$X$163,"Gastos Variables",CxP!$B$6:$B$163,"&gt;="&amp;DATE(2026,1,1),CxP!$B$6:$B$163,"&lt;="&amp;DATE(2026,12,31)))-(SUMIFS(CxP!$M$6:$M$163,CxP!$X$6:$X$163,"Costo Ventas",CxP!$B$6:$B$163,"&gt;="&amp;DATE(2026,1,1),CxP!$B$6:$B$163,"&lt;="&amp;DATE(2026,12,31))+SUMIFS(CxP!$M$6:$M$163,CxP!$X$6:$X$163,"Costos Fijos",CxP!$B$6:$B$163,"&gt;="&amp;DATE(2026,1,1),CxP!$B$6:$B$163,"&lt;="&amp;DATE(2026,12,31))+SUMIFS(CxP!$M$6:$M$163,CxP!$X$6:$X$163,"Costos Operacionales",CxP!$B$6:$B$163,"&gt;="&amp;DATE(2026,1,1),CxP!$B$6:$B$163,"&lt;="&amp;DATE(2026,12,31))+SUMIFS(CxP!$M$6:$M$163,CxP!$X$6:$X$163,"Gastos Variables",CxP!$B$6:$B$163,"&gt;="&amp;DATE(2026,1,1),CxP!$B$6:$B$163,"&lt;="&amp;DATE(2026,12,31)))+(SUMIFS(CxP!$K$6:$K$163,CxP!$X$6:$X$163,"Costo Ventas",CxP!$Y$6:$Y$163,"Si",CxP!$B$6:$B$163,"&gt;="&amp;DATE(2026,1,1),CxP!$B$6:$B$163,"&lt;="&amp;DATE(2026,12,31))+SUMIFS(CxP!$K$6:$K$163,CxP!$X$6:$X$163,"Costos Fijos",CxP!$Y$6:$Y$163,"Si",CxP!$B$6:$B$163,"&gt;="&amp;DATE(2026,1,1),CxP!$B$6:$B$163,"&lt;="&amp;DATE(2026,12,31))+SUMIFS(CxP!$K$6:$K$163,CxP!$X$6:$X$163,"Costos Operacionales",CxP!$Y$6:$Y$163,"Si",CxP!$B$6:$B$163,"&gt;="&amp;DATE(2026,1,1),CxP!$B$6:$B$163,"&lt;="&amp;DATE(2026,12,31))+SUMIFS(CxP!$K$6:$K$163,CxP!$X$6:$X$163,"Gastos Variables",CxP!$Y$6:$Y$163,"Si",CxP!$B$6:$B$163,"&gt;="&amp;DATE(2026,1,1),CxP!$B$6:$B$163,"&lt;="&amp;DATE(2026,12,31)))+(SUMIFS(CxP!$M$6:$M$163,CxP!$X$6:$X$163,"Costo Ventas",CxP!$Y$6:$Y$163,"Si",CxP!$B$6:$B$163,"&gt;="&amp;DATE(2026,1,1),CxP!$B$6:$B$163,"&lt;="&amp;DATE(2026,12,31))+SUMIFS(CxP!$M$6:$M$163,CxP!$X$6:$X$163,"Costos Fijos",CxP!$Y$6:$Y$163,"Si",CxP!$B$6:$B$163,"&gt;="&amp;DATE(2026,1,1),CxP!$B$6:$B$163,"&lt;="&amp;DATE(2026,12,31))+SUMIFS(CxP!$M$6:$M$163,CxP!$X$6:$X$163,"Costos Operacionales",CxP!$Y$6:$Y$163,"Si",CxP!$B$6:$B$163,"&gt;="&amp;DATE(2026,1,1),CxP!$B$6:$B$163,"&lt;="&amp;DATE(2026,12,31))+SUMIFS(CxP!$M$6:$M$163,CxP!$X$6:$X$163,"Gastos Variables",CxP!$Y$6:$Y$163,"Si",CxP!$B$6:$B$163,"&gt;="&amp;DATE(2026,1,1),CxP!$B$6:$B$163,"&lt;="&amp;DATE(2026,12,31)))</f>
        <v>-2782113.529999983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2" t="s">
        <v>513</v>
      </c>
      <c r="C58" s="83">
        <f>C56+C57</f>
        <v>-12039160.639999984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86" t="s">
        <v>515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86" t="s">
        <v>516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87" t="s">
        <v>518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56" t="s">
        <v>1078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56" t="s">
        <v>1079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5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 t="s">
        <v>1080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 t="s">
        <v>1081</v>
      </c>
      <c r="C76" s="156" t="s">
        <v>952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 t="s">
        <v>1082</v>
      </c>
      <c r="C77" t="s">
        <v>1052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 t="s">
        <v>1083</v>
      </c>
      <c r="C78" s="165" t="s">
        <v>161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 t="s">
        <v>1084</v>
      </c>
      <c r="C79" s="156" t="s">
        <v>882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 t="s">
        <v>1085</v>
      </c>
      <c r="C80" s="156" t="s">
        <v>883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 t="s">
        <v>1086</v>
      </c>
      <c r="C81" s="156" t="s">
        <v>883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 t="s">
        <v>1087</v>
      </c>
      <c r="C82" s="156" t="s">
        <v>1088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.75" customHeight="1" x14ac:dyDescent="0.3"/>
    <row r="275" spans="1:16" ht="15.75" customHeight="1" x14ac:dyDescent="0.3"/>
    <row r="276" spans="1:16" ht="15.75" customHeight="1" x14ac:dyDescent="0.3"/>
    <row r="277" spans="1:16" ht="15.75" customHeight="1" x14ac:dyDescent="0.3"/>
    <row r="278" spans="1:16" ht="15.75" customHeight="1" x14ac:dyDescent="0.3"/>
    <row r="279" spans="1:16" ht="15.75" customHeight="1" x14ac:dyDescent="0.3"/>
    <row r="280" spans="1:16" ht="15.75" customHeight="1" x14ac:dyDescent="0.3"/>
    <row r="281" spans="1:16" ht="15.75" customHeight="1" x14ac:dyDescent="0.3"/>
    <row r="282" spans="1:16" ht="15.75" customHeight="1" x14ac:dyDescent="0.3"/>
    <row r="283" spans="1:16" ht="15.75" customHeight="1" x14ac:dyDescent="0.3"/>
    <row r="284" spans="1:16" ht="15.75" customHeight="1" x14ac:dyDescent="0.3"/>
    <row r="285" spans="1:16" ht="15.75" customHeight="1" x14ac:dyDescent="0.3"/>
    <row r="286" spans="1:16" ht="15.75" customHeight="1" x14ac:dyDescent="0.3"/>
    <row r="287" spans="1:16" ht="15.75" customHeight="1" x14ac:dyDescent="0.3"/>
    <row r="288" spans="1:16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conditionalFormatting sqref="C76:C77">
    <cfRule type="duplicateValues" dxfId="9" priority="5"/>
  </conditionalFormatting>
  <conditionalFormatting sqref="C78">
    <cfRule type="duplicateValues" dxfId="8" priority="4"/>
  </conditionalFormatting>
  <conditionalFormatting sqref="C79">
    <cfRule type="duplicateValues" dxfId="7" priority="3"/>
  </conditionalFormatting>
  <conditionalFormatting sqref="C80">
    <cfRule type="duplicateValues" dxfId="6" priority="2"/>
  </conditionalFormatting>
  <conditionalFormatting sqref="C81">
    <cfRule type="duplicateValues" dxfId="5" priority="1"/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15"/>
  <sheetViews>
    <sheetView showGridLines="0" tabSelected="1" zoomScale="90" zoomScaleNormal="90" workbookViewId="0">
      <pane ySplit="1" topLeftCell="A448" activePane="bottomLeft" state="frozen"/>
      <selection pane="bottomLeft" activeCell="A492" sqref="A492"/>
    </sheetView>
  </sheetViews>
  <sheetFormatPr defaultColWidth="12.6640625" defaultRowHeight="15" customHeight="1" x14ac:dyDescent="0.3"/>
  <cols>
    <col min="1" max="1" width="10.9140625" customWidth="1"/>
    <col min="2" max="2" width="33.1640625" customWidth="1"/>
    <col min="3" max="3" width="10.25" customWidth="1"/>
    <col min="4" max="4" width="20.25" customWidth="1"/>
    <col min="5" max="5" width="69.25" bestFit="1" customWidth="1"/>
    <col min="6" max="6" width="10.75" customWidth="1"/>
    <col min="7" max="7" width="18.4140625" bestFit="1" customWidth="1"/>
    <col min="8" max="8" width="16.1640625" customWidth="1"/>
    <col min="9" max="9" width="22.6640625" customWidth="1"/>
    <col min="10" max="10" width="39.4140625" customWidth="1"/>
    <col min="11" max="11" width="7.1640625" customWidth="1"/>
    <col min="12" max="12" width="20.9140625" customWidth="1"/>
    <col min="13" max="13" width="14.83203125" bestFit="1" customWidth="1"/>
    <col min="14" max="14" width="47.5" customWidth="1"/>
  </cols>
  <sheetData>
    <row r="1" spans="1:28" ht="15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7</v>
      </c>
      <c r="H1" s="7" t="s">
        <v>8</v>
      </c>
      <c r="I1" s="7" t="s">
        <v>9</v>
      </c>
      <c r="J1" s="9" t="s">
        <v>11</v>
      </c>
      <c r="K1" s="7" t="s">
        <v>12</v>
      </c>
      <c r="L1" s="7" t="s">
        <v>13</v>
      </c>
      <c r="M1" s="7" t="s">
        <v>14</v>
      </c>
      <c r="N1" s="10" t="s">
        <v>15</v>
      </c>
      <c r="O1" s="11" t="s">
        <v>16</v>
      </c>
      <c r="P1" s="169" t="s">
        <v>18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ht="15" customHeight="1" x14ac:dyDescent="0.3">
      <c r="A2" s="13">
        <v>46091</v>
      </c>
      <c r="B2" s="14" t="s">
        <v>19</v>
      </c>
      <c r="C2" s="15">
        <v>2000000</v>
      </c>
      <c r="D2" s="17" t="s">
        <v>22</v>
      </c>
      <c r="E2" s="14" t="s">
        <v>23</v>
      </c>
      <c r="F2" s="18">
        <v>3</v>
      </c>
      <c r="G2" s="12" t="str">
        <f>IFERROR(VLOOKUP(D2,Data!$A:$B,2,0),"Revisar")</f>
        <v>Otros Ingresos</v>
      </c>
      <c r="H2" s="20" t="s">
        <v>24</v>
      </c>
      <c r="I2" s="157" t="str">
        <f t="array" ref="I2">_xlfn.XLOOKUP($H2,Data!$E:$E,Data!$F:$F,"Revisar",0)</f>
        <v>NA</v>
      </c>
      <c r="J2" s="157" t="str">
        <f t="array" ref="J2">_xlfn.XLOOKUP($H2,Data!$E:$E,Data!$G:$G,"Revisar",0)</f>
        <v>NA</v>
      </c>
      <c r="K2" s="20" t="s">
        <v>30</v>
      </c>
      <c r="L2" s="18"/>
      <c r="M2" s="20"/>
      <c r="N2" s="14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ht="15" customHeight="1" x14ac:dyDescent="0.3">
      <c r="A3" s="13">
        <v>46093</v>
      </c>
      <c r="B3" s="14" t="s">
        <v>31</v>
      </c>
      <c r="C3" s="15">
        <v>8.19</v>
      </c>
      <c r="D3" s="17" t="s">
        <v>32</v>
      </c>
      <c r="E3" s="14" t="s">
        <v>32</v>
      </c>
      <c r="F3" s="18">
        <v>3</v>
      </c>
      <c r="G3" s="12" t="str">
        <f>IFERROR(VLOOKUP(D3,Data!$A:$B,2,0),"Revisar")</f>
        <v>Gastos Variables</v>
      </c>
      <c r="H3" s="20" t="s">
        <v>24</v>
      </c>
      <c r="I3" s="157" t="str">
        <f t="array" ref="I3">_xlfn.XLOOKUP($H3,Data!$E:$E,Data!$F:$F,"Revisar",0)</f>
        <v>NA</v>
      </c>
      <c r="J3" s="157" t="str">
        <f t="array" ref="J3">_xlfn.XLOOKUP($H3,Data!$E:$E,Data!$G:$G,"Revisar",0)</f>
        <v>NA</v>
      </c>
      <c r="K3" s="20" t="s">
        <v>24</v>
      </c>
      <c r="L3" s="18">
        <f t="shared" ref="L3:L12" si="0">F3</f>
        <v>3</v>
      </c>
      <c r="M3" s="20"/>
      <c r="N3" s="14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15" customHeight="1" x14ac:dyDescent="0.3">
      <c r="A4" s="13">
        <v>46093</v>
      </c>
      <c r="B4" s="14" t="s">
        <v>54</v>
      </c>
      <c r="C4" s="15">
        <v>-18050</v>
      </c>
      <c r="D4" s="17" t="s">
        <v>55</v>
      </c>
      <c r="E4" s="14" t="s">
        <v>55</v>
      </c>
      <c r="F4" s="18">
        <v>3</v>
      </c>
      <c r="G4" s="12" t="str">
        <f>IFERROR(VLOOKUP(D4,Data!$A:$B,2,0),"Revisar")</f>
        <v>Costos Fijos</v>
      </c>
      <c r="H4" s="20" t="s">
        <v>24</v>
      </c>
      <c r="I4" s="157" t="str">
        <f t="array" ref="I4">_xlfn.XLOOKUP($H4,Data!$E:$E,Data!$F:$F,"Revisar",0)</f>
        <v>NA</v>
      </c>
      <c r="J4" s="157" t="str">
        <f t="array" ref="J4">_xlfn.XLOOKUP($H4,Data!$E:$E,Data!$G:$G,"Revisar",0)</f>
        <v>NA</v>
      </c>
      <c r="K4" s="20" t="s">
        <v>24</v>
      </c>
      <c r="L4" s="18">
        <f t="shared" si="0"/>
        <v>3</v>
      </c>
      <c r="M4" s="20"/>
      <c r="N4" s="14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ht="15" customHeight="1" x14ac:dyDescent="0.3">
      <c r="A5" s="13">
        <v>46093</v>
      </c>
      <c r="B5" s="14" t="s">
        <v>57</v>
      </c>
      <c r="C5" s="15">
        <v>-0.02</v>
      </c>
      <c r="D5" s="17" t="s">
        <v>32</v>
      </c>
      <c r="E5" s="14" t="s">
        <v>32</v>
      </c>
      <c r="F5" s="18">
        <v>3</v>
      </c>
      <c r="G5" s="12" t="str">
        <f>IFERROR(VLOOKUP(D5,Data!$A:$B,2,0),"Revisar")</f>
        <v>Gastos Variables</v>
      </c>
      <c r="H5" s="20" t="s">
        <v>24</v>
      </c>
      <c r="I5" s="157" t="str">
        <f t="array" ref="I5">_xlfn.XLOOKUP($H5,Data!$E:$E,Data!$F:$F,"Revisar",0)</f>
        <v>NA</v>
      </c>
      <c r="J5" s="157" t="str">
        <f t="array" ref="J5">_xlfn.XLOOKUP($H5,Data!$E:$E,Data!$G:$G,"Revisar",0)</f>
        <v>NA</v>
      </c>
      <c r="K5" s="20" t="s">
        <v>24</v>
      </c>
      <c r="L5" s="18">
        <f t="shared" si="0"/>
        <v>3</v>
      </c>
      <c r="M5" s="20"/>
      <c r="N5" s="14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ht="15" customHeight="1" x14ac:dyDescent="0.3">
      <c r="A6" s="13">
        <v>46099</v>
      </c>
      <c r="B6" s="14" t="s">
        <v>31</v>
      </c>
      <c r="C6" s="15">
        <v>16.260000000000002</v>
      </c>
      <c r="D6" s="17" t="s">
        <v>32</v>
      </c>
      <c r="E6" s="14" t="s">
        <v>32</v>
      </c>
      <c r="F6" s="18">
        <v>3</v>
      </c>
      <c r="G6" s="12" t="str">
        <f>IFERROR(VLOOKUP(D6,Data!$A:$B,2,0),"Revisar")</f>
        <v>Gastos Variables</v>
      </c>
      <c r="H6" s="20" t="s">
        <v>24</v>
      </c>
      <c r="I6" s="157" t="str">
        <f t="array" ref="I6">_xlfn.XLOOKUP($H6,Data!$E:$E,Data!$F:$F,"Revisar",0)</f>
        <v>NA</v>
      </c>
      <c r="J6" s="157" t="str">
        <f t="array" ref="J6">_xlfn.XLOOKUP($H6,Data!$E:$E,Data!$G:$G,"Revisar",0)</f>
        <v>NA</v>
      </c>
      <c r="K6" s="20" t="s">
        <v>24</v>
      </c>
      <c r="L6" s="18">
        <f t="shared" si="0"/>
        <v>3</v>
      </c>
      <c r="M6" s="20"/>
      <c r="N6" s="14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ht="15" customHeight="1" x14ac:dyDescent="0.3">
      <c r="A7" s="13">
        <v>46100</v>
      </c>
      <c r="B7" s="14" t="s">
        <v>69</v>
      </c>
      <c r="C7" s="15">
        <v>-96100</v>
      </c>
      <c r="D7" s="17" t="s">
        <v>70</v>
      </c>
      <c r="E7" s="14" t="s">
        <v>71</v>
      </c>
      <c r="F7" s="18">
        <v>3</v>
      </c>
      <c r="G7" s="12" t="str">
        <f>IFERROR(VLOOKUP(D7,Data!$A:$B,2,0),"Revisar")</f>
        <v>Costos Operacionales</v>
      </c>
      <c r="H7" s="20"/>
      <c r="I7" s="20" t="s">
        <v>62</v>
      </c>
      <c r="J7" s="20" t="s">
        <v>63</v>
      </c>
      <c r="K7" s="20" t="s">
        <v>24</v>
      </c>
      <c r="L7" s="18">
        <f t="shared" si="0"/>
        <v>3</v>
      </c>
      <c r="M7" s="20" t="s">
        <v>65</v>
      </c>
      <c r="N7" s="14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t="15" customHeight="1" x14ac:dyDescent="0.3">
      <c r="A8" s="13">
        <v>46104</v>
      </c>
      <c r="B8" s="14" t="s">
        <v>31</v>
      </c>
      <c r="C8" s="15">
        <v>12.9</v>
      </c>
      <c r="D8" s="17" t="s">
        <v>32</v>
      </c>
      <c r="E8" s="14" t="s">
        <v>32</v>
      </c>
      <c r="F8" s="18">
        <v>3</v>
      </c>
      <c r="G8" s="12" t="str">
        <f>IFERROR(VLOOKUP(D8,Data!$A:$B,2,0),"Revisar")</f>
        <v>Gastos Variables</v>
      </c>
      <c r="H8" s="20" t="s">
        <v>24</v>
      </c>
      <c r="I8" s="157" t="str">
        <f t="array" ref="I8">_xlfn.XLOOKUP($H8,Data!$E:$E,Data!$F:$F,"Revisar",0)</f>
        <v>NA</v>
      </c>
      <c r="J8" s="157" t="str">
        <f t="array" ref="J8">_xlfn.XLOOKUP($H8,Data!$E:$E,Data!$G:$G,"Revisar",0)</f>
        <v>NA</v>
      </c>
      <c r="K8" s="20" t="s">
        <v>24</v>
      </c>
      <c r="L8" s="18">
        <f t="shared" si="0"/>
        <v>3</v>
      </c>
      <c r="M8" s="20"/>
      <c r="N8" s="14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ht="15" customHeight="1" x14ac:dyDescent="0.3">
      <c r="A9" s="13">
        <v>46104</v>
      </c>
      <c r="B9" s="14" t="s">
        <v>77</v>
      </c>
      <c r="C9" s="15">
        <v>-7590</v>
      </c>
      <c r="D9" s="17" t="s">
        <v>78</v>
      </c>
      <c r="E9" s="14" t="s">
        <v>79</v>
      </c>
      <c r="F9" s="18">
        <v>3</v>
      </c>
      <c r="G9" s="12" t="str">
        <f>IFERROR(VLOOKUP(D9,Data!$A:$B,2,0),"Revisar")</f>
        <v>Gastos Variables</v>
      </c>
      <c r="H9" s="20" t="s">
        <v>24</v>
      </c>
      <c r="I9" s="157" t="str">
        <f t="array" ref="I9">_xlfn.XLOOKUP($H9,Data!$E:$E,Data!$F:$F,"Revisar",0)</f>
        <v>NA</v>
      </c>
      <c r="J9" s="157" t="str">
        <f t="array" ref="J9">_xlfn.XLOOKUP($H9,Data!$E:$E,Data!$G:$G,"Revisar",0)</f>
        <v>NA</v>
      </c>
      <c r="K9" s="20" t="s">
        <v>24</v>
      </c>
      <c r="L9" s="18">
        <f t="shared" si="0"/>
        <v>3</v>
      </c>
      <c r="M9" s="20"/>
      <c r="N9" s="14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15" customHeight="1" x14ac:dyDescent="0.3">
      <c r="A10" s="13">
        <v>46104</v>
      </c>
      <c r="B10" s="14" t="s">
        <v>84</v>
      </c>
      <c r="C10" s="15">
        <v>-748604</v>
      </c>
      <c r="D10" s="17" t="s">
        <v>85</v>
      </c>
      <c r="E10" s="14" t="s">
        <v>86</v>
      </c>
      <c r="F10" s="18">
        <v>3</v>
      </c>
      <c r="G10" s="12" t="str">
        <f>IFERROR(VLOOKUP(D10,Data!$A:$B,2,0),"Revisar")</f>
        <v>Costos Operacionales</v>
      </c>
      <c r="H10" s="20" t="s">
        <v>24</v>
      </c>
      <c r="I10" s="157" t="str">
        <f t="array" ref="I10">_xlfn.XLOOKUP($H10,Data!$E:$E,Data!$F:$F,"Revisar",0)</f>
        <v>NA</v>
      </c>
      <c r="J10" s="157" t="str">
        <f t="array" ref="J10">_xlfn.XLOOKUP($H10,Data!$E:$E,Data!$G:$G,"Revisar",0)</f>
        <v>NA</v>
      </c>
      <c r="K10" s="20" t="s">
        <v>24</v>
      </c>
      <c r="L10" s="18">
        <f t="shared" si="0"/>
        <v>3</v>
      </c>
      <c r="M10" s="18" t="s">
        <v>58</v>
      </c>
      <c r="N10" s="14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t="15" customHeight="1" x14ac:dyDescent="0.3">
      <c r="A11" s="13">
        <v>46104</v>
      </c>
      <c r="B11" s="14" t="s">
        <v>89</v>
      </c>
      <c r="C11" s="15">
        <v>-1442.1</v>
      </c>
      <c r="D11" s="17" t="s">
        <v>90</v>
      </c>
      <c r="E11" s="14" t="s">
        <v>90</v>
      </c>
      <c r="F11" s="18">
        <v>3</v>
      </c>
      <c r="G11" s="12" t="str">
        <f>IFERROR(VLOOKUP(D11,Data!$A:$B,2,0),"Revisar")</f>
        <v>Imp x Pagar - IVA</v>
      </c>
      <c r="H11" s="20" t="s">
        <v>24</v>
      </c>
      <c r="I11" s="157" t="str">
        <f t="array" ref="I11">_xlfn.XLOOKUP($H11,Data!$E:$E,Data!$F:$F,"Revisar",0)</f>
        <v>NA</v>
      </c>
      <c r="J11" s="157" t="str">
        <f t="array" ref="J11">_xlfn.XLOOKUP($H11,Data!$E:$E,Data!$G:$G,"Revisar",0)</f>
        <v>NA</v>
      </c>
      <c r="K11" s="20" t="s">
        <v>24</v>
      </c>
      <c r="L11" s="18">
        <f t="shared" si="0"/>
        <v>3</v>
      </c>
      <c r="M11" s="20"/>
      <c r="N11" s="14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15" customHeight="1" x14ac:dyDescent="0.3">
      <c r="A12" s="13">
        <v>46106</v>
      </c>
      <c r="B12" s="14" t="s">
        <v>31</v>
      </c>
      <c r="C12" s="15">
        <v>3.08</v>
      </c>
      <c r="D12" s="17" t="s">
        <v>32</v>
      </c>
      <c r="E12" s="14" t="s">
        <v>32</v>
      </c>
      <c r="F12" s="18">
        <v>3</v>
      </c>
      <c r="G12" s="12" t="str">
        <f>IFERROR(VLOOKUP(D12,Data!$A:$B,2,0),"Revisar")</f>
        <v>Gastos Variables</v>
      </c>
      <c r="H12" s="20" t="s">
        <v>24</v>
      </c>
      <c r="I12" s="157" t="str">
        <f t="array" ref="I12">_xlfn.XLOOKUP($H12,Data!$E:$E,Data!$F:$F,"Revisar",0)</f>
        <v>NA</v>
      </c>
      <c r="J12" s="157" t="str">
        <f t="array" ref="J12">_xlfn.XLOOKUP($H12,Data!$E:$E,Data!$G:$G,"Revisar",0)</f>
        <v>NA</v>
      </c>
      <c r="K12" s="20" t="s">
        <v>24</v>
      </c>
      <c r="L12" s="18">
        <f t="shared" si="0"/>
        <v>3</v>
      </c>
      <c r="M12" s="20"/>
      <c r="N12" s="14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t="15" customHeight="1" x14ac:dyDescent="0.3">
      <c r="A13" s="13">
        <v>46107</v>
      </c>
      <c r="B13" s="14" t="s">
        <v>108</v>
      </c>
      <c r="C13" s="15">
        <v>2500000</v>
      </c>
      <c r="D13" s="17" t="s">
        <v>22</v>
      </c>
      <c r="E13" s="14" t="s">
        <v>109</v>
      </c>
      <c r="F13" s="18">
        <v>3</v>
      </c>
      <c r="G13" s="12" t="str">
        <f>IFERROR(VLOOKUP(D13,Data!$A:$B,2,0),"Revisar")</f>
        <v>Otros Ingresos</v>
      </c>
      <c r="H13" s="20" t="s">
        <v>24</v>
      </c>
      <c r="I13" s="157" t="str">
        <f t="array" ref="I13">_xlfn.XLOOKUP($H13,Data!$E:$E,Data!$F:$F,"Revisar",0)</f>
        <v>NA</v>
      </c>
      <c r="J13" s="157" t="str">
        <f t="array" ref="J13">_xlfn.XLOOKUP($H13,Data!$E:$E,Data!$G:$G,"Revisar",0)</f>
        <v>NA</v>
      </c>
      <c r="K13" s="20" t="s">
        <v>30</v>
      </c>
      <c r="L13" s="18"/>
      <c r="M13" s="20"/>
      <c r="N13" s="14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t="15" customHeight="1" x14ac:dyDescent="0.3">
      <c r="A14" s="13">
        <v>46112</v>
      </c>
      <c r="B14" s="14" t="s">
        <v>31</v>
      </c>
      <c r="C14" s="15">
        <v>29.82</v>
      </c>
      <c r="D14" s="17" t="s">
        <v>32</v>
      </c>
      <c r="E14" s="14" t="s">
        <v>32</v>
      </c>
      <c r="F14" s="18">
        <v>3</v>
      </c>
      <c r="G14" s="12" t="str">
        <f>IFERROR(VLOOKUP(D14,Data!$A:$B,2,0),"Revisar")</f>
        <v>Gastos Variables</v>
      </c>
      <c r="H14" s="20" t="s">
        <v>24</v>
      </c>
      <c r="I14" s="157" t="str">
        <f t="array" ref="I14">_xlfn.XLOOKUP($H14,Data!$E:$E,Data!$F:$F,"Revisar",0)</f>
        <v>NA</v>
      </c>
      <c r="J14" s="157" t="str">
        <f t="array" ref="J14">_xlfn.XLOOKUP($H14,Data!$E:$E,Data!$G:$G,"Revisar",0)</f>
        <v>NA</v>
      </c>
      <c r="K14" s="20" t="s">
        <v>24</v>
      </c>
      <c r="L14" s="18">
        <f t="shared" ref="L14:L24" si="1">F14</f>
        <v>3</v>
      </c>
      <c r="M14" s="20"/>
      <c r="N14" s="14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ht="15" customHeight="1" x14ac:dyDescent="0.3">
      <c r="A15" s="13">
        <v>46142</v>
      </c>
      <c r="B15" s="14" t="s">
        <v>31</v>
      </c>
      <c r="C15" s="15">
        <v>255.64</v>
      </c>
      <c r="D15" s="17" t="s">
        <v>32</v>
      </c>
      <c r="E15" s="14" t="s">
        <v>32</v>
      </c>
      <c r="F15" s="18">
        <v>4</v>
      </c>
      <c r="G15" s="12" t="str">
        <f>IFERROR(VLOOKUP(D15,Data!$A:$B,2,0),"Revisar")</f>
        <v>Gastos Variables</v>
      </c>
      <c r="H15" s="20" t="s">
        <v>24</v>
      </c>
      <c r="I15" s="157" t="str">
        <f t="array" ref="I15">_xlfn.XLOOKUP($H15,Data!$E:$E,Data!$F:$F,"Revisar",0)</f>
        <v>NA</v>
      </c>
      <c r="J15" s="157" t="str">
        <f t="array" ref="J15">_xlfn.XLOOKUP($H15,Data!$E:$E,Data!$G:$G,"Revisar",0)</f>
        <v>NA</v>
      </c>
      <c r="K15" s="20" t="s">
        <v>24</v>
      </c>
      <c r="L15" s="18">
        <f t="shared" si="1"/>
        <v>4</v>
      </c>
      <c r="M15" s="20"/>
      <c r="N15" s="14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ht="15" customHeight="1" x14ac:dyDescent="0.3">
      <c r="A16" s="13">
        <v>46139</v>
      </c>
      <c r="B16" s="14" t="s">
        <v>108</v>
      </c>
      <c r="C16" s="15">
        <v>-728875</v>
      </c>
      <c r="D16" s="17" t="s">
        <v>138</v>
      </c>
      <c r="E16" s="14" t="s">
        <v>139</v>
      </c>
      <c r="F16" s="18">
        <v>4</v>
      </c>
      <c r="G16" s="12" t="str">
        <f>IFERROR(VLOOKUP(D16,Data!$A:$B,2,0),"Revisar")</f>
        <v>Costo Ventas</v>
      </c>
      <c r="H16" s="20" t="s">
        <v>131</v>
      </c>
      <c r="I16" s="157" t="str">
        <f t="array" ref="I16">_xlfn.XLOOKUP($H16,Data!$E:$E,Data!$F:$F,"Revisar",0)</f>
        <v>Innovaitors</v>
      </c>
      <c r="J16" s="157" t="str">
        <f t="array" ref="J16">_xlfn.XLOOKUP($H16,Data!$E:$E,Data!$G:$G,"Revisar",0)</f>
        <v>Kits Innovaitors</v>
      </c>
      <c r="K16" s="20" t="s">
        <v>143</v>
      </c>
      <c r="L16" s="18">
        <f t="shared" si="1"/>
        <v>4</v>
      </c>
      <c r="M16" s="18" t="s">
        <v>134</v>
      </c>
      <c r="N16" s="14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15" customHeight="1" x14ac:dyDescent="0.3">
      <c r="A17" s="13">
        <v>46138</v>
      </c>
      <c r="B17" s="14" t="s">
        <v>31</v>
      </c>
      <c r="C17" s="15">
        <v>194.7</v>
      </c>
      <c r="D17" s="17" t="s">
        <v>32</v>
      </c>
      <c r="E17" s="14" t="s">
        <v>32</v>
      </c>
      <c r="F17" s="18">
        <v>4</v>
      </c>
      <c r="G17" s="12" t="str">
        <f>IFERROR(VLOOKUP(D17,Data!$A:$B,2,0),"Revisar")</f>
        <v>Gastos Variables</v>
      </c>
      <c r="H17" s="20" t="s">
        <v>24</v>
      </c>
      <c r="I17" s="157" t="str">
        <f t="array" ref="I17">_xlfn.XLOOKUP($H17,Data!$E:$E,Data!$F:$F,"Revisar",0)</f>
        <v>NA</v>
      </c>
      <c r="J17" s="157" t="str">
        <f t="array" ref="J17">_xlfn.XLOOKUP($H17,Data!$E:$E,Data!$G:$G,"Revisar",0)</f>
        <v>NA</v>
      </c>
      <c r="K17" s="20" t="s">
        <v>24</v>
      </c>
      <c r="L17" s="18">
        <f t="shared" si="1"/>
        <v>4</v>
      </c>
      <c r="M17" s="20"/>
      <c r="N17" s="14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15" customHeight="1" x14ac:dyDescent="0.3">
      <c r="A18" s="13">
        <v>46136</v>
      </c>
      <c r="B18" s="14" t="s">
        <v>89</v>
      </c>
      <c r="C18" s="15">
        <v>-1442.1</v>
      </c>
      <c r="D18" s="17" t="s">
        <v>90</v>
      </c>
      <c r="E18" s="14" t="s">
        <v>90</v>
      </c>
      <c r="F18" s="18">
        <v>4</v>
      </c>
      <c r="G18" s="12" t="str">
        <f>IFERROR(VLOOKUP(D18,Data!$A:$B,2,0),"Revisar")</f>
        <v>Imp x Pagar - IVA</v>
      </c>
      <c r="H18" s="20" t="s">
        <v>24</v>
      </c>
      <c r="I18" s="157" t="str">
        <f t="array" ref="I18">_xlfn.XLOOKUP($H18,Data!$E:$E,Data!$F:$F,"Revisar",0)</f>
        <v>NA</v>
      </c>
      <c r="J18" s="157" t="str">
        <f t="array" ref="J18">_xlfn.XLOOKUP($H18,Data!$E:$E,Data!$G:$G,"Revisar",0)</f>
        <v>NA</v>
      </c>
      <c r="K18" s="20" t="s">
        <v>24</v>
      </c>
      <c r="L18" s="18">
        <f t="shared" si="1"/>
        <v>4</v>
      </c>
      <c r="M18" s="20"/>
      <c r="N18" s="14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15" customHeight="1" x14ac:dyDescent="0.3">
      <c r="A19" s="13">
        <v>46136</v>
      </c>
      <c r="B19" s="14" t="s">
        <v>89</v>
      </c>
      <c r="C19" s="15">
        <v>-1442.1</v>
      </c>
      <c r="D19" s="17" t="s">
        <v>90</v>
      </c>
      <c r="E19" s="14" t="s">
        <v>90</v>
      </c>
      <c r="F19" s="18">
        <v>4</v>
      </c>
      <c r="G19" s="12" t="str">
        <f>IFERROR(VLOOKUP(D19,Data!$A:$B,2,0),"Revisar")</f>
        <v>Imp x Pagar - IVA</v>
      </c>
      <c r="H19" s="20" t="s">
        <v>24</v>
      </c>
      <c r="I19" s="157" t="str">
        <f t="array" ref="I19">_xlfn.XLOOKUP($H19,Data!$E:$E,Data!$F:$F,"Revisar",0)</f>
        <v>NA</v>
      </c>
      <c r="J19" s="157" t="str">
        <f t="array" ref="J19">_xlfn.XLOOKUP($H19,Data!$E:$E,Data!$G:$G,"Revisar",0)</f>
        <v>NA</v>
      </c>
      <c r="K19" s="20" t="s">
        <v>24</v>
      </c>
      <c r="L19" s="18">
        <f t="shared" si="1"/>
        <v>4</v>
      </c>
      <c r="M19" s="20"/>
      <c r="N19" s="14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15" customHeight="1" x14ac:dyDescent="0.3">
      <c r="A20" s="13">
        <v>46136</v>
      </c>
      <c r="B20" s="14" t="s">
        <v>84</v>
      </c>
      <c r="C20" s="15">
        <v>-38000</v>
      </c>
      <c r="D20" s="17" t="s">
        <v>138</v>
      </c>
      <c r="E20" s="14" t="s">
        <v>159</v>
      </c>
      <c r="F20" s="18">
        <v>4</v>
      </c>
      <c r="G20" s="12" t="str">
        <f>IFERROR(VLOOKUP(D20,Data!$A:$B,2,0),"Revisar")</f>
        <v>Costo Ventas</v>
      </c>
      <c r="H20" s="20" t="s">
        <v>99</v>
      </c>
      <c r="I20" s="157" t="str">
        <f t="array" ref="I20">_xlfn.XLOOKUP($H20,Data!$E:$E,Data!$F:$F,"Revisar",0)</f>
        <v>Konrad Adenauer Stiftung</v>
      </c>
      <c r="J20" s="157" t="str">
        <f t="array" ref="J20">_xlfn.XLOOKUP($H20,Data!$E:$E,Data!$G:$G,"Revisar",0)</f>
        <v>Material KAS - Tacos y pocillos</v>
      </c>
      <c r="K20" s="20" t="s">
        <v>143</v>
      </c>
      <c r="L20" s="18">
        <f t="shared" si="1"/>
        <v>4</v>
      </c>
      <c r="M20" s="20" t="s">
        <v>141</v>
      </c>
      <c r="N20" s="14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15" customHeight="1" x14ac:dyDescent="0.3">
      <c r="A21" s="13">
        <v>46136</v>
      </c>
      <c r="B21" s="14" t="s">
        <v>84</v>
      </c>
      <c r="C21" s="15">
        <v>-200000</v>
      </c>
      <c r="D21" s="17" t="s">
        <v>138</v>
      </c>
      <c r="E21" s="14" t="s">
        <v>159</v>
      </c>
      <c r="F21" s="18">
        <v>4</v>
      </c>
      <c r="G21" s="12" t="str">
        <f>IFERROR(VLOOKUP(D21,Data!$A:$B,2,0),"Revisar")</f>
        <v>Costo Ventas</v>
      </c>
      <c r="H21" s="20" t="s">
        <v>99</v>
      </c>
      <c r="I21" s="157" t="str">
        <f t="array" ref="I21">_xlfn.XLOOKUP($H21,Data!$E:$E,Data!$F:$F,"Revisar",0)</f>
        <v>Konrad Adenauer Stiftung</v>
      </c>
      <c r="J21" s="157" t="str">
        <f t="array" ref="J21">_xlfn.XLOOKUP($H21,Data!$E:$E,Data!$G:$G,"Revisar",0)</f>
        <v>Material KAS - Tacos y pocillos</v>
      </c>
      <c r="K21" s="20" t="s">
        <v>143</v>
      </c>
      <c r="L21" s="18">
        <f t="shared" si="1"/>
        <v>4</v>
      </c>
      <c r="M21" s="20" t="s">
        <v>141</v>
      </c>
      <c r="N21" s="14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15" customHeight="1" x14ac:dyDescent="0.3">
      <c r="A22" s="13">
        <v>46136</v>
      </c>
      <c r="B22" s="14" t="s">
        <v>77</v>
      </c>
      <c r="C22" s="15">
        <v>7590</v>
      </c>
      <c r="D22" s="17" t="s">
        <v>78</v>
      </c>
      <c r="E22" s="14" t="s">
        <v>172</v>
      </c>
      <c r="F22" s="18">
        <v>4</v>
      </c>
      <c r="G22" s="12" t="str">
        <f>IFERROR(VLOOKUP(D22,Data!$A:$B,2,0),"Revisar")</f>
        <v>Gastos Variables</v>
      </c>
      <c r="H22" s="20" t="s">
        <v>24</v>
      </c>
      <c r="I22" s="157" t="str">
        <f t="array" ref="I22">_xlfn.XLOOKUP($H22,Data!$E:$E,Data!$F:$F,"Revisar",0)</f>
        <v>NA</v>
      </c>
      <c r="J22" s="157" t="str">
        <f t="array" ref="J22">_xlfn.XLOOKUP($H22,Data!$E:$E,Data!$G:$G,"Revisar",0)</f>
        <v>NA</v>
      </c>
      <c r="K22" s="20" t="s">
        <v>24</v>
      </c>
      <c r="L22" s="18">
        <f t="shared" si="1"/>
        <v>4</v>
      </c>
      <c r="M22" s="20"/>
      <c r="N22" s="14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15" customHeight="1" x14ac:dyDescent="0.3">
      <c r="A23" s="13">
        <v>46136</v>
      </c>
      <c r="B23" s="14" t="s">
        <v>77</v>
      </c>
      <c r="C23" s="15">
        <v>7590</v>
      </c>
      <c r="D23" s="17" t="s">
        <v>78</v>
      </c>
      <c r="E23" s="14" t="s">
        <v>172</v>
      </c>
      <c r="F23" s="18">
        <v>4</v>
      </c>
      <c r="G23" s="12" t="str">
        <f>IFERROR(VLOOKUP(D23,Data!$A:$B,2,0),"Revisar")</f>
        <v>Gastos Variables</v>
      </c>
      <c r="H23" s="20" t="s">
        <v>24</v>
      </c>
      <c r="I23" s="157" t="str">
        <f t="array" ref="I23">_xlfn.XLOOKUP($H23,Data!$E:$E,Data!$F:$F,"Revisar",0)</f>
        <v>NA</v>
      </c>
      <c r="J23" s="157" t="str">
        <f t="array" ref="J23">_xlfn.XLOOKUP($H23,Data!$E:$E,Data!$G:$G,"Revisar",0)</f>
        <v>NA</v>
      </c>
      <c r="K23" s="20" t="s">
        <v>24</v>
      </c>
      <c r="L23" s="18">
        <f t="shared" si="1"/>
        <v>4</v>
      </c>
      <c r="M23" s="20"/>
      <c r="N23" s="14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15" customHeight="1" x14ac:dyDescent="0.3">
      <c r="A24" s="13">
        <v>46135</v>
      </c>
      <c r="B24" s="14" t="s">
        <v>31</v>
      </c>
      <c r="C24" s="15">
        <v>65.25</v>
      </c>
      <c r="D24" s="17" t="s">
        <v>32</v>
      </c>
      <c r="E24" s="14" t="s">
        <v>180</v>
      </c>
      <c r="F24" s="18">
        <v>4</v>
      </c>
      <c r="G24" s="12" t="str">
        <f>IFERROR(VLOOKUP(D24,Data!$A:$B,2,0),"Revisar")</f>
        <v>Gastos Variables</v>
      </c>
      <c r="H24" s="20" t="s">
        <v>24</v>
      </c>
      <c r="I24" s="157" t="str">
        <f t="array" ref="I24">_xlfn.XLOOKUP($H24,Data!$E:$E,Data!$F:$F,"Revisar",0)</f>
        <v>NA</v>
      </c>
      <c r="J24" s="157" t="str">
        <f t="array" ref="J24">_xlfn.XLOOKUP($H24,Data!$E:$E,Data!$G:$G,"Revisar",0)</f>
        <v>NA</v>
      </c>
      <c r="K24" s="20" t="s">
        <v>24</v>
      </c>
      <c r="L24" s="18">
        <f t="shared" si="1"/>
        <v>4</v>
      </c>
      <c r="M24" s="20"/>
      <c r="N24" s="14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15" customHeight="1" x14ac:dyDescent="0.3">
      <c r="A25" s="13">
        <v>46135</v>
      </c>
      <c r="B25" s="14" t="s">
        <v>187</v>
      </c>
      <c r="C25" s="15">
        <v>37014469</v>
      </c>
      <c r="D25" s="17" t="s">
        <v>188</v>
      </c>
      <c r="E25" s="14" t="s">
        <v>189</v>
      </c>
      <c r="F25" s="18">
        <v>4</v>
      </c>
      <c r="G25" s="12" t="str">
        <f>IFERROR(VLOOKUP(D25,Data!$A:$B,2,0),"Revisar")</f>
        <v>Ingresos</v>
      </c>
      <c r="H25" s="20" t="s">
        <v>76</v>
      </c>
      <c r="I25" s="157" t="str">
        <f t="array" ref="I25">_xlfn.XLOOKUP($H25,Data!$E:$E,Data!$F:$F,"Revisar",0)</f>
        <v>AXIS</v>
      </c>
      <c r="J25" s="157" t="str">
        <f t="array" ref="J25">_xlfn.XLOOKUP($H25,Data!$E:$E,Data!$G:$G,"Revisar",0)</f>
        <v>Evento mundial de fútbol y merchandising</v>
      </c>
      <c r="K25" s="20" t="s">
        <v>143</v>
      </c>
      <c r="L25" s="18">
        <v>6</v>
      </c>
      <c r="M25" s="20" t="s">
        <v>132</v>
      </c>
      <c r="N25" s="14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15" customHeight="1" x14ac:dyDescent="0.3">
      <c r="A26" s="13">
        <v>46135</v>
      </c>
      <c r="B26" s="14" t="s">
        <v>108</v>
      </c>
      <c r="C26" s="15">
        <v>-728875</v>
      </c>
      <c r="D26" s="17" t="s">
        <v>138</v>
      </c>
      <c r="E26" s="14" t="s">
        <v>139</v>
      </c>
      <c r="F26" s="18">
        <v>4</v>
      </c>
      <c r="G26" s="12" t="str">
        <f>IFERROR(VLOOKUP(D26,Data!$A:$B,2,0),"Revisar")</f>
        <v>Costo Ventas</v>
      </c>
      <c r="H26" s="20" t="s">
        <v>131</v>
      </c>
      <c r="I26" s="157" t="str">
        <f t="array" ref="I26">_xlfn.XLOOKUP($H26,Data!$E:$E,Data!$F:$F,"Revisar",0)</f>
        <v>Innovaitors</v>
      </c>
      <c r="J26" s="157" t="str">
        <f t="array" ref="J26">_xlfn.XLOOKUP($H26,Data!$E:$E,Data!$G:$G,"Revisar",0)</f>
        <v>Kits Innovaitors</v>
      </c>
      <c r="K26" s="20" t="s">
        <v>143</v>
      </c>
      <c r="L26" s="18">
        <f t="shared" ref="L26:L29" si="2">F26</f>
        <v>4</v>
      </c>
      <c r="M26" s="18" t="s">
        <v>134</v>
      </c>
      <c r="N26" s="14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15" customHeight="1" x14ac:dyDescent="0.3">
      <c r="A27" s="13">
        <v>46134</v>
      </c>
      <c r="B27" s="14" t="s">
        <v>31</v>
      </c>
      <c r="C27" s="15">
        <v>31.1</v>
      </c>
      <c r="D27" s="17" t="s">
        <v>32</v>
      </c>
      <c r="E27" s="14" t="s">
        <v>180</v>
      </c>
      <c r="F27" s="18">
        <v>4</v>
      </c>
      <c r="G27" s="12" t="str">
        <f>IFERROR(VLOOKUP(D27,Data!$A:$B,2,0),"Revisar")</f>
        <v>Gastos Variables</v>
      </c>
      <c r="H27" s="20" t="s">
        <v>24</v>
      </c>
      <c r="I27" s="157" t="str">
        <f t="array" ref="I27">_xlfn.XLOOKUP($H27,Data!$E:$E,Data!$F:$F,"Revisar",0)</f>
        <v>NA</v>
      </c>
      <c r="J27" s="157" t="str">
        <f t="array" ref="J27">_xlfn.XLOOKUP($H27,Data!$E:$E,Data!$G:$G,"Revisar",0)</f>
        <v>NA</v>
      </c>
      <c r="K27" s="20" t="s">
        <v>24</v>
      </c>
      <c r="L27" s="18">
        <f t="shared" si="2"/>
        <v>4</v>
      </c>
      <c r="M27" s="20"/>
      <c r="N27" s="14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15" customHeight="1" x14ac:dyDescent="0.3">
      <c r="A28" s="13">
        <v>46133</v>
      </c>
      <c r="B28" s="14" t="s">
        <v>89</v>
      </c>
      <c r="C28" s="15">
        <v>-1442.1</v>
      </c>
      <c r="D28" s="17" t="s">
        <v>90</v>
      </c>
      <c r="E28" s="14" t="s">
        <v>90</v>
      </c>
      <c r="F28" s="18">
        <v>4</v>
      </c>
      <c r="G28" s="12" t="str">
        <f>IFERROR(VLOOKUP(D28,Data!$A:$B,2,0),"Revisar")</f>
        <v>Imp x Pagar - IVA</v>
      </c>
      <c r="H28" s="20" t="s">
        <v>24</v>
      </c>
      <c r="I28" s="157" t="str">
        <f t="array" ref="I28">_xlfn.XLOOKUP($H28,Data!$E:$E,Data!$F:$F,"Revisar",0)</f>
        <v>NA</v>
      </c>
      <c r="J28" s="157" t="str">
        <f t="array" ref="J28">_xlfn.XLOOKUP($H28,Data!$E:$E,Data!$G:$G,"Revisar",0)</f>
        <v>NA</v>
      </c>
      <c r="K28" s="20" t="s">
        <v>24</v>
      </c>
      <c r="L28" s="18">
        <f t="shared" si="2"/>
        <v>4</v>
      </c>
      <c r="M28" s="20"/>
      <c r="N28" s="14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15" customHeight="1" x14ac:dyDescent="0.3">
      <c r="A29" s="13">
        <v>46133</v>
      </c>
      <c r="B29" s="14" t="s">
        <v>77</v>
      </c>
      <c r="C29" s="15">
        <v>-7590</v>
      </c>
      <c r="D29" s="17" t="s">
        <v>78</v>
      </c>
      <c r="E29" s="14" t="s">
        <v>180</v>
      </c>
      <c r="F29" s="18">
        <v>4</v>
      </c>
      <c r="G29" s="12" t="str">
        <f>IFERROR(VLOOKUP(D29,Data!$A:$B,2,0),"Revisar")</f>
        <v>Gastos Variables</v>
      </c>
      <c r="H29" s="20" t="s">
        <v>24</v>
      </c>
      <c r="I29" s="157" t="str">
        <f t="array" ref="I29">_xlfn.XLOOKUP($H29,Data!$E:$E,Data!$F:$F,"Revisar",0)</f>
        <v>NA</v>
      </c>
      <c r="J29" s="157" t="str">
        <f t="array" ref="J29">_xlfn.XLOOKUP($H29,Data!$E:$E,Data!$G:$G,"Revisar",0)</f>
        <v>NA</v>
      </c>
      <c r="K29" s="20" t="s">
        <v>24</v>
      </c>
      <c r="L29" s="18">
        <f t="shared" si="2"/>
        <v>4</v>
      </c>
      <c r="M29" s="20"/>
      <c r="N29" s="14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15" customHeight="1" x14ac:dyDescent="0.3">
      <c r="A30" s="59">
        <v>46133</v>
      </c>
      <c r="B30" s="60" t="s">
        <v>84</v>
      </c>
      <c r="C30" s="61">
        <v>-327377.99</v>
      </c>
      <c r="D30" s="62" t="s">
        <v>138</v>
      </c>
      <c r="E30" s="60" t="s">
        <v>211</v>
      </c>
      <c r="F30" s="63">
        <v>4</v>
      </c>
      <c r="G30" s="64" t="str">
        <f>IFERROR(VLOOKUP(D30,Data!$A:$B,2,0),"Revisar")</f>
        <v>Costo Ventas</v>
      </c>
      <c r="H30" s="65" t="s">
        <v>76</v>
      </c>
      <c r="I30" s="158" t="str">
        <f t="array" ref="I30">_xlfn.XLOOKUP($H30,Data!$E:$E,Data!$F:$F,"Revisar",0)</f>
        <v>AXIS</v>
      </c>
      <c r="J30" s="158" t="str">
        <f t="array" ref="J30">_xlfn.XLOOKUP($H30,Data!$E:$E,Data!$G:$G,"Revisar",0)</f>
        <v>Evento mundial de fútbol y merchandising</v>
      </c>
      <c r="K30" s="65" t="s">
        <v>143</v>
      </c>
      <c r="L30" s="63">
        <v>6</v>
      </c>
      <c r="M30" s="63" t="s">
        <v>216</v>
      </c>
      <c r="N30" s="14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15" customHeight="1" x14ac:dyDescent="0.3">
      <c r="A31" s="59">
        <v>46133</v>
      </c>
      <c r="B31" s="60" t="s">
        <v>84</v>
      </c>
      <c r="C31" s="61">
        <f>-500000-C30</f>
        <v>-172622.01</v>
      </c>
      <c r="D31" s="62" t="s">
        <v>138</v>
      </c>
      <c r="E31" s="60" t="s">
        <v>211</v>
      </c>
      <c r="F31" s="63">
        <v>4</v>
      </c>
      <c r="G31" s="64" t="str">
        <f>IFERROR(VLOOKUP(D31,Data!$A:$B,2,0),"Revisar")</f>
        <v>Costo Ventas</v>
      </c>
      <c r="H31" s="65" t="s">
        <v>76</v>
      </c>
      <c r="I31" s="158" t="str">
        <f t="array" ref="I31">_xlfn.XLOOKUP($H31,Data!$E:$E,Data!$F:$F,"Revisar",0)</f>
        <v>AXIS</v>
      </c>
      <c r="J31" s="158" t="str">
        <f t="array" ref="J31">_xlfn.XLOOKUP($H31,Data!$E:$E,Data!$G:$G,"Revisar",0)</f>
        <v>Evento mundial de fútbol y merchandising</v>
      </c>
      <c r="K31" s="65" t="s">
        <v>143</v>
      </c>
      <c r="L31" s="63">
        <v>6</v>
      </c>
      <c r="M31" s="63" t="s">
        <v>221</v>
      </c>
      <c r="N31" s="14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15" customHeight="1" x14ac:dyDescent="0.3">
      <c r="A32" s="13">
        <v>46132</v>
      </c>
      <c r="B32" s="14" t="s">
        <v>223</v>
      </c>
      <c r="C32" s="15">
        <v>9642280.8300000001</v>
      </c>
      <c r="D32" s="17" t="s">
        <v>188</v>
      </c>
      <c r="E32" s="14" t="s">
        <v>226</v>
      </c>
      <c r="F32" s="18">
        <v>4</v>
      </c>
      <c r="G32" s="12" t="str">
        <f>IFERROR(VLOOKUP(D32,Data!$A:$B,2,0),"Revisar")</f>
        <v>Ingresos</v>
      </c>
      <c r="H32" s="20" t="s">
        <v>99</v>
      </c>
      <c r="I32" s="157" t="str">
        <f t="array" ref="I32">_xlfn.XLOOKUP($H32,Data!$E:$E,Data!$F:$F,"Revisar",0)</f>
        <v>Konrad Adenauer Stiftung</v>
      </c>
      <c r="J32" s="157" t="str">
        <f t="array" ref="J32">_xlfn.XLOOKUP($H32,Data!$E:$E,Data!$G:$G,"Revisar",0)</f>
        <v>Material KAS - Tacos y pocillos</v>
      </c>
      <c r="K32" s="20" t="s">
        <v>143</v>
      </c>
      <c r="L32" s="18">
        <f t="shared" ref="L32:L35" si="3">F32</f>
        <v>4</v>
      </c>
      <c r="M32" s="20" t="s">
        <v>149</v>
      </c>
      <c r="N32" s="14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15" customHeight="1" x14ac:dyDescent="0.3">
      <c r="A33" s="13">
        <v>46132</v>
      </c>
      <c r="B33" s="14" t="s">
        <v>31</v>
      </c>
      <c r="C33" s="15">
        <v>16.25</v>
      </c>
      <c r="D33" s="17" t="s">
        <v>32</v>
      </c>
      <c r="E33" s="14" t="s">
        <v>180</v>
      </c>
      <c r="F33" s="18">
        <v>4</v>
      </c>
      <c r="G33" s="12" t="str">
        <f>IFERROR(VLOOKUP(D33,Data!$A:$B,2,0),"Revisar")</f>
        <v>Gastos Variables</v>
      </c>
      <c r="H33" s="20" t="s">
        <v>24</v>
      </c>
      <c r="I33" s="157" t="str">
        <f t="array" ref="I33">_xlfn.XLOOKUP($H33,Data!$E:$E,Data!$F:$F,"Revisar",0)</f>
        <v>NA</v>
      </c>
      <c r="J33" s="157" t="str">
        <f t="array" ref="J33">_xlfn.XLOOKUP($H33,Data!$E:$E,Data!$G:$G,"Revisar",0)</f>
        <v>NA</v>
      </c>
      <c r="K33" s="20" t="s">
        <v>24</v>
      </c>
      <c r="L33" s="18">
        <f t="shared" si="3"/>
        <v>4</v>
      </c>
      <c r="M33" s="20"/>
      <c r="N33" s="14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15" customHeight="1" x14ac:dyDescent="0.3">
      <c r="A34" s="13">
        <v>46132</v>
      </c>
      <c r="B34" s="14" t="s">
        <v>238</v>
      </c>
      <c r="C34" s="15">
        <v>-285650</v>
      </c>
      <c r="D34" s="17" t="s">
        <v>138</v>
      </c>
      <c r="E34" s="14" t="s">
        <v>239</v>
      </c>
      <c r="F34" s="18">
        <v>4</v>
      </c>
      <c r="G34" s="12" t="str">
        <f>IFERROR(VLOOKUP(D34,Data!$A:$B,2,0),"Revisar")</f>
        <v>Costo Ventas</v>
      </c>
      <c r="H34" s="20" t="s">
        <v>99</v>
      </c>
      <c r="I34" s="157" t="str">
        <f t="array" ref="I34">_xlfn.XLOOKUP($H34,Data!$E:$E,Data!$F:$F,"Revisar",0)</f>
        <v>Konrad Adenauer Stiftung</v>
      </c>
      <c r="J34" s="157" t="str">
        <f t="array" ref="J34">_xlfn.XLOOKUP($H34,Data!$E:$E,Data!$G:$G,"Revisar",0)</f>
        <v>Material KAS - Tacos y pocillos</v>
      </c>
      <c r="K34" s="20" t="s">
        <v>143</v>
      </c>
      <c r="L34" s="18">
        <f t="shared" si="3"/>
        <v>4</v>
      </c>
      <c r="M34" s="20" t="s">
        <v>107</v>
      </c>
      <c r="N34" s="14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t="15" customHeight="1" x14ac:dyDescent="0.3">
      <c r="A35" s="13">
        <v>46131</v>
      </c>
      <c r="B35" s="14" t="s">
        <v>31</v>
      </c>
      <c r="C35" s="15">
        <v>20.58</v>
      </c>
      <c r="D35" s="17" t="s">
        <v>32</v>
      </c>
      <c r="E35" s="14" t="s">
        <v>180</v>
      </c>
      <c r="F35" s="18">
        <v>4</v>
      </c>
      <c r="G35" s="12" t="str">
        <f>IFERROR(VLOOKUP(D35,Data!$A:$B,2,0),"Revisar")</f>
        <v>Gastos Variables</v>
      </c>
      <c r="H35" s="20" t="s">
        <v>24</v>
      </c>
      <c r="I35" s="157" t="str">
        <f t="array" ref="I35">_xlfn.XLOOKUP($H35,Data!$E:$E,Data!$F:$F,"Revisar",0)</f>
        <v>NA</v>
      </c>
      <c r="J35" s="157" t="str">
        <f t="array" ref="J35">_xlfn.XLOOKUP($H35,Data!$E:$E,Data!$G:$G,"Revisar",0)</f>
        <v>NA</v>
      </c>
      <c r="K35" s="20" t="s">
        <v>24</v>
      </c>
      <c r="L35" s="18">
        <f t="shared" si="3"/>
        <v>4</v>
      </c>
      <c r="M35" s="20"/>
      <c r="N35" s="14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15" customHeight="1" x14ac:dyDescent="0.3">
      <c r="A36" s="13">
        <v>46126</v>
      </c>
      <c r="B36" s="14" t="s">
        <v>250</v>
      </c>
      <c r="C36" s="15">
        <v>2500000</v>
      </c>
      <c r="D36" s="17" t="s">
        <v>22</v>
      </c>
      <c r="E36" s="14" t="s">
        <v>251</v>
      </c>
      <c r="F36" s="18">
        <v>4</v>
      </c>
      <c r="G36" s="12" t="str">
        <f>IFERROR(VLOOKUP(D36,Data!$A:$B,2,0),"Revisar")</f>
        <v>Otros Ingresos</v>
      </c>
      <c r="H36" s="20" t="s">
        <v>24</v>
      </c>
      <c r="I36" s="157" t="str">
        <f t="array" ref="I36">_xlfn.XLOOKUP($H36,Data!$E:$E,Data!$F:$F,"Revisar",0)</f>
        <v>NA</v>
      </c>
      <c r="J36" s="157" t="str">
        <f t="array" ref="J36">_xlfn.XLOOKUP($H36,Data!$E:$E,Data!$G:$G,"Revisar",0)</f>
        <v>NA</v>
      </c>
      <c r="K36" s="20" t="s">
        <v>30</v>
      </c>
      <c r="L36" s="18"/>
      <c r="M36" s="20"/>
      <c r="N36" s="14" t="s">
        <v>256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15" customHeight="1" x14ac:dyDescent="0.3">
      <c r="A37" s="13">
        <v>46126</v>
      </c>
      <c r="B37" s="14" t="s">
        <v>108</v>
      </c>
      <c r="C37" s="15">
        <v>1000000</v>
      </c>
      <c r="D37" s="17" t="s">
        <v>22</v>
      </c>
      <c r="E37" s="14" t="s">
        <v>257</v>
      </c>
      <c r="F37" s="18">
        <v>4</v>
      </c>
      <c r="G37" s="12" t="str">
        <f>IFERROR(VLOOKUP(D37,Data!$A:$B,2,0),"Revisar")</f>
        <v>Otros Ingresos</v>
      </c>
      <c r="H37" s="20" t="s">
        <v>24</v>
      </c>
      <c r="I37" s="157" t="str">
        <f t="array" ref="I37">_xlfn.XLOOKUP($H37,Data!$E:$E,Data!$F:$F,"Revisar",0)</f>
        <v>NA</v>
      </c>
      <c r="J37" s="157" t="str">
        <f t="array" ref="J37">_xlfn.XLOOKUP($H37,Data!$E:$E,Data!$G:$G,"Revisar",0)</f>
        <v>NA</v>
      </c>
      <c r="K37" s="20" t="s">
        <v>30</v>
      </c>
      <c r="L37" s="18"/>
      <c r="M37" s="20"/>
      <c r="N37" s="14" t="s">
        <v>256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15" customHeight="1" x14ac:dyDescent="0.3">
      <c r="A38" s="13">
        <v>46126</v>
      </c>
      <c r="B38" s="14" t="s">
        <v>108</v>
      </c>
      <c r="C38" s="15">
        <v>3000000</v>
      </c>
      <c r="D38" s="17" t="s">
        <v>22</v>
      </c>
      <c r="E38" s="14" t="s">
        <v>257</v>
      </c>
      <c r="F38" s="18">
        <v>4</v>
      </c>
      <c r="G38" s="12" t="str">
        <f>IFERROR(VLOOKUP(D38,Data!$A:$B,2,0),"Revisar")</f>
        <v>Otros Ingresos</v>
      </c>
      <c r="H38" s="20" t="s">
        <v>24</v>
      </c>
      <c r="I38" s="157" t="str">
        <f t="array" ref="I38">_xlfn.XLOOKUP($H38,Data!$E:$E,Data!$F:$F,"Revisar",0)</f>
        <v>NA</v>
      </c>
      <c r="J38" s="157" t="str">
        <f t="array" ref="J38">_xlfn.XLOOKUP($H38,Data!$E:$E,Data!$G:$G,"Revisar",0)</f>
        <v>NA</v>
      </c>
      <c r="K38" s="20" t="s">
        <v>30</v>
      </c>
      <c r="L38" s="18"/>
      <c r="M38" s="20"/>
      <c r="N38" s="14" t="s">
        <v>256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15" customHeight="1" x14ac:dyDescent="0.3">
      <c r="A39" s="13">
        <v>46126</v>
      </c>
      <c r="B39" s="14" t="s">
        <v>264</v>
      </c>
      <c r="C39" s="15">
        <v>-6158400</v>
      </c>
      <c r="D39" s="17" t="s">
        <v>138</v>
      </c>
      <c r="E39" s="14" t="s">
        <v>265</v>
      </c>
      <c r="F39" s="18">
        <v>4</v>
      </c>
      <c r="G39" s="12" t="str">
        <f>IFERROR(VLOOKUP(D39,Data!$A:$B,2,0),"Revisar")</f>
        <v>Costo Ventas</v>
      </c>
      <c r="H39" s="20" t="s">
        <v>76</v>
      </c>
      <c r="I39" s="157" t="str">
        <f t="array" ref="I39">_xlfn.XLOOKUP($H39,Data!$E:$E,Data!$F:$F,"Revisar",0)</f>
        <v>AXIS</v>
      </c>
      <c r="J39" s="157" t="str">
        <f t="array" ref="J39">_xlfn.XLOOKUP($H39,Data!$E:$E,Data!$G:$G,"Revisar",0)</f>
        <v>Evento mundial de fútbol y merchandising</v>
      </c>
      <c r="K39" s="20" t="s">
        <v>143</v>
      </c>
      <c r="L39" s="18">
        <v>6</v>
      </c>
      <c r="M39" s="18" t="s">
        <v>88</v>
      </c>
      <c r="N39" s="14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15" customHeight="1" x14ac:dyDescent="0.3">
      <c r="A40" s="13">
        <v>46125</v>
      </c>
      <c r="B40" s="14" t="s">
        <v>31</v>
      </c>
      <c r="C40" s="15">
        <v>11.84</v>
      </c>
      <c r="D40" s="17" t="s">
        <v>32</v>
      </c>
      <c r="E40" s="14" t="s">
        <v>180</v>
      </c>
      <c r="F40" s="18">
        <v>4</v>
      </c>
      <c r="G40" s="12" t="str">
        <f>IFERROR(VLOOKUP(D40,Data!$A:$B,2,0),"Revisar")</f>
        <v>Gastos Variables</v>
      </c>
      <c r="H40" s="20" t="s">
        <v>24</v>
      </c>
      <c r="I40" s="157" t="str">
        <f t="array" ref="I40">_xlfn.XLOOKUP($H40,Data!$E:$E,Data!$F:$F,"Revisar",0)</f>
        <v>NA</v>
      </c>
      <c r="J40" s="157" t="str">
        <f t="array" ref="J40">_xlfn.XLOOKUP($H40,Data!$E:$E,Data!$G:$G,"Revisar",0)</f>
        <v>NA</v>
      </c>
      <c r="K40" s="20" t="s">
        <v>24</v>
      </c>
      <c r="L40" s="18">
        <f t="shared" ref="L40:L43" si="4">F40</f>
        <v>4</v>
      </c>
      <c r="M40" s="20"/>
      <c r="N40" s="14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5" customHeight="1" x14ac:dyDescent="0.3">
      <c r="A41" s="13">
        <v>46121</v>
      </c>
      <c r="B41" s="14" t="s">
        <v>272</v>
      </c>
      <c r="C41" s="15">
        <v>-18050</v>
      </c>
      <c r="D41" s="17" t="s">
        <v>55</v>
      </c>
      <c r="E41" s="14" t="s">
        <v>55</v>
      </c>
      <c r="F41" s="18">
        <v>4</v>
      </c>
      <c r="G41" s="12" t="str">
        <f>IFERROR(VLOOKUP(D41,Data!$A:$B,2,0),"Revisar")</f>
        <v>Costos Fijos</v>
      </c>
      <c r="H41" s="20" t="s">
        <v>24</v>
      </c>
      <c r="I41" s="157" t="str">
        <f t="array" ref="I41">_xlfn.XLOOKUP($H41,Data!$E:$E,Data!$F:$F,"Revisar",0)</f>
        <v>NA</v>
      </c>
      <c r="J41" s="157" t="str">
        <f t="array" ref="J41">_xlfn.XLOOKUP($H41,Data!$E:$E,Data!$G:$G,"Revisar",0)</f>
        <v>NA</v>
      </c>
      <c r="K41" s="20" t="s">
        <v>24</v>
      </c>
      <c r="L41" s="18">
        <f t="shared" si="4"/>
        <v>4</v>
      </c>
      <c r="M41" s="20"/>
      <c r="N41" s="14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15" customHeight="1" x14ac:dyDescent="0.3">
      <c r="A42" s="13">
        <v>46121</v>
      </c>
      <c r="B42" s="14" t="s">
        <v>57</v>
      </c>
      <c r="C42" s="15">
        <v>-0.03</v>
      </c>
      <c r="D42" s="17" t="s">
        <v>32</v>
      </c>
      <c r="E42" s="14" t="s">
        <v>180</v>
      </c>
      <c r="F42" s="18">
        <v>4</v>
      </c>
      <c r="G42" s="12" t="str">
        <f>IFERROR(VLOOKUP(D42,Data!$A:$B,2,0),"Revisar")</f>
        <v>Gastos Variables</v>
      </c>
      <c r="H42" s="20" t="s">
        <v>24</v>
      </c>
      <c r="I42" s="157" t="str">
        <f t="array" ref="I42">_xlfn.XLOOKUP($H42,Data!$E:$E,Data!$F:$F,"Revisar",0)</f>
        <v>NA</v>
      </c>
      <c r="J42" s="157" t="str">
        <f t="array" ref="J42">_xlfn.XLOOKUP($H42,Data!$E:$E,Data!$G:$G,"Revisar",0)</f>
        <v>NA</v>
      </c>
      <c r="K42" s="20" t="s">
        <v>24</v>
      </c>
      <c r="L42" s="18">
        <f t="shared" si="4"/>
        <v>4</v>
      </c>
      <c r="M42" s="20"/>
      <c r="N42" s="14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t="15" customHeight="1" x14ac:dyDescent="0.3">
      <c r="A43" s="13">
        <v>46121</v>
      </c>
      <c r="B43" s="14" t="s">
        <v>31</v>
      </c>
      <c r="C43" s="15">
        <v>2.99</v>
      </c>
      <c r="D43" s="17" t="s">
        <v>32</v>
      </c>
      <c r="E43" s="14" t="s">
        <v>180</v>
      </c>
      <c r="F43" s="18">
        <v>4</v>
      </c>
      <c r="G43" s="12" t="str">
        <f>IFERROR(VLOOKUP(D43,Data!$A:$B,2,0),"Revisar")</f>
        <v>Gastos Variables</v>
      </c>
      <c r="H43" s="20" t="s">
        <v>24</v>
      </c>
      <c r="I43" s="157" t="str">
        <f t="array" ref="I43">_xlfn.XLOOKUP($H43,Data!$E:$E,Data!$F:$F,"Revisar",0)</f>
        <v>NA</v>
      </c>
      <c r="J43" s="157" t="str">
        <f t="array" ref="J43">_xlfn.XLOOKUP($H43,Data!$E:$E,Data!$G:$G,"Revisar",0)</f>
        <v>NA</v>
      </c>
      <c r="K43" s="20" t="s">
        <v>24</v>
      </c>
      <c r="L43" s="18">
        <f t="shared" si="4"/>
        <v>4</v>
      </c>
      <c r="M43" s="20"/>
      <c r="N43" s="14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15" customHeight="1" x14ac:dyDescent="0.3">
      <c r="A44" s="13">
        <v>46121</v>
      </c>
      <c r="B44" s="14" t="s">
        <v>108</v>
      </c>
      <c r="C44" s="15">
        <v>-611500</v>
      </c>
      <c r="D44" s="17" t="s">
        <v>138</v>
      </c>
      <c r="E44" s="14" t="s">
        <v>285</v>
      </c>
      <c r="F44" s="18">
        <v>4</v>
      </c>
      <c r="G44" s="12" t="str">
        <f>IFERROR(VLOOKUP(D44,Data!$A:$B,2,0),"Revisar")</f>
        <v>Costo Ventas</v>
      </c>
      <c r="H44" s="20" t="s">
        <v>76</v>
      </c>
      <c r="I44" s="157" t="str">
        <f t="array" ref="I44">_xlfn.XLOOKUP($H44,Data!$E:$E,Data!$F:$F,"Revisar",0)</f>
        <v>AXIS</v>
      </c>
      <c r="J44" s="157" t="str">
        <f t="array" ref="J44">_xlfn.XLOOKUP($H44,Data!$E:$E,Data!$G:$G,"Revisar",0)</f>
        <v>Evento mundial de fútbol y merchandising</v>
      </c>
      <c r="K44" s="20" t="s">
        <v>143</v>
      </c>
      <c r="L44" s="18">
        <v>6</v>
      </c>
      <c r="M44" s="18" t="s">
        <v>81</v>
      </c>
      <c r="N44" s="14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t="15" customHeight="1" x14ac:dyDescent="0.3">
      <c r="A45" s="13">
        <v>46120</v>
      </c>
      <c r="B45" s="14" t="s">
        <v>31</v>
      </c>
      <c r="C45" s="15">
        <v>11.46</v>
      </c>
      <c r="D45" s="17" t="s">
        <v>32</v>
      </c>
      <c r="E45" s="14" t="s">
        <v>180</v>
      </c>
      <c r="F45" s="18">
        <v>4</v>
      </c>
      <c r="G45" s="12" t="str">
        <f>IFERROR(VLOOKUP(D45,Data!$A:$B,2,0),"Revisar")</f>
        <v>Gastos Variables</v>
      </c>
      <c r="H45" s="20" t="s">
        <v>24</v>
      </c>
      <c r="I45" s="157" t="str">
        <f t="array" ref="I45">_xlfn.XLOOKUP($H45,Data!$E:$E,Data!$F:$F,"Revisar",0)</f>
        <v>NA</v>
      </c>
      <c r="J45" s="157" t="str">
        <f t="array" ref="J45">_xlfn.XLOOKUP($H45,Data!$E:$E,Data!$G:$G,"Revisar",0)</f>
        <v>NA</v>
      </c>
      <c r="K45" s="20" t="s">
        <v>24</v>
      </c>
      <c r="L45" s="18">
        <f>F45</f>
        <v>4</v>
      </c>
      <c r="M45" s="20"/>
      <c r="N45" s="14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5" customHeight="1" x14ac:dyDescent="0.3">
      <c r="A46" s="13">
        <v>46118</v>
      </c>
      <c r="B46" s="14" t="s">
        <v>108</v>
      </c>
      <c r="C46" s="15">
        <v>-611500</v>
      </c>
      <c r="D46" s="17" t="s">
        <v>138</v>
      </c>
      <c r="E46" s="14" t="s">
        <v>285</v>
      </c>
      <c r="F46" s="18">
        <v>4</v>
      </c>
      <c r="G46" s="12" t="str">
        <f>IFERROR(VLOOKUP(D46,Data!$A:$B,2,0),"Revisar")</f>
        <v>Costo Ventas</v>
      </c>
      <c r="H46" s="20" t="s">
        <v>76</v>
      </c>
      <c r="I46" s="157" t="str">
        <f t="array" ref="I46">_xlfn.XLOOKUP($H46,Data!$E:$E,Data!$F:$F,"Revisar",0)</f>
        <v>AXIS</v>
      </c>
      <c r="J46" s="157" t="str">
        <f t="array" ref="J46">_xlfn.XLOOKUP($H46,Data!$E:$E,Data!$G:$G,"Revisar",0)</f>
        <v>Evento mundial de fútbol y merchandising</v>
      </c>
      <c r="K46" s="20" t="s">
        <v>143</v>
      </c>
      <c r="L46" s="18">
        <v>6</v>
      </c>
      <c r="M46" s="18" t="s">
        <v>81</v>
      </c>
      <c r="N46" s="14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t="15" customHeight="1" x14ac:dyDescent="0.3">
      <c r="A47" s="13">
        <v>46118</v>
      </c>
      <c r="B47" s="14" t="s">
        <v>297</v>
      </c>
      <c r="C47" s="66">
        <v>-222529</v>
      </c>
      <c r="D47" s="17" t="s">
        <v>298</v>
      </c>
      <c r="E47" s="14" t="s">
        <v>299</v>
      </c>
      <c r="F47" s="18">
        <v>4</v>
      </c>
      <c r="G47" s="12" t="str">
        <f>IFERROR(VLOOKUP(D47,Data!$A:$B,2,0),"Revisar")</f>
        <v>Costos Operacionales</v>
      </c>
      <c r="H47" s="20" t="s">
        <v>24</v>
      </c>
      <c r="I47" s="157" t="str">
        <f t="array" ref="I47">_xlfn.XLOOKUP($H47,Data!$E:$E,Data!$F:$F,"Revisar",0)</f>
        <v>NA</v>
      </c>
      <c r="J47" s="157" t="str">
        <f t="array" ref="J47">_xlfn.XLOOKUP($H47,Data!$E:$E,Data!$G:$G,"Revisar",0)</f>
        <v>NA</v>
      </c>
      <c r="K47" s="20" t="s">
        <v>24</v>
      </c>
      <c r="L47" s="18">
        <f t="shared" ref="L47:L52" si="5">F47</f>
        <v>4</v>
      </c>
      <c r="M47" s="18" t="s">
        <v>73</v>
      </c>
      <c r="N47" s="14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15" customHeight="1" x14ac:dyDescent="0.3">
      <c r="A48" s="13">
        <v>46117</v>
      </c>
      <c r="B48" s="14" t="s">
        <v>306</v>
      </c>
      <c r="C48" s="15" t="s">
        <v>307</v>
      </c>
      <c r="D48" s="17" t="s">
        <v>32</v>
      </c>
      <c r="E48" s="14" t="s">
        <v>180</v>
      </c>
      <c r="F48" s="18">
        <v>4</v>
      </c>
      <c r="G48" s="12" t="str">
        <f>IFERROR(VLOOKUP(D48,Data!$A:$B,2,0),"Revisar")</f>
        <v>Gastos Variables</v>
      </c>
      <c r="H48" s="20" t="s">
        <v>24</v>
      </c>
      <c r="I48" s="157" t="str">
        <f t="array" ref="I48">_xlfn.XLOOKUP($H48,Data!$E:$E,Data!$F:$F,"Revisar",0)</f>
        <v>NA</v>
      </c>
      <c r="J48" s="157" t="str">
        <f t="array" ref="J48">_xlfn.XLOOKUP($H48,Data!$E:$E,Data!$G:$G,"Revisar",0)</f>
        <v>NA</v>
      </c>
      <c r="K48" s="20" t="s">
        <v>24</v>
      </c>
      <c r="L48" s="18">
        <f t="shared" si="5"/>
        <v>4</v>
      </c>
      <c r="M48" s="20"/>
      <c r="N48" s="14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15" customHeight="1" x14ac:dyDescent="0.3">
      <c r="A49" s="13">
        <v>46167</v>
      </c>
      <c r="B49" s="14" t="s">
        <v>89</v>
      </c>
      <c r="C49" s="15">
        <v>-1442</v>
      </c>
      <c r="D49" s="17" t="s">
        <v>90</v>
      </c>
      <c r="E49" s="14" t="s">
        <v>90</v>
      </c>
      <c r="F49" s="18">
        <v>5</v>
      </c>
      <c r="G49" s="12" t="str">
        <f>IFERROR(VLOOKUP(D49,Data!$A:$B,2,0),"Revisar")</f>
        <v>Imp x Pagar - IVA</v>
      </c>
      <c r="H49" s="20" t="s">
        <v>24</v>
      </c>
      <c r="I49" s="157" t="str">
        <f t="array" ref="I49">_xlfn.XLOOKUP($H49,Data!$E:$E,Data!$F:$F,"Revisar",0)</f>
        <v>NA</v>
      </c>
      <c r="J49" s="157" t="str">
        <f t="array" ref="J49">_xlfn.XLOOKUP($H49,Data!$E:$E,Data!$G:$G,"Revisar",0)</f>
        <v>NA</v>
      </c>
      <c r="K49" s="20" t="s">
        <v>24</v>
      </c>
      <c r="L49" s="18">
        <f t="shared" si="5"/>
        <v>5</v>
      </c>
      <c r="M49" s="20"/>
      <c r="N49" s="14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15" customHeight="1" x14ac:dyDescent="0.3">
      <c r="A50" s="13">
        <v>46167</v>
      </c>
      <c r="B50" s="14" t="s">
        <v>89</v>
      </c>
      <c r="C50" s="15">
        <v>-1442</v>
      </c>
      <c r="D50" s="17" t="s">
        <v>90</v>
      </c>
      <c r="E50" s="14" t="s">
        <v>90</v>
      </c>
      <c r="F50" s="18">
        <v>5</v>
      </c>
      <c r="G50" s="12" t="str">
        <f>IFERROR(VLOOKUP(D50,Data!$A:$B,2,0),"Revisar")</f>
        <v>Imp x Pagar - IVA</v>
      </c>
      <c r="H50" s="20" t="s">
        <v>24</v>
      </c>
      <c r="I50" s="157" t="str">
        <f t="array" ref="I50">_xlfn.XLOOKUP($H50,Data!$E:$E,Data!$F:$F,"Revisar",0)</f>
        <v>NA</v>
      </c>
      <c r="J50" s="157" t="str">
        <f t="array" ref="J50">_xlfn.XLOOKUP($H50,Data!$E:$E,Data!$G:$G,"Revisar",0)</f>
        <v>NA</v>
      </c>
      <c r="K50" s="20" t="s">
        <v>24</v>
      </c>
      <c r="L50" s="18">
        <f t="shared" si="5"/>
        <v>5</v>
      </c>
      <c r="M50" s="20"/>
      <c r="N50" s="14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15" customHeight="1" x14ac:dyDescent="0.3">
      <c r="A51" s="13">
        <v>46167</v>
      </c>
      <c r="B51" s="14" t="s">
        <v>77</v>
      </c>
      <c r="C51" s="15">
        <v>-7590</v>
      </c>
      <c r="D51" s="17" t="s">
        <v>78</v>
      </c>
      <c r="E51" s="14" t="s">
        <v>78</v>
      </c>
      <c r="F51" s="18">
        <v>5</v>
      </c>
      <c r="G51" s="12" t="str">
        <f>IFERROR(VLOOKUP(D51,Data!$A:$B,2,0),"Revisar")</f>
        <v>Gastos Variables</v>
      </c>
      <c r="H51" s="20" t="s">
        <v>24</v>
      </c>
      <c r="I51" s="157" t="str">
        <f t="array" ref="I51">_xlfn.XLOOKUP($H51,Data!$E:$E,Data!$F:$F,"Revisar",0)</f>
        <v>NA</v>
      </c>
      <c r="J51" s="157" t="str">
        <f t="array" ref="J51">_xlfn.XLOOKUP($H51,Data!$E:$E,Data!$G:$G,"Revisar",0)</f>
        <v>NA</v>
      </c>
      <c r="K51" s="20" t="s">
        <v>24</v>
      </c>
      <c r="L51" s="18">
        <f t="shared" si="5"/>
        <v>5</v>
      </c>
      <c r="M51" s="20"/>
      <c r="N51" s="14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15" customHeight="1" x14ac:dyDescent="0.3">
      <c r="A52" s="13">
        <v>46167</v>
      </c>
      <c r="B52" s="14" t="s">
        <v>77</v>
      </c>
      <c r="C52" s="15">
        <v>-7590</v>
      </c>
      <c r="D52" s="17" t="s">
        <v>78</v>
      </c>
      <c r="E52" s="14" t="s">
        <v>78</v>
      </c>
      <c r="F52" s="18">
        <v>5</v>
      </c>
      <c r="G52" s="12" t="str">
        <f>IFERROR(VLOOKUP(D52,Data!$A:$B,2,0),"Revisar")</f>
        <v>Gastos Variables</v>
      </c>
      <c r="H52" s="20" t="s">
        <v>24</v>
      </c>
      <c r="I52" s="157" t="str">
        <f t="array" ref="I52">_xlfn.XLOOKUP($H52,Data!$E:$E,Data!$F:$F,"Revisar",0)</f>
        <v>NA</v>
      </c>
      <c r="J52" s="157" t="str">
        <f t="array" ref="J52">_xlfn.XLOOKUP($H52,Data!$E:$E,Data!$G:$G,"Revisar",0)</f>
        <v>NA</v>
      </c>
      <c r="K52" s="20" t="s">
        <v>24</v>
      </c>
      <c r="L52" s="18">
        <f t="shared" si="5"/>
        <v>5</v>
      </c>
      <c r="M52" s="20"/>
      <c r="N52" s="14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15" customHeight="1" x14ac:dyDescent="0.3">
      <c r="A53" s="59">
        <v>46167</v>
      </c>
      <c r="B53" s="60" t="s">
        <v>84</v>
      </c>
      <c r="C53" s="61">
        <v>-4830000</v>
      </c>
      <c r="D53" s="62" t="s">
        <v>138</v>
      </c>
      <c r="E53" s="60" t="s">
        <v>329</v>
      </c>
      <c r="F53" s="63">
        <v>5</v>
      </c>
      <c r="G53" s="64" t="str">
        <f>IFERROR(VLOOKUP(D53,Data!$A:$B,2,0),"Revisar")</f>
        <v>Costo Ventas</v>
      </c>
      <c r="H53" s="65" t="s">
        <v>99</v>
      </c>
      <c r="I53" s="158" t="str">
        <f t="array" ref="I53">_xlfn.XLOOKUP($H53,Data!$E:$E,Data!$F:$F,"Revisar",0)</f>
        <v>Konrad Adenauer Stiftung</v>
      </c>
      <c r="J53" s="158" t="str">
        <f t="array" ref="J53">_xlfn.XLOOKUP($H53,Data!$E:$E,Data!$G:$G,"Revisar",0)</f>
        <v>Material KAS - Tacos y pocillos</v>
      </c>
      <c r="K53" s="65" t="s">
        <v>143</v>
      </c>
      <c r="L53" s="63">
        <v>4</v>
      </c>
      <c r="M53" s="63" t="s">
        <v>199</v>
      </c>
      <c r="N53" s="14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15" customHeight="1" x14ac:dyDescent="0.3">
      <c r="A54" s="59">
        <v>46167</v>
      </c>
      <c r="B54" s="60" t="s">
        <v>84</v>
      </c>
      <c r="C54" s="61">
        <v>-214200</v>
      </c>
      <c r="D54" s="62" t="s">
        <v>138</v>
      </c>
      <c r="E54" s="60" t="s">
        <v>332</v>
      </c>
      <c r="F54" s="63">
        <v>5</v>
      </c>
      <c r="G54" s="64" t="str">
        <f>IFERROR(VLOOKUP(D54,Data!$A:$B,2,0),"Revisar")</f>
        <v>Costo Ventas</v>
      </c>
      <c r="H54" s="65" t="s">
        <v>174</v>
      </c>
      <c r="I54" s="158" t="str">
        <f t="array" ref="I54">_xlfn.XLOOKUP($H54,Data!$E:$E,Data!$F:$F,"Revisar",0)</f>
        <v>Innovaitors</v>
      </c>
      <c r="J54" s="158" t="str">
        <f t="array" ref="J54">_xlfn.XLOOKUP($H54,Data!$E:$E,Data!$G:$G,"Revisar",0)</f>
        <v>Banners Rollup</v>
      </c>
      <c r="K54" s="65" t="s">
        <v>143</v>
      </c>
      <c r="L54" s="63">
        <f t="shared" ref="L54:L55" si="6">F54</f>
        <v>5</v>
      </c>
      <c r="M54" s="63" t="s">
        <v>199</v>
      </c>
      <c r="N54" s="14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15" customHeight="1" x14ac:dyDescent="0.3">
      <c r="A55" s="59">
        <v>46167</v>
      </c>
      <c r="B55" s="60" t="s">
        <v>84</v>
      </c>
      <c r="C55" s="61">
        <v>-1071000</v>
      </c>
      <c r="D55" s="62" t="s">
        <v>138</v>
      </c>
      <c r="E55" s="60" t="s">
        <v>333</v>
      </c>
      <c r="F55" s="63">
        <v>5</v>
      </c>
      <c r="G55" s="64" t="str">
        <f>IFERROR(VLOOKUP(D55,Data!$A:$B,2,0),"Revisar")</f>
        <v>Costo Ventas</v>
      </c>
      <c r="H55" s="65" t="s">
        <v>161</v>
      </c>
      <c r="I55" s="158" t="str">
        <f t="array" ref="I55">_xlfn.XLOOKUP($H55,Data!$E:$E,Data!$F:$F,"Revisar",0)</f>
        <v>Kaspersky</v>
      </c>
      <c r="J55" s="158" t="str">
        <f t="array" ref="J55">_xlfn.XLOOKUP($H55,Data!$E:$E,Data!$G:$G,"Revisar",0)</f>
        <v>Bolsa Incentivos 2026</v>
      </c>
      <c r="K55" s="65" t="s">
        <v>143</v>
      </c>
      <c r="L55" s="63">
        <f t="shared" si="6"/>
        <v>5</v>
      </c>
      <c r="M55" s="63" t="s">
        <v>199</v>
      </c>
      <c r="N55" s="14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15" customHeight="1" x14ac:dyDescent="0.3">
      <c r="A56" s="13">
        <v>46167</v>
      </c>
      <c r="B56" s="14" t="s">
        <v>84</v>
      </c>
      <c r="C56" s="15">
        <v>-11565200</v>
      </c>
      <c r="D56" s="17" t="s">
        <v>138</v>
      </c>
      <c r="E56" s="14" t="s">
        <v>336</v>
      </c>
      <c r="F56" s="18">
        <v>5</v>
      </c>
      <c r="G56" s="12" t="str">
        <f>IFERROR(VLOOKUP(D56,Data!$A:$B,2,0),"Revisar")</f>
        <v>Costo Ventas</v>
      </c>
      <c r="H56" s="20" t="s">
        <v>182</v>
      </c>
      <c r="I56" s="157" t="str">
        <f t="array" ref="I56">_xlfn.XLOOKUP($H56,Data!$E:$E,Data!$F:$F,"Revisar",0)</f>
        <v>Psiconometrics</v>
      </c>
      <c r="J56" s="157" t="str">
        <f t="array" ref="J56">_xlfn.XLOOKUP($H56,Data!$E:$E,Data!$G:$G,"Revisar",0)</f>
        <v>Evento Camara Comercio</v>
      </c>
      <c r="K56" s="20" t="s">
        <v>143</v>
      </c>
      <c r="L56" s="18">
        <v>6</v>
      </c>
      <c r="M56" s="18" t="s">
        <v>321</v>
      </c>
      <c r="N56" s="14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15" customHeight="1" x14ac:dyDescent="0.3">
      <c r="A57" s="13">
        <v>46167</v>
      </c>
      <c r="B57" s="14" t="s">
        <v>338</v>
      </c>
      <c r="C57" s="15">
        <v>-63497</v>
      </c>
      <c r="D57" s="17" t="s">
        <v>339</v>
      </c>
      <c r="E57" s="14" t="s">
        <v>340</v>
      </c>
      <c r="F57" s="18">
        <v>5</v>
      </c>
      <c r="G57" s="12" t="str">
        <f>IFERROR(VLOOKUP(D57,Data!$A:$B,2,0),"Revisar")</f>
        <v>Gastos Variables</v>
      </c>
      <c r="H57" s="20" t="s">
        <v>24</v>
      </c>
      <c r="I57" s="157" t="str">
        <f t="array" ref="I57">_xlfn.XLOOKUP($H57,Data!$E:$E,Data!$F:$F,"Revisar",0)</f>
        <v>NA</v>
      </c>
      <c r="J57" s="157" t="str">
        <f t="array" ref="J57">_xlfn.XLOOKUP($H57,Data!$E:$E,Data!$G:$G,"Revisar",0)</f>
        <v>NA</v>
      </c>
      <c r="K57" s="20" t="s">
        <v>24</v>
      </c>
      <c r="L57" s="18">
        <f t="shared" ref="L57:L58" si="7">F57</f>
        <v>5</v>
      </c>
      <c r="M57" s="20"/>
      <c r="N57" s="14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15" customHeight="1" x14ac:dyDescent="0.3">
      <c r="A58" s="13">
        <v>46166</v>
      </c>
      <c r="B58" s="14" t="s">
        <v>31</v>
      </c>
      <c r="C58" s="15">
        <v>165</v>
      </c>
      <c r="D58" s="17" t="s">
        <v>32</v>
      </c>
      <c r="E58" s="14" t="s">
        <v>32</v>
      </c>
      <c r="F58" s="18">
        <v>5</v>
      </c>
      <c r="G58" s="12" t="str">
        <f>IFERROR(VLOOKUP(D58,Data!$A:$B,2,0),"Revisar")</f>
        <v>Gastos Variables</v>
      </c>
      <c r="H58" s="20" t="s">
        <v>24</v>
      </c>
      <c r="I58" s="157" t="str">
        <f t="array" ref="I58">_xlfn.XLOOKUP($H58,Data!$E:$E,Data!$F:$F,"Revisar",0)</f>
        <v>NA</v>
      </c>
      <c r="J58" s="157" t="str">
        <f t="array" ref="J58">_xlfn.XLOOKUP($H58,Data!$E:$E,Data!$G:$G,"Revisar",0)</f>
        <v>NA</v>
      </c>
      <c r="K58" s="20" t="s">
        <v>24</v>
      </c>
      <c r="L58" s="18">
        <f t="shared" si="7"/>
        <v>5</v>
      </c>
      <c r="M58" s="20"/>
      <c r="N58" s="14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15" customHeight="1" x14ac:dyDescent="0.3">
      <c r="A59" s="13">
        <v>46163</v>
      </c>
      <c r="B59" s="14" t="s">
        <v>108</v>
      </c>
      <c r="C59" s="15">
        <v>-4688600</v>
      </c>
      <c r="D59" s="17" t="s">
        <v>138</v>
      </c>
      <c r="E59" s="14" t="s">
        <v>343</v>
      </c>
      <c r="F59" s="18">
        <v>5</v>
      </c>
      <c r="G59" s="12" t="str">
        <f>IFERROR(VLOOKUP(D59,Data!$A:$B,2,0),"Revisar")</f>
        <v>Costo Ventas</v>
      </c>
      <c r="H59" s="20" t="s">
        <v>76</v>
      </c>
      <c r="I59" s="157" t="str">
        <f t="array" ref="I59">_xlfn.XLOOKUP($H59,Data!$E:$E,Data!$F:$F,"Revisar",0)</f>
        <v>AXIS</v>
      </c>
      <c r="J59" s="157" t="str">
        <f t="array" ref="J59">_xlfn.XLOOKUP($H59,Data!$E:$E,Data!$G:$G,"Revisar",0)</f>
        <v>Evento mundial de fútbol y merchandising</v>
      </c>
      <c r="K59" s="20" t="s">
        <v>143</v>
      </c>
      <c r="L59" s="18">
        <v>6</v>
      </c>
      <c r="M59" s="20" t="s">
        <v>114</v>
      </c>
      <c r="N59" s="14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t="15" customHeight="1" x14ac:dyDescent="0.3">
      <c r="A60" s="13">
        <v>46162</v>
      </c>
      <c r="B60" s="14" t="s">
        <v>31</v>
      </c>
      <c r="C60" s="15">
        <v>48</v>
      </c>
      <c r="D60" s="17" t="s">
        <v>32</v>
      </c>
      <c r="E60" s="14" t="s">
        <v>32</v>
      </c>
      <c r="F60" s="18">
        <v>5</v>
      </c>
      <c r="G60" s="12" t="str">
        <f>IFERROR(VLOOKUP(D60,Data!$A:$B,2,0),"Revisar")</f>
        <v>Gastos Variables</v>
      </c>
      <c r="H60" s="20" t="s">
        <v>24</v>
      </c>
      <c r="I60" s="157" t="str">
        <f t="array" ref="I60">_xlfn.XLOOKUP($H60,Data!$E:$E,Data!$F:$F,"Revisar",0)</f>
        <v>NA</v>
      </c>
      <c r="J60" s="157" t="str">
        <f t="array" ref="J60">_xlfn.XLOOKUP($H60,Data!$E:$E,Data!$G:$G,"Revisar",0)</f>
        <v>NA</v>
      </c>
      <c r="K60" s="20" t="s">
        <v>24</v>
      </c>
      <c r="L60" s="18">
        <f t="shared" ref="L60:L70" si="8">F60</f>
        <v>5</v>
      </c>
      <c r="M60" s="20"/>
      <c r="N60" s="14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15" customHeight="1" x14ac:dyDescent="0.3">
      <c r="A61" s="13">
        <v>46162</v>
      </c>
      <c r="B61" s="14" t="s">
        <v>348</v>
      </c>
      <c r="C61" s="15">
        <v>-237214</v>
      </c>
      <c r="D61" s="17" t="s">
        <v>70</v>
      </c>
      <c r="E61" s="14" t="s">
        <v>350</v>
      </c>
      <c r="F61" s="18">
        <v>5</v>
      </c>
      <c r="G61" s="12" t="str">
        <f>IFERROR(VLOOKUP(D61,Data!$A:$B,2,0),"Revisar")</f>
        <v>Costos Operacionales</v>
      </c>
      <c r="H61" s="20" t="s">
        <v>24</v>
      </c>
      <c r="I61" s="157" t="str">
        <f t="array" ref="I61">_xlfn.XLOOKUP($H61,Data!$E:$E,Data!$F:$F,"Revisar",0)</f>
        <v>NA</v>
      </c>
      <c r="J61" s="157" t="str">
        <f t="array" ref="J61">_xlfn.XLOOKUP($H61,Data!$E:$E,Data!$G:$G,"Revisar",0)</f>
        <v>NA</v>
      </c>
      <c r="K61" s="20" t="s">
        <v>24</v>
      </c>
      <c r="L61" s="18">
        <f t="shared" si="8"/>
        <v>5</v>
      </c>
      <c r="M61" s="20" t="s">
        <v>217</v>
      </c>
      <c r="N61" s="14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15" customHeight="1" x14ac:dyDescent="0.3">
      <c r="A62" s="13">
        <v>46161</v>
      </c>
      <c r="B62" s="14" t="s">
        <v>31</v>
      </c>
      <c r="C62" s="15">
        <v>48</v>
      </c>
      <c r="D62" s="17" t="s">
        <v>32</v>
      </c>
      <c r="E62" s="14" t="s">
        <v>32</v>
      </c>
      <c r="F62" s="18">
        <v>5</v>
      </c>
      <c r="G62" s="12" t="str">
        <f>IFERROR(VLOOKUP(D62,Data!$A:$B,2,0),"Revisar")</f>
        <v>Gastos Variables</v>
      </c>
      <c r="H62" s="20" t="s">
        <v>24</v>
      </c>
      <c r="I62" s="157" t="str">
        <f t="array" ref="I62">_xlfn.XLOOKUP($H62,Data!$E:$E,Data!$F:$F,"Revisar",0)</f>
        <v>NA</v>
      </c>
      <c r="J62" s="157" t="str">
        <f t="array" ref="J62">_xlfn.XLOOKUP($H62,Data!$E:$E,Data!$G:$G,"Revisar",0)</f>
        <v>NA</v>
      </c>
      <c r="K62" s="20" t="s">
        <v>24</v>
      </c>
      <c r="L62" s="18">
        <f t="shared" si="8"/>
        <v>5</v>
      </c>
      <c r="M62" s="20"/>
      <c r="N62" s="14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15" customHeight="1" x14ac:dyDescent="0.3">
      <c r="A63" s="13">
        <v>46161</v>
      </c>
      <c r="B63" s="14" t="s">
        <v>360</v>
      </c>
      <c r="C63" s="15">
        <v>-3819000</v>
      </c>
      <c r="D63" s="17" t="s">
        <v>361</v>
      </c>
      <c r="E63" s="14" t="s">
        <v>362</v>
      </c>
      <c r="F63" s="18">
        <v>5</v>
      </c>
      <c r="G63" s="12" t="str">
        <f>IFERROR(VLOOKUP(D63,Data!$A:$B,2,0),"Revisar")</f>
        <v>Impuestos</v>
      </c>
      <c r="H63" s="20" t="s">
        <v>24</v>
      </c>
      <c r="I63" s="157" t="str">
        <f t="array" ref="I63">_xlfn.XLOOKUP($H63,Data!$E:$E,Data!$F:$F,"Revisar",0)</f>
        <v>NA</v>
      </c>
      <c r="J63" s="157" t="str">
        <f t="array" ref="J63">_xlfn.XLOOKUP($H63,Data!$E:$E,Data!$G:$G,"Revisar",0)</f>
        <v>NA</v>
      </c>
      <c r="K63" s="20" t="s">
        <v>24</v>
      </c>
      <c r="L63" s="18">
        <f t="shared" si="8"/>
        <v>5</v>
      </c>
      <c r="M63" s="20"/>
      <c r="N63" s="14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15" customHeight="1" x14ac:dyDescent="0.3">
      <c r="A64" s="13">
        <v>46160</v>
      </c>
      <c r="B64" s="14" t="s">
        <v>31</v>
      </c>
      <c r="C64" s="15">
        <v>213</v>
      </c>
      <c r="D64" s="17" t="s">
        <v>32</v>
      </c>
      <c r="E64" s="14" t="s">
        <v>32</v>
      </c>
      <c r="F64" s="18">
        <v>5</v>
      </c>
      <c r="G64" s="12" t="str">
        <f>IFERROR(VLOOKUP(D64,Data!$A:$B,2,0),"Revisar")</f>
        <v>Gastos Variables</v>
      </c>
      <c r="H64" s="20" t="s">
        <v>24</v>
      </c>
      <c r="I64" s="157" t="str">
        <f t="array" ref="I64">_xlfn.XLOOKUP($H64,Data!$E:$E,Data!$F:$F,"Revisar",0)</f>
        <v>NA</v>
      </c>
      <c r="J64" s="157" t="str">
        <f t="array" ref="J64">_xlfn.XLOOKUP($H64,Data!$E:$E,Data!$G:$G,"Revisar",0)</f>
        <v>NA</v>
      </c>
      <c r="K64" s="20" t="s">
        <v>24</v>
      </c>
      <c r="L64" s="18">
        <f t="shared" si="8"/>
        <v>5</v>
      </c>
      <c r="M64" s="20"/>
      <c r="N64" s="14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15" customHeight="1" x14ac:dyDescent="0.3">
      <c r="A65" s="13">
        <v>46156</v>
      </c>
      <c r="B65" s="14" t="s">
        <v>375</v>
      </c>
      <c r="C65" s="15">
        <v>-18050</v>
      </c>
      <c r="D65" s="17" t="s">
        <v>55</v>
      </c>
      <c r="E65" s="14" t="s">
        <v>376</v>
      </c>
      <c r="F65" s="18">
        <v>5</v>
      </c>
      <c r="G65" s="12" t="str">
        <f>IFERROR(VLOOKUP(D65,Data!$A:$B,2,0),"Revisar")</f>
        <v>Costos Fijos</v>
      </c>
      <c r="H65" s="20" t="s">
        <v>24</v>
      </c>
      <c r="I65" s="157" t="str">
        <f t="array" ref="I65">_xlfn.XLOOKUP($H65,Data!$E:$E,Data!$F:$F,"Revisar",0)</f>
        <v>NA</v>
      </c>
      <c r="J65" s="157" t="str">
        <f t="array" ref="J65">_xlfn.XLOOKUP($H65,Data!$E:$E,Data!$G:$G,"Revisar",0)</f>
        <v>NA</v>
      </c>
      <c r="K65" s="20" t="s">
        <v>24</v>
      </c>
      <c r="L65" s="18">
        <f t="shared" si="8"/>
        <v>5</v>
      </c>
      <c r="M65" s="20"/>
      <c r="N65" s="14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15" customHeight="1" x14ac:dyDescent="0.3">
      <c r="A66" s="13">
        <v>46156</v>
      </c>
      <c r="B66" s="14" t="s">
        <v>57</v>
      </c>
      <c r="C66" s="15">
        <v>0</v>
      </c>
      <c r="D66" s="17" t="s">
        <v>32</v>
      </c>
      <c r="E66" s="14" t="s">
        <v>32</v>
      </c>
      <c r="F66" s="18">
        <v>5</v>
      </c>
      <c r="G66" s="12" t="str">
        <f>IFERROR(VLOOKUP(D66,Data!$A:$B,2,0),"Revisar")</f>
        <v>Gastos Variables</v>
      </c>
      <c r="H66" s="20" t="s">
        <v>24</v>
      </c>
      <c r="I66" s="157" t="str">
        <f t="array" ref="I66">_xlfn.XLOOKUP($H66,Data!$E:$E,Data!$F:$F,"Revisar",0)</f>
        <v>NA</v>
      </c>
      <c r="J66" s="157" t="str">
        <f t="array" ref="J66">_xlfn.XLOOKUP($H66,Data!$E:$E,Data!$G:$G,"Revisar",0)</f>
        <v>NA</v>
      </c>
      <c r="K66" s="20" t="s">
        <v>24</v>
      </c>
      <c r="L66" s="18">
        <f t="shared" si="8"/>
        <v>5</v>
      </c>
      <c r="M66" s="20"/>
      <c r="N66" s="14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15" customHeight="1" x14ac:dyDescent="0.3">
      <c r="A67" s="13">
        <v>46156</v>
      </c>
      <c r="B67" s="14" t="s">
        <v>31</v>
      </c>
      <c r="C67" s="15">
        <v>533</v>
      </c>
      <c r="D67" s="17" t="s">
        <v>32</v>
      </c>
      <c r="E67" s="14" t="s">
        <v>32</v>
      </c>
      <c r="F67" s="18">
        <v>5</v>
      </c>
      <c r="G67" s="12" t="str">
        <f>IFERROR(VLOOKUP(D67,Data!$A:$B,2,0),"Revisar")</f>
        <v>Gastos Variables</v>
      </c>
      <c r="H67" s="20" t="s">
        <v>24</v>
      </c>
      <c r="I67" s="157" t="str">
        <f t="array" ref="I67">_xlfn.XLOOKUP($H67,Data!$E:$E,Data!$F:$F,"Revisar",0)</f>
        <v>NA</v>
      </c>
      <c r="J67" s="157" t="str">
        <f t="array" ref="J67">_xlfn.XLOOKUP($H67,Data!$E:$E,Data!$G:$G,"Revisar",0)</f>
        <v>NA</v>
      </c>
      <c r="K67" s="20" t="s">
        <v>24</v>
      </c>
      <c r="L67" s="18">
        <f t="shared" si="8"/>
        <v>5</v>
      </c>
      <c r="M67" s="20"/>
      <c r="N67" s="14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15" customHeight="1" x14ac:dyDescent="0.3">
      <c r="A68" s="13">
        <v>46147</v>
      </c>
      <c r="B68" s="14" t="s">
        <v>108</v>
      </c>
      <c r="C68" s="15">
        <v>-32000</v>
      </c>
      <c r="D68" s="17" t="s">
        <v>138</v>
      </c>
      <c r="E68" s="14" t="s">
        <v>392</v>
      </c>
      <c r="F68" s="18">
        <v>5</v>
      </c>
      <c r="G68" s="12" t="str">
        <f>IFERROR(VLOOKUP(D68,Data!$A:$B,2,0),"Revisar")</f>
        <v>Costo Ventas</v>
      </c>
      <c r="H68" s="20" t="s">
        <v>225</v>
      </c>
      <c r="I68" s="157" t="str">
        <f t="array" ref="I68">_xlfn.XLOOKUP($H68,Data!$E:$E,Data!$F:$F,"Revisar",0)</f>
        <v>Commscope</v>
      </c>
      <c r="J68" s="157" t="str">
        <f t="array" ref="J68">_xlfn.XLOOKUP($H68,Data!$E:$E,Data!$G:$G,"Revisar",0)</f>
        <v>Regalos Cartagena</v>
      </c>
      <c r="K68" s="20" t="s">
        <v>143</v>
      </c>
      <c r="L68" s="18">
        <f t="shared" si="8"/>
        <v>5</v>
      </c>
      <c r="M68" s="18" t="s">
        <v>396</v>
      </c>
      <c r="N68" s="14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15" customHeight="1" x14ac:dyDescent="0.3">
      <c r="A69" s="13">
        <v>46146</v>
      </c>
      <c r="B69" s="14" t="s">
        <v>31</v>
      </c>
      <c r="C69" s="15">
        <v>53</v>
      </c>
      <c r="D69" s="17" t="s">
        <v>32</v>
      </c>
      <c r="E69" s="14" t="s">
        <v>32</v>
      </c>
      <c r="F69" s="18">
        <v>5</v>
      </c>
      <c r="G69" s="12" t="str">
        <f>IFERROR(VLOOKUP(D69,Data!$A:$B,2,0),"Revisar")</f>
        <v>Gastos Variables</v>
      </c>
      <c r="H69" s="20" t="s">
        <v>24</v>
      </c>
      <c r="I69" s="157" t="str">
        <f t="array" ref="I69">_xlfn.XLOOKUP($H69,Data!$E:$E,Data!$F:$F,"Revisar",0)</f>
        <v>NA</v>
      </c>
      <c r="J69" s="157" t="str">
        <f t="array" ref="J69">_xlfn.XLOOKUP($H69,Data!$E:$E,Data!$G:$G,"Revisar",0)</f>
        <v>NA</v>
      </c>
      <c r="K69" s="20" t="s">
        <v>24</v>
      </c>
      <c r="L69" s="18">
        <f t="shared" si="8"/>
        <v>5</v>
      </c>
      <c r="M69" s="20"/>
      <c r="N69" s="14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15" customHeight="1" x14ac:dyDescent="0.3">
      <c r="A70" s="13">
        <v>46146</v>
      </c>
      <c r="B70" s="14" t="s">
        <v>108</v>
      </c>
      <c r="C70" s="15">
        <v>-3000000</v>
      </c>
      <c r="D70" s="17" t="s">
        <v>138</v>
      </c>
      <c r="E70" s="14" t="s">
        <v>392</v>
      </c>
      <c r="F70" s="18">
        <v>5</v>
      </c>
      <c r="G70" s="12" t="str">
        <f>IFERROR(VLOOKUP(D70,Data!$A:$B,2,0),"Revisar")</f>
        <v>Costo Ventas</v>
      </c>
      <c r="H70" s="20" t="s">
        <v>225</v>
      </c>
      <c r="I70" s="157" t="str">
        <f t="array" ref="I70">_xlfn.XLOOKUP($H70,Data!$E:$E,Data!$F:$F,"Revisar",0)</f>
        <v>Commscope</v>
      </c>
      <c r="J70" s="157" t="str">
        <f t="array" ref="J70">_xlfn.XLOOKUP($H70,Data!$E:$E,Data!$G:$G,"Revisar",0)</f>
        <v>Regalos Cartagena</v>
      </c>
      <c r="K70" s="20" t="s">
        <v>143</v>
      </c>
      <c r="L70" s="18">
        <f t="shared" si="8"/>
        <v>5</v>
      </c>
      <c r="M70" s="18" t="s">
        <v>396</v>
      </c>
      <c r="N70" s="14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15" customHeight="1" x14ac:dyDescent="0.3">
      <c r="A71" s="13">
        <v>46146</v>
      </c>
      <c r="B71" s="14" t="s">
        <v>401</v>
      </c>
      <c r="C71" s="15">
        <v>-1490000</v>
      </c>
      <c r="D71" s="17" t="s">
        <v>138</v>
      </c>
      <c r="E71" s="14" t="s">
        <v>402</v>
      </c>
      <c r="F71" s="18">
        <v>5</v>
      </c>
      <c r="G71" s="12" t="str">
        <f>IFERROR(VLOOKUP(D71,Data!$A:$B,2,0),"Revisar")</f>
        <v>Costo Ventas</v>
      </c>
      <c r="H71" s="20" t="s">
        <v>76</v>
      </c>
      <c r="I71" s="157" t="str">
        <f t="array" ref="I71">_xlfn.XLOOKUP($H71,Data!$E:$E,Data!$F:$F,"Revisar",0)</f>
        <v>AXIS</v>
      </c>
      <c r="J71" s="157" t="str">
        <f t="array" ref="J71">_xlfn.XLOOKUP($H71,Data!$E:$E,Data!$G:$G,"Revisar",0)</f>
        <v>Evento mundial de fútbol y merchandising</v>
      </c>
      <c r="K71" s="20" t="s">
        <v>143</v>
      </c>
      <c r="L71" s="18">
        <v>6</v>
      </c>
      <c r="M71" s="20" t="s">
        <v>148</v>
      </c>
      <c r="N71" s="14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15" customHeight="1" x14ac:dyDescent="0.3">
      <c r="A72" s="13">
        <v>46146</v>
      </c>
      <c r="B72" s="14" t="s">
        <v>401</v>
      </c>
      <c r="C72" s="15">
        <v>-3120000</v>
      </c>
      <c r="D72" s="17" t="s">
        <v>138</v>
      </c>
      <c r="E72" s="14" t="s">
        <v>408</v>
      </c>
      <c r="F72" s="18">
        <v>5</v>
      </c>
      <c r="G72" s="12" t="str">
        <f>IFERROR(VLOOKUP(D72,Data!$A:$B,2,0),"Revisar")</f>
        <v>Costo Ventas</v>
      </c>
      <c r="H72" s="20" t="s">
        <v>76</v>
      </c>
      <c r="I72" s="157" t="str">
        <f t="array" ref="I72">_xlfn.XLOOKUP($H72,Data!$E:$E,Data!$F:$F,"Revisar",0)</f>
        <v>AXIS</v>
      </c>
      <c r="J72" s="157" t="str">
        <f t="array" ref="J72">_xlfn.XLOOKUP($H72,Data!$E:$E,Data!$G:$G,"Revisar",0)</f>
        <v>Evento mundial de fútbol y merchandising</v>
      </c>
      <c r="K72" s="20" t="s">
        <v>143</v>
      </c>
      <c r="L72" s="18">
        <v>6</v>
      </c>
      <c r="M72" s="20" t="s">
        <v>154</v>
      </c>
      <c r="N72" s="14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15" customHeight="1" x14ac:dyDescent="0.3">
      <c r="A73" s="13">
        <v>46145</v>
      </c>
      <c r="B73" s="14" t="s">
        <v>31</v>
      </c>
      <c r="C73" s="15">
        <v>191</v>
      </c>
      <c r="D73" s="17" t="s">
        <v>32</v>
      </c>
      <c r="E73" s="14" t="s">
        <v>32</v>
      </c>
      <c r="F73" s="18">
        <v>5</v>
      </c>
      <c r="G73" s="12" t="str">
        <f>IFERROR(VLOOKUP(D73,Data!$A:$B,2,0),"Revisar")</f>
        <v>Gastos Variables</v>
      </c>
      <c r="H73" s="20" t="s">
        <v>24</v>
      </c>
      <c r="I73" s="157" t="str">
        <f t="array" ref="I73">_xlfn.XLOOKUP($H73,Data!$E:$E,Data!$F:$F,"Revisar",0)</f>
        <v>NA</v>
      </c>
      <c r="J73" s="157" t="str">
        <f t="array" ref="J73">_xlfn.XLOOKUP($H73,Data!$E:$E,Data!$G:$G,"Revisar",0)</f>
        <v>NA</v>
      </c>
      <c r="K73" s="20" t="s">
        <v>24</v>
      </c>
      <c r="L73" s="18">
        <f t="shared" ref="L73:L77" si="9">F73</f>
        <v>5</v>
      </c>
      <c r="M73" s="20"/>
      <c r="N73" s="14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15" customHeight="1" x14ac:dyDescent="0.3">
      <c r="A74" s="13">
        <v>46143</v>
      </c>
      <c r="B74" s="14" t="s">
        <v>415</v>
      </c>
      <c r="C74" s="15">
        <v>-101847</v>
      </c>
      <c r="D74" s="17" t="s">
        <v>298</v>
      </c>
      <c r="E74" s="14" t="s">
        <v>416</v>
      </c>
      <c r="F74" s="18">
        <v>5</v>
      </c>
      <c r="G74" s="12" t="str">
        <f>IFERROR(VLOOKUP(D74,Data!$A:$B,2,0),"Revisar")</f>
        <v>Costos Operacionales</v>
      </c>
      <c r="H74" s="20" t="s">
        <v>24</v>
      </c>
      <c r="I74" s="157" t="str">
        <f t="array" ref="I74">_xlfn.XLOOKUP($H74,Data!$E:$E,Data!$F:$F,"Revisar",0)</f>
        <v>NA</v>
      </c>
      <c r="J74" s="157" t="str">
        <f t="array" ref="J74">_xlfn.XLOOKUP($H74,Data!$E:$E,Data!$G:$G,"Revisar",0)</f>
        <v>NA</v>
      </c>
      <c r="K74" s="20" t="s">
        <v>24</v>
      </c>
      <c r="L74" s="18">
        <f t="shared" si="9"/>
        <v>5</v>
      </c>
      <c r="M74" s="20"/>
      <c r="N74" s="14" t="s">
        <v>419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15" customHeight="1" x14ac:dyDescent="0.3">
      <c r="A75" s="13">
        <v>46168</v>
      </c>
      <c r="B75" s="14" t="s">
        <v>31</v>
      </c>
      <c r="C75" s="15">
        <v>34</v>
      </c>
      <c r="D75" s="17" t="s">
        <v>32</v>
      </c>
      <c r="E75" s="14" t="s">
        <v>32</v>
      </c>
      <c r="F75" s="18">
        <v>5</v>
      </c>
      <c r="G75" s="12" t="str">
        <f>IFERROR(VLOOKUP(D75,Data!$A:$B,2,0),"Revisar")</f>
        <v>Gastos Variables</v>
      </c>
      <c r="H75" s="20" t="s">
        <v>24</v>
      </c>
      <c r="I75" s="157" t="str">
        <f t="array" ref="I75">_xlfn.XLOOKUP($H75,Data!$E:$E,Data!$F:$F,"Revisar",0)</f>
        <v>NA</v>
      </c>
      <c r="J75" s="157" t="str">
        <f t="array" ref="J75">_xlfn.XLOOKUP($H75,Data!$E:$E,Data!$G:$G,"Revisar",0)</f>
        <v>NA</v>
      </c>
      <c r="K75" s="20" t="s">
        <v>24</v>
      </c>
      <c r="L75" s="18">
        <f t="shared" si="9"/>
        <v>5</v>
      </c>
      <c r="M75" s="20"/>
      <c r="N75" s="14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15" customHeight="1" x14ac:dyDescent="0.3">
      <c r="A76" s="13">
        <v>46169</v>
      </c>
      <c r="B76" s="14" t="s">
        <v>31</v>
      </c>
      <c r="C76" s="15">
        <v>11</v>
      </c>
      <c r="D76" s="17" t="s">
        <v>32</v>
      </c>
      <c r="E76" s="14" t="s">
        <v>32</v>
      </c>
      <c r="F76" s="18">
        <v>5</v>
      </c>
      <c r="G76" s="12" t="str">
        <f>IFERROR(VLOOKUP(D76,Data!$A:$B,2,0),"Revisar")</f>
        <v>Gastos Variables</v>
      </c>
      <c r="H76" s="20" t="s">
        <v>24</v>
      </c>
      <c r="I76" s="157" t="str">
        <f t="array" ref="I76">_xlfn.XLOOKUP($H76,Data!$E:$E,Data!$F:$F,"Revisar",0)</f>
        <v>NA</v>
      </c>
      <c r="J76" s="157" t="str">
        <f t="array" ref="J76">_xlfn.XLOOKUP($H76,Data!$E:$E,Data!$G:$G,"Revisar",0)</f>
        <v>NA</v>
      </c>
      <c r="K76" s="20" t="s">
        <v>24</v>
      </c>
      <c r="L76" s="18">
        <f t="shared" si="9"/>
        <v>5</v>
      </c>
      <c r="M76" s="20"/>
      <c r="N76" s="14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15" customHeight="1" x14ac:dyDescent="0.3">
      <c r="A77" s="13">
        <v>46169</v>
      </c>
      <c r="B77" s="14" t="s">
        <v>77</v>
      </c>
      <c r="C77" s="15">
        <v>-7590</v>
      </c>
      <c r="D77" s="17" t="s">
        <v>78</v>
      </c>
      <c r="E77" s="14" t="s">
        <v>78</v>
      </c>
      <c r="F77" s="18">
        <v>5</v>
      </c>
      <c r="G77" s="12" t="str">
        <f>IFERROR(VLOOKUP(D77,Data!$A:$B,2,0),"Revisar")</f>
        <v>Gastos Variables</v>
      </c>
      <c r="H77" s="20" t="s">
        <v>24</v>
      </c>
      <c r="I77" s="157" t="str">
        <f t="array" ref="I77">_xlfn.XLOOKUP($H77,Data!$E:$E,Data!$F:$F,"Revisar",0)</f>
        <v>NA</v>
      </c>
      <c r="J77" s="157" t="str">
        <f t="array" ref="J77">_xlfn.XLOOKUP($H77,Data!$E:$E,Data!$G:$G,"Revisar",0)</f>
        <v>NA</v>
      </c>
      <c r="K77" s="20" t="s">
        <v>24</v>
      </c>
      <c r="L77" s="18">
        <f t="shared" si="9"/>
        <v>5</v>
      </c>
      <c r="M77" s="20"/>
      <c r="N77" s="14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15" customHeight="1" x14ac:dyDescent="0.3">
      <c r="A78" s="13">
        <v>46169</v>
      </c>
      <c r="B78" s="14" t="s">
        <v>84</v>
      </c>
      <c r="C78" s="15">
        <v>-3711610</v>
      </c>
      <c r="D78" s="17" t="s">
        <v>138</v>
      </c>
      <c r="E78" s="14" t="s">
        <v>422</v>
      </c>
      <c r="F78" s="18">
        <v>5</v>
      </c>
      <c r="G78" s="12" t="str">
        <f>IFERROR(VLOOKUP(D78,Data!$A:$B,2,0),"Revisar")</f>
        <v>Costo Ventas</v>
      </c>
      <c r="H78" s="20" t="s">
        <v>182</v>
      </c>
      <c r="I78" s="157" t="str">
        <f t="array" ref="I78">_xlfn.XLOOKUP($H78,Data!$E:$E,Data!$F:$F,"Revisar",0)</f>
        <v>Psiconometrics</v>
      </c>
      <c r="J78" s="157" t="str">
        <f t="array" ref="J78">_xlfn.XLOOKUP($H78,Data!$E:$E,Data!$G:$G,"Revisar",0)</f>
        <v>Evento Camara Comercio</v>
      </c>
      <c r="K78" s="20" t="s">
        <v>143</v>
      </c>
      <c r="L78" s="18">
        <v>6</v>
      </c>
      <c r="M78" s="18" t="s">
        <v>296</v>
      </c>
      <c r="N78" s="14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15" customHeight="1" x14ac:dyDescent="0.3">
      <c r="A79" s="13">
        <v>46169</v>
      </c>
      <c r="B79" s="14" t="s">
        <v>338</v>
      </c>
      <c r="C79" s="15">
        <v>-16244</v>
      </c>
      <c r="D79" s="17" t="s">
        <v>339</v>
      </c>
      <c r="E79" s="14" t="s">
        <v>340</v>
      </c>
      <c r="F79" s="18">
        <v>5</v>
      </c>
      <c r="G79" s="12" t="str">
        <f>IFERROR(VLOOKUP(D79,Data!$A:$B,2,0),"Revisar")</f>
        <v>Gastos Variables</v>
      </c>
      <c r="H79" s="20" t="s">
        <v>24</v>
      </c>
      <c r="I79" s="157" t="str">
        <f t="array" ref="I79">_xlfn.XLOOKUP($H79,Data!$E:$E,Data!$F:$F,"Revisar",0)</f>
        <v>NA</v>
      </c>
      <c r="J79" s="157" t="str">
        <f t="array" ref="J79">_xlfn.XLOOKUP($H79,Data!$E:$E,Data!$G:$G,"Revisar",0)</f>
        <v>NA</v>
      </c>
      <c r="K79" s="20" t="s">
        <v>24</v>
      </c>
      <c r="L79" s="18">
        <f t="shared" ref="L79:L83" si="10">F79</f>
        <v>5</v>
      </c>
      <c r="M79" s="20"/>
      <c r="N79" s="14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15" customHeight="1" x14ac:dyDescent="0.3">
      <c r="A80" s="13">
        <v>46169</v>
      </c>
      <c r="B80" s="14" t="s">
        <v>427</v>
      </c>
      <c r="C80" s="15">
        <v>-340387</v>
      </c>
      <c r="D80" s="17" t="s">
        <v>70</v>
      </c>
      <c r="E80" s="14" t="s">
        <v>428</v>
      </c>
      <c r="F80" s="18">
        <v>5</v>
      </c>
      <c r="G80" s="12" t="str">
        <f>IFERROR(VLOOKUP(D80,Data!$A:$B,2,0),"Revisar")</f>
        <v>Costos Operacionales</v>
      </c>
      <c r="H80" s="20"/>
      <c r="I80" s="20" t="s">
        <v>230</v>
      </c>
      <c r="J80" s="20" t="s">
        <v>63</v>
      </c>
      <c r="K80" s="20" t="s">
        <v>24</v>
      </c>
      <c r="L80" s="18">
        <f t="shared" si="10"/>
        <v>5</v>
      </c>
      <c r="M80" s="20" t="s">
        <v>232</v>
      </c>
      <c r="N80" s="14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15" customHeight="1" x14ac:dyDescent="0.3">
      <c r="A81" s="13">
        <v>46169</v>
      </c>
      <c r="B81" s="14" t="s">
        <v>89</v>
      </c>
      <c r="C81" s="15">
        <v>-1442</v>
      </c>
      <c r="D81" s="17" t="s">
        <v>90</v>
      </c>
      <c r="E81" s="14" t="s">
        <v>90</v>
      </c>
      <c r="F81" s="18">
        <v>5</v>
      </c>
      <c r="G81" s="12" t="str">
        <f>IFERROR(VLOOKUP(D81,Data!$A:$B,2,0),"Revisar")</f>
        <v>Imp x Pagar - IVA</v>
      </c>
      <c r="H81" s="20" t="s">
        <v>24</v>
      </c>
      <c r="I81" s="157" t="str">
        <f t="array" ref="I81">_xlfn.XLOOKUP($H81,Data!$E:$E,Data!$F:$F,"Revisar",0)</f>
        <v>NA</v>
      </c>
      <c r="J81" s="157" t="str">
        <f t="array" ref="J81">_xlfn.XLOOKUP($H81,Data!$E:$E,Data!$G:$G,"Revisar",0)</f>
        <v>NA</v>
      </c>
      <c r="K81" s="20" t="s">
        <v>24</v>
      </c>
      <c r="L81" s="18">
        <f t="shared" si="10"/>
        <v>5</v>
      </c>
      <c r="M81" s="20"/>
      <c r="N81" s="14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15" customHeight="1" x14ac:dyDescent="0.3">
      <c r="A82" s="13">
        <v>46170</v>
      </c>
      <c r="B82" s="14" t="s">
        <v>31</v>
      </c>
      <c r="C82" s="15">
        <v>9</v>
      </c>
      <c r="D82" s="17" t="s">
        <v>32</v>
      </c>
      <c r="E82" s="14" t="s">
        <v>32</v>
      </c>
      <c r="F82" s="18">
        <v>5</v>
      </c>
      <c r="G82" s="12" t="str">
        <f>IFERROR(VLOOKUP(D82,Data!$A:$B,2,0),"Revisar")</f>
        <v>Gastos Variables</v>
      </c>
      <c r="H82" s="20" t="s">
        <v>24</v>
      </c>
      <c r="I82" s="157" t="str">
        <f t="array" ref="I82">_xlfn.XLOOKUP($H82,Data!$E:$E,Data!$F:$F,"Revisar",0)</f>
        <v>NA</v>
      </c>
      <c r="J82" s="157" t="str">
        <f t="array" ref="J82">_xlfn.XLOOKUP($H82,Data!$E:$E,Data!$G:$G,"Revisar",0)</f>
        <v>NA</v>
      </c>
      <c r="K82" s="20" t="s">
        <v>24</v>
      </c>
      <c r="L82" s="18">
        <f t="shared" si="10"/>
        <v>5</v>
      </c>
      <c r="M82" s="20"/>
      <c r="N82" s="14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15" customHeight="1" x14ac:dyDescent="0.3">
      <c r="A83" s="13">
        <v>46170</v>
      </c>
      <c r="B83" s="14" t="s">
        <v>338</v>
      </c>
      <c r="C83" s="15">
        <v>-6647</v>
      </c>
      <c r="D83" s="17" t="s">
        <v>339</v>
      </c>
      <c r="E83" s="14" t="s">
        <v>340</v>
      </c>
      <c r="F83" s="18">
        <v>5</v>
      </c>
      <c r="G83" s="12" t="str">
        <f>IFERROR(VLOOKUP(D83,Data!$A:$B,2,0),"Revisar")</f>
        <v>Gastos Variables</v>
      </c>
      <c r="H83" s="20" t="s">
        <v>24</v>
      </c>
      <c r="I83" s="157" t="str">
        <f t="array" ref="I83">_xlfn.XLOOKUP($H83,Data!$E:$E,Data!$F:$F,"Revisar",0)</f>
        <v>NA</v>
      </c>
      <c r="J83" s="157" t="str">
        <f t="array" ref="J83">_xlfn.XLOOKUP($H83,Data!$E:$E,Data!$G:$G,"Revisar",0)</f>
        <v>NA</v>
      </c>
      <c r="K83" s="20" t="s">
        <v>24</v>
      </c>
      <c r="L83" s="18">
        <f t="shared" si="10"/>
        <v>5</v>
      </c>
      <c r="M83" s="20"/>
      <c r="N83" s="14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15" customHeight="1" x14ac:dyDescent="0.3">
      <c r="A84" s="13">
        <v>46170</v>
      </c>
      <c r="B84" s="14" t="s">
        <v>439</v>
      </c>
      <c r="C84" s="15">
        <v>-1416870</v>
      </c>
      <c r="D84" s="17" t="s">
        <v>138</v>
      </c>
      <c r="E84" s="14" t="s">
        <v>440</v>
      </c>
      <c r="F84" s="18">
        <v>5</v>
      </c>
      <c r="G84" s="12" t="str">
        <f>IFERROR(VLOOKUP(D84,Data!$A:$B,2,0),"Revisar")</f>
        <v>Costo Ventas</v>
      </c>
      <c r="H84" s="20" t="s">
        <v>182</v>
      </c>
      <c r="I84" s="157" t="str">
        <f t="array" ref="I84">_xlfn.XLOOKUP($H84,Data!$E:$E,Data!$F:$F,"Revisar",0)</f>
        <v>Psiconometrics</v>
      </c>
      <c r="J84" s="157" t="str">
        <f t="array" ref="J84">_xlfn.XLOOKUP($H84,Data!$E:$E,Data!$G:$G,"Revisar",0)</f>
        <v>Evento Camara Comercio</v>
      </c>
      <c r="K84" s="20" t="s">
        <v>143</v>
      </c>
      <c r="L84" s="18">
        <v>6</v>
      </c>
      <c r="M84" s="18" t="s">
        <v>252</v>
      </c>
      <c r="N84" s="14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15" customHeight="1" x14ac:dyDescent="0.3">
      <c r="A85" s="13">
        <v>46170</v>
      </c>
      <c r="B85" s="14" t="s">
        <v>439</v>
      </c>
      <c r="C85" s="15">
        <v>-245000</v>
      </c>
      <c r="D85" s="17" t="s">
        <v>138</v>
      </c>
      <c r="E85" s="14" t="s">
        <v>442</v>
      </c>
      <c r="F85" s="18">
        <v>5</v>
      </c>
      <c r="G85" s="12" t="str">
        <f>IFERROR(VLOOKUP(D85,Data!$A:$B,2,0),"Revisar")</f>
        <v>Costo Ventas</v>
      </c>
      <c r="H85" s="20" t="s">
        <v>182</v>
      </c>
      <c r="I85" s="157" t="str">
        <f t="array" ref="I85">_xlfn.XLOOKUP($H85,Data!$E:$E,Data!$F:$F,"Revisar",0)</f>
        <v>Psiconometrics</v>
      </c>
      <c r="J85" s="157" t="str">
        <f t="array" ref="J85">_xlfn.XLOOKUP($H85,Data!$E:$E,Data!$G:$G,"Revisar",0)</f>
        <v>Evento Camara Comercio</v>
      </c>
      <c r="K85" s="20" t="s">
        <v>143</v>
      </c>
      <c r="L85" s="18">
        <v>6</v>
      </c>
      <c r="M85" s="18" t="s">
        <v>245</v>
      </c>
      <c r="N85" s="14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15" customHeight="1" x14ac:dyDescent="0.3">
      <c r="A86" s="13">
        <v>46171</v>
      </c>
      <c r="B86" s="14" t="s">
        <v>446</v>
      </c>
      <c r="C86" s="15">
        <v>70154606</v>
      </c>
      <c r="D86" s="17" t="s">
        <v>188</v>
      </c>
      <c r="E86" s="14" t="s">
        <v>62</v>
      </c>
      <c r="F86" s="18">
        <v>5</v>
      </c>
      <c r="G86" s="12" t="str">
        <f>IFERROR(VLOOKUP(D86,Data!$A:$B,2,0),"Revisar")</f>
        <v>Ingresos</v>
      </c>
      <c r="H86" s="20" t="s">
        <v>161</v>
      </c>
      <c r="I86" s="157" t="str">
        <f t="array" ref="I86">_xlfn.XLOOKUP($H86,Data!$E:$E,Data!$F:$F,"Revisar",0)</f>
        <v>Kaspersky</v>
      </c>
      <c r="J86" s="157" t="str">
        <f t="array" ref="J86">_xlfn.XLOOKUP($H86,Data!$E:$E,Data!$G:$G,"Revisar",0)</f>
        <v>Bolsa Incentivos 2026</v>
      </c>
      <c r="K86" s="20" t="s">
        <v>143</v>
      </c>
      <c r="L86" s="18">
        <f>F86</f>
        <v>5</v>
      </c>
      <c r="M86" s="20" t="s">
        <v>160</v>
      </c>
      <c r="N86" s="14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15" customHeight="1" x14ac:dyDescent="0.3">
      <c r="A87" s="13">
        <v>46171</v>
      </c>
      <c r="B87" s="14" t="s">
        <v>448</v>
      </c>
      <c r="C87" s="15">
        <v>177255823</v>
      </c>
      <c r="D87" s="17" t="s">
        <v>188</v>
      </c>
      <c r="E87" s="14" t="s">
        <v>449</v>
      </c>
      <c r="F87" s="18">
        <v>5</v>
      </c>
      <c r="G87" s="12" t="str">
        <f>IFERROR(VLOOKUP(D87,Data!$A:$B,2,0),"Revisar")</f>
        <v>Ingresos</v>
      </c>
      <c r="H87" s="20" t="s">
        <v>182</v>
      </c>
      <c r="I87" s="157" t="str">
        <f t="array" ref="I87">_xlfn.XLOOKUP($H87,Data!$E:$E,Data!$F:$F,"Revisar",0)</f>
        <v>Psiconometrics</v>
      </c>
      <c r="J87" s="157" t="str">
        <f t="array" ref="J87">_xlfn.XLOOKUP($H87,Data!$E:$E,Data!$G:$G,"Revisar",0)</f>
        <v>Evento Camara Comercio</v>
      </c>
      <c r="K87" s="20" t="s">
        <v>143</v>
      </c>
      <c r="L87" s="18">
        <v>6</v>
      </c>
      <c r="M87" s="18" t="s">
        <v>181</v>
      </c>
      <c r="N87" s="14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15" customHeight="1" x14ac:dyDescent="0.3">
      <c r="A88" s="13">
        <v>46171</v>
      </c>
      <c r="B88" s="14" t="s">
        <v>31</v>
      </c>
      <c r="C88" s="15">
        <v>1378</v>
      </c>
      <c r="D88" s="17" t="s">
        <v>32</v>
      </c>
      <c r="E88" s="14" t="s">
        <v>32</v>
      </c>
      <c r="F88" s="18">
        <v>5</v>
      </c>
      <c r="G88" s="12" t="str">
        <f>IFERROR(VLOOKUP(D88,Data!$A:$B,2,0),"Revisar")</f>
        <v>Gastos Variables</v>
      </c>
      <c r="H88" s="20" t="s">
        <v>24</v>
      </c>
      <c r="I88" s="157" t="str">
        <f t="array" ref="I88">_xlfn.XLOOKUP($H88,Data!$E:$E,Data!$F:$F,"Revisar",0)</f>
        <v>NA</v>
      </c>
      <c r="J88" s="157" t="str">
        <f t="array" ref="J88">_xlfn.XLOOKUP($H88,Data!$E:$E,Data!$G:$G,"Revisar",0)</f>
        <v>NA</v>
      </c>
      <c r="K88" s="20" t="s">
        <v>24</v>
      </c>
      <c r="L88" s="18">
        <f t="shared" ref="L88:L90" si="11">F88</f>
        <v>5</v>
      </c>
      <c r="M88" s="20"/>
      <c r="N88" s="14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t="15" customHeight="1" x14ac:dyDescent="0.3">
      <c r="A89" s="13">
        <v>46171</v>
      </c>
      <c r="B89" s="14" t="s">
        <v>338</v>
      </c>
      <c r="C89" s="15">
        <v>-10207</v>
      </c>
      <c r="D89" s="17" t="s">
        <v>339</v>
      </c>
      <c r="E89" s="14" t="s">
        <v>340</v>
      </c>
      <c r="F89" s="18">
        <v>5</v>
      </c>
      <c r="G89" s="12" t="str">
        <f>IFERROR(VLOOKUP(D89,Data!$A:$B,2,0),"Revisar")</f>
        <v>Gastos Variables</v>
      </c>
      <c r="H89" s="20" t="s">
        <v>24</v>
      </c>
      <c r="I89" s="157" t="str">
        <f t="array" ref="I89">_xlfn.XLOOKUP($H89,Data!$E:$E,Data!$F:$F,"Revisar",0)</f>
        <v>NA</v>
      </c>
      <c r="J89" s="157" t="str">
        <f t="array" ref="J89">_xlfn.XLOOKUP($H89,Data!$E:$E,Data!$G:$G,"Revisar",0)</f>
        <v>NA</v>
      </c>
      <c r="K89" s="20" t="s">
        <v>24</v>
      </c>
      <c r="L89" s="18">
        <f t="shared" si="11"/>
        <v>5</v>
      </c>
      <c r="M89" s="20"/>
      <c r="N89" s="14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ht="15" customHeight="1" x14ac:dyDescent="0.3">
      <c r="A90" s="13">
        <v>46171</v>
      </c>
      <c r="B90" s="14" t="s">
        <v>456</v>
      </c>
      <c r="C90" s="15">
        <v>-51850</v>
      </c>
      <c r="D90" s="17" t="s">
        <v>138</v>
      </c>
      <c r="E90" s="14" t="s">
        <v>457</v>
      </c>
      <c r="F90" s="18">
        <v>5</v>
      </c>
      <c r="G90" s="12" t="str">
        <f>IFERROR(VLOOKUP(D90,Data!$A:$B,2,0),"Revisar")</f>
        <v>Costo Ventas</v>
      </c>
      <c r="H90" s="20" t="s">
        <v>161</v>
      </c>
      <c r="I90" s="157" t="str">
        <f t="array" ref="I90">_xlfn.XLOOKUP($H90,Data!$E:$E,Data!$F:$F,"Revisar",0)</f>
        <v>Kaspersky</v>
      </c>
      <c r="J90" s="157" t="str">
        <f t="array" ref="J90">_xlfn.XLOOKUP($H90,Data!$E:$E,Data!$G:$G,"Revisar",0)</f>
        <v>Bolsa Incentivos 2026</v>
      </c>
      <c r="K90" s="20" t="s">
        <v>143</v>
      </c>
      <c r="L90" s="18">
        <f t="shared" si="11"/>
        <v>5</v>
      </c>
      <c r="M90" s="20" t="s">
        <v>263</v>
      </c>
      <c r="N90" s="14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t="15" customHeight="1" x14ac:dyDescent="0.3">
      <c r="A91" s="13">
        <v>46171</v>
      </c>
      <c r="B91" s="14" t="s">
        <v>458</v>
      </c>
      <c r="C91" s="15">
        <v>-2500000</v>
      </c>
      <c r="D91" s="17" t="s">
        <v>459</v>
      </c>
      <c r="E91" s="14" t="s">
        <v>460</v>
      </c>
      <c r="F91" s="18">
        <v>5</v>
      </c>
      <c r="G91" s="12" t="str">
        <f>IFERROR(VLOOKUP(D91,Data!$A:$B,2,0),"Revisar")</f>
        <v>Otros Gastos</v>
      </c>
      <c r="H91" s="20" t="s">
        <v>24</v>
      </c>
      <c r="I91" s="157" t="str">
        <f t="array" ref="I91">_xlfn.XLOOKUP($H91,Data!$E:$E,Data!$F:$F,"Revisar",0)</f>
        <v>NA</v>
      </c>
      <c r="J91" s="157" t="str">
        <f t="array" ref="J91">_xlfn.XLOOKUP($H91,Data!$E:$E,Data!$G:$G,"Revisar",0)</f>
        <v>NA</v>
      </c>
      <c r="K91" s="20" t="s">
        <v>24</v>
      </c>
      <c r="L91" s="18"/>
      <c r="M91" s="20"/>
      <c r="N91" s="14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t="15" customHeight="1" x14ac:dyDescent="0.3">
      <c r="A92" s="13">
        <v>46172</v>
      </c>
      <c r="B92" s="14" t="s">
        <v>338</v>
      </c>
      <c r="C92" s="15">
        <v>-272</v>
      </c>
      <c r="D92" s="17" t="s">
        <v>339</v>
      </c>
      <c r="E92" s="14" t="s">
        <v>340</v>
      </c>
      <c r="F92" s="18">
        <v>5</v>
      </c>
      <c r="G92" s="12" t="str">
        <f>IFERROR(VLOOKUP(D92,Data!$A:$B,2,0),"Revisar")</f>
        <v>Gastos Variables</v>
      </c>
      <c r="H92" s="20" t="s">
        <v>24</v>
      </c>
      <c r="I92" s="157" t="str">
        <f t="array" ref="I92">_xlfn.XLOOKUP($H92,Data!$E:$E,Data!$F:$F,"Revisar",0)</f>
        <v>NA</v>
      </c>
      <c r="J92" s="157" t="str">
        <f t="array" ref="J92">_xlfn.XLOOKUP($H92,Data!$E:$E,Data!$G:$G,"Revisar",0)</f>
        <v>NA</v>
      </c>
      <c r="K92" s="20" t="s">
        <v>24</v>
      </c>
      <c r="L92" s="18">
        <f t="shared" ref="L92:L106" si="12">F92</f>
        <v>5</v>
      </c>
      <c r="M92" s="20"/>
      <c r="N92" s="14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15" customHeight="1" x14ac:dyDescent="0.3">
      <c r="A93" s="13">
        <v>46172</v>
      </c>
      <c r="B93" s="14" t="s">
        <v>456</v>
      </c>
      <c r="C93" s="15">
        <v>-68000</v>
      </c>
      <c r="D93" s="17" t="s">
        <v>138</v>
      </c>
      <c r="E93" s="14" t="s">
        <v>457</v>
      </c>
      <c r="F93" s="18">
        <v>5</v>
      </c>
      <c r="G93" s="12" t="str">
        <f>IFERROR(VLOOKUP(D93,Data!$A:$B,2,0),"Revisar")</f>
        <v>Costo Ventas</v>
      </c>
      <c r="H93" s="20" t="s">
        <v>161</v>
      </c>
      <c r="I93" s="157" t="str">
        <f t="array" ref="I93">_xlfn.XLOOKUP($H93,Data!$E:$E,Data!$F:$F,"Revisar",0)</f>
        <v>Kaspersky</v>
      </c>
      <c r="J93" s="157" t="str">
        <f t="array" ref="J93">_xlfn.XLOOKUP($H93,Data!$E:$E,Data!$G:$G,"Revisar",0)</f>
        <v>Bolsa Incentivos 2026</v>
      </c>
      <c r="K93" s="20" t="s">
        <v>143</v>
      </c>
      <c r="L93" s="18">
        <f t="shared" si="12"/>
        <v>5</v>
      </c>
      <c r="M93" s="20" t="s">
        <v>271</v>
      </c>
      <c r="N93" s="14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t="15" customHeight="1" x14ac:dyDescent="0.3">
      <c r="A94" s="13">
        <v>46173</v>
      </c>
      <c r="B94" s="14" t="s">
        <v>31</v>
      </c>
      <c r="C94" s="15">
        <v>2755</v>
      </c>
      <c r="D94" s="17" t="s">
        <v>32</v>
      </c>
      <c r="E94" s="14" t="s">
        <v>32</v>
      </c>
      <c r="F94" s="18">
        <v>5</v>
      </c>
      <c r="G94" s="12" t="str">
        <f>IFERROR(VLOOKUP(D94,Data!$A:$B,2,0),"Revisar")</f>
        <v>Gastos Variables</v>
      </c>
      <c r="H94" s="20" t="s">
        <v>24</v>
      </c>
      <c r="I94" s="157" t="str">
        <f t="array" ref="I94">_xlfn.XLOOKUP($H94,Data!$E:$E,Data!$F:$F,"Revisar",0)</f>
        <v>NA</v>
      </c>
      <c r="J94" s="157" t="str">
        <f t="array" ref="J94">_xlfn.XLOOKUP($H94,Data!$E:$E,Data!$G:$G,"Revisar",0)</f>
        <v>NA</v>
      </c>
      <c r="K94" s="20" t="s">
        <v>24</v>
      </c>
      <c r="L94" s="18">
        <f t="shared" si="12"/>
        <v>5</v>
      </c>
      <c r="M94" s="20"/>
      <c r="N94" s="14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t="15" customHeight="1" x14ac:dyDescent="0.3">
      <c r="A95" s="13">
        <v>46174</v>
      </c>
      <c r="B95" s="14" t="s">
        <v>89</v>
      </c>
      <c r="C95" s="15">
        <v>-1442</v>
      </c>
      <c r="D95" s="17" t="s">
        <v>90</v>
      </c>
      <c r="E95" s="14" t="s">
        <v>473</v>
      </c>
      <c r="F95" s="18">
        <v>6</v>
      </c>
      <c r="G95" s="12" t="str">
        <f>IFERROR(VLOOKUP(D95,Data!$A:$B,2,0),"Revisar")</f>
        <v>Imp x Pagar - IVA</v>
      </c>
      <c r="H95" s="20" t="s">
        <v>24</v>
      </c>
      <c r="I95" s="157" t="str">
        <f t="array" ref="I95">_xlfn.XLOOKUP($H95,Data!$E:$E,Data!$F:$F,"Revisar",0)</f>
        <v>NA</v>
      </c>
      <c r="J95" s="157" t="str">
        <f t="array" ref="J95">_xlfn.XLOOKUP($H95,Data!$E:$E,Data!$G:$G,"Revisar",0)</f>
        <v>NA</v>
      </c>
      <c r="K95" s="20" t="s">
        <v>24</v>
      </c>
      <c r="L95" s="18">
        <f t="shared" si="12"/>
        <v>6</v>
      </c>
      <c r="M95" s="20"/>
      <c r="N95" s="14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t="15" customHeight="1" x14ac:dyDescent="0.3">
      <c r="A96" s="13">
        <v>46174</v>
      </c>
      <c r="B96" s="14" t="s">
        <v>77</v>
      </c>
      <c r="C96" s="15">
        <v>-7590</v>
      </c>
      <c r="D96" s="17" t="s">
        <v>78</v>
      </c>
      <c r="E96" s="14" t="s">
        <v>481</v>
      </c>
      <c r="F96" s="18">
        <v>6</v>
      </c>
      <c r="G96" s="12" t="str">
        <f>IFERROR(VLOOKUP(D96,Data!$A:$B,2,0),"Revisar")</f>
        <v>Gastos Variables</v>
      </c>
      <c r="H96" s="20" t="s">
        <v>24</v>
      </c>
      <c r="I96" s="157" t="str">
        <f t="array" ref="I96">_xlfn.XLOOKUP($H96,Data!$E:$E,Data!$F:$F,"Revisar",0)</f>
        <v>NA</v>
      </c>
      <c r="J96" s="157" t="str">
        <f t="array" ref="J96">_xlfn.XLOOKUP($H96,Data!$E:$E,Data!$G:$G,"Revisar",0)</f>
        <v>NA</v>
      </c>
      <c r="K96" s="20" t="s">
        <v>24</v>
      </c>
      <c r="L96" s="18">
        <f t="shared" si="12"/>
        <v>6</v>
      </c>
      <c r="M96" s="20"/>
      <c r="N96" s="14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t="15" customHeight="1" x14ac:dyDescent="0.3">
      <c r="A97" s="13">
        <v>46174</v>
      </c>
      <c r="B97" s="14" t="s">
        <v>84</v>
      </c>
      <c r="C97" s="15">
        <v>-19000000</v>
      </c>
      <c r="D97" s="17" t="s">
        <v>138</v>
      </c>
      <c r="E97" s="14" t="s">
        <v>488</v>
      </c>
      <c r="F97" s="18">
        <v>6</v>
      </c>
      <c r="G97" s="12" t="str">
        <f>IFERROR(VLOOKUP(D97,Data!$A:$B,2,0),"Revisar")</f>
        <v>Costo Ventas</v>
      </c>
      <c r="H97" s="20" t="s">
        <v>182</v>
      </c>
      <c r="I97" s="157" t="str">
        <f t="array" ref="I97">_xlfn.XLOOKUP($H97,Data!$E:$E,Data!$F:$F,"Revisar",0)</f>
        <v>Psiconometrics</v>
      </c>
      <c r="J97" s="157" t="str">
        <f t="array" ref="J97">_xlfn.XLOOKUP($H97,Data!$E:$E,Data!$G:$G,"Revisar",0)</f>
        <v>Evento Camara Comercio</v>
      </c>
      <c r="K97" s="20" t="s">
        <v>143</v>
      </c>
      <c r="L97" s="18">
        <f t="shared" si="12"/>
        <v>6</v>
      </c>
      <c r="M97" s="18" t="s">
        <v>321</v>
      </c>
      <c r="N97" s="14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t="15" customHeight="1" x14ac:dyDescent="0.3">
      <c r="A98" s="13">
        <v>46174</v>
      </c>
      <c r="B98" s="14" t="s">
        <v>31</v>
      </c>
      <c r="C98" s="15">
        <v>951</v>
      </c>
      <c r="D98" s="17" t="s">
        <v>32</v>
      </c>
      <c r="E98" s="14" t="s">
        <v>492</v>
      </c>
      <c r="F98" s="18">
        <v>6</v>
      </c>
      <c r="G98" s="12" t="str">
        <f>IFERROR(VLOOKUP(D98,Data!$A:$B,2,0),"Revisar")</f>
        <v>Gastos Variables</v>
      </c>
      <c r="H98" s="20" t="s">
        <v>24</v>
      </c>
      <c r="I98" s="157" t="str">
        <f t="array" ref="I98">_xlfn.XLOOKUP($H98,Data!$E:$E,Data!$F:$F,"Revisar",0)</f>
        <v>NA</v>
      </c>
      <c r="J98" s="157" t="str">
        <f t="array" ref="J98">_xlfn.XLOOKUP($H98,Data!$E:$E,Data!$G:$G,"Revisar",0)</f>
        <v>NA</v>
      </c>
      <c r="K98" s="20" t="s">
        <v>24</v>
      </c>
      <c r="L98" s="18">
        <f t="shared" si="12"/>
        <v>6</v>
      </c>
      <c r="M98" s="20"/>
      <c r="N98" s="14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t="15" customHeight="1" x14ac:dyDescent="0.3">
      <c r="A99" s="13">
        <v>46174</v>
      </c>
      <c r="B99" s="14" t="s">
        <v>108</v>
      </c>
      <c r="C99" s="15">
        <v>-932000</v>
      </c>
      <c r="D99" s="17" t="s">
        <v>138</v>
      </c>
      <c r="E99" s="14" t="s">
        <v>494</v>
      </c>
      <c r="F99" s="18">
        <v>6</v>
      </c>
      <c r="G99" s="12" t="str">
        <f>IFERROR(VLOOKUP(D99,Data!$A:$B,2,0),"Revisar")</f>
        <v>Costo Ventas</v>
      </c>
      <c r="H99" s="20" t="s">
        <v>161</v>
      </c>
      <c r="I99" s="157" t="str">
        <f t="array" ref="I99">_xlfn.XLOOKUP($H99,Data!$E:$E,Data!$F:$F,"Revisar",0)</f>
        <v>Kaspersky</v>
      </c>
      <c r="J99" s="157" t="str">
        <f t="array" ref="J99">_xlfn.XLOOKUP($H99,Data!$E:$E,Data!$G:$G,"Revisar",0)</f>
        <v>Bolsa Incentivos 2026</v>
      </c>
      <c r="K99" s="20" t="s">
        <v>143</v>
      </c>
      <c r="L99" s="18">
        <f t="shared" si="12"/>
        <v>6</v>
      </c>
      <c r="M99" s="20" t="s">
        <v>354</v>
      </c>
      <c r="N99" s="14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t="15" customHeight="1" x14ac:dyDescent="0.3">
      <c r="A100" s="13">
        <v>46174</v>
      </c>
      <c r="B100" s="14" t="s">
        <v>338</v>
      </c>
      <c r="C100" s="15">
        <v>-6948</v>
      </c>
      <c r="D100" s="17" t="s">
        <v>339</v>
      </c>
      <c r="E100" s="14" t="s">
        <v>340</v>
      </c>
      <c r="F100" s="18">
        <v>6</v>
      </c>
      <c r="G100" s="12" t="str">
        <f>IFERROR(VLOOKUP(D100,Data!$A:$B,2,0),"Revisar")</f>
        <v>Gastos Variables</v>
      </c>
      <c r="H100" s="20" t="s">
        <v>24</v>
      </c>
      <c r="I100" s="157" t="str">
        <f t="array" ref="I100">_xlfn.XLOOKUP($H100,Data!$E:$E,Data!$F:$F,"Revisar",0)</f>
        <v>NA</v>
      </c>
      <c r="J100" s="157" t="str">
        <f t="array" ref="J100">_xlfn.XLOOKUP($H100,Data!$E:$E,Data!$G:$G,"Revisar",0)</f>
        <v>NA</v>
      </c>
      <c r="K100" s="20" t="s">
        <v>24</v>
      </c>
      <c r="L100" s="18">
        <f t="shared" si="12"/>
        <v>6</v>
      </c>
      <c r="M100" s="20"/>
      <c r="N100" s="14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t="15" customHeight="1" x14ac:dyDescent="0.3">
      <c r="A101" s="13">
        <v>46174</v>
      </c>
      <c r="B101" s="14" t="s">
        <v>502</v>
      </c>
      <c r="C101" s="15">
        <v>-127080</v>
      </c>
      <c r="D101" s="17" t="s">
        <v>298</v>
      </c>
      <c r="E101" s="14" t="s">
        <v>416</v>
      </c>
      <c r="F101" s="18">
        <v>6</v>
      </c>
      <c r="G101" s="12" t="str">
        <f>IFERROR(VLOOKUP(D101,Data!$A:$B,2,0),"Revisar")</f>
        <v>Costos Operacionales</v>
      </c>
      <c r="H101" s="20" t="s">
        <v>24</v>
      </c>
      <c r="I101" s="157" t="str">
        <f t="array" ref="I101">_xlfn.XLOOKUP($H101,Data!$E:$E,Data!$F:$F,"Revisar",0)</f>
        <v>NA</v>
      </c>
      <c r="J101" s="157" t="str">
        <f t="array" ref="J101">_xlfn.XLOOKUP($H101,Data!$E:$E,Data!$G:$G,"Revisar",0)</f>
        <v>NA</v>
      </c>
      <c r="K101" s="20" t="s">
        <v>24</v>
      </c>
      <c r="L101" s="18">
        <f t="shared" si="12"/>
        <v>6</v>
      </c>
      <c r="M101" s="20"/>
      <c r="N101" s="14" t="s">
        <v>419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t="15" customHeight="1" x14ac:dyDescent="0.3">
      <c r="A102" s="13">
        <v>46175</v>
      </c>
      <c r="B102" s="14" t="s">
        <v>89</v>
      </c>
      <c r="C102" s="15">
        <v>-1442</v>
      </c>
      <c r="D102" s="17" t="s">
        <v>90</v>
      </c>
      <c r="E102" s="14" t="s">
        <v>473</v>
      </c>
      <c r="F102" s="18">
        <v>6</v>
      </c>
      <c r="G102" s="12" t="str">
        <f>IFERROR(VLOOKUP(D102,Data!$A:$B,2,0),"Revisar")</f>
        <v>Imp x Pagar - IVA</v>
      </c>
      <c r="H102" s="20" t="s">
        <v>24</v>
      </c>
      <c r="I102" s="157" t="str">
        <f t="array" ref="I102">_xlfn.XLOOKUP($H102,Data!$E:$E,Data!$F:$F,"Revisar",0)</f>
        <v>NA</v>
      </c>
      <c r="J102" s="157" t="str">
        <f t="array" ref="J102">_xlfn.XLOOKUP($H102,Data!$E:$E,Data!$G:$G,"Revisar",0)</f>
        <v>NA</v>
      </c>
      <c r="K102" s="20" t="s">
        <v>24</v>
      </c>
      <c r="L102" s="18">
        <f t="shared" si="12"/>
        <v>6</v>
      </c>
      <c r="M102" s="20"/>
      <c r="N102" s="14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t="15" customHeight="1" x14ac:dyDescent="0.3">
      <c r="A103" s="13">
        <v>46175</v>
      </c>
      <c r="B103" s="14" t="s">
        <v>77</v>
      </c>
      <c r="C103" s="15">
        <v>-7590</v>
      </c>
      <c r="D103" s="17" t="s">
        <v>78</v>
      </c>
      <c r="E103" s="14" t="s">
        <v>481</v>
      </c>
      <c r="F103" s="18">
        <v>6</v>
      </c>
      <c r="G103" s="12" t="str">
        <f>IFERROR(VLOOKUP(D103,Data!$A:$B,2,0),"Revisar")</f>
        <v>Gastos Variables</v>
      </c>
      <c r="H103" s="20" t="s">
        <v>24</v>
      </c>
      <c r="I103" s="157" t="str">
        <f t="array" ref="I103">_xlfn.XLOOKUP($H103,Data!$E:$E,Data!$F:$F,"Revisar",0)</f>
        <v>NA</v>
      </c>
      <c r="J103" s="157" t="str">
        <f t="array" ref="J103">_xlfn.XLOOKUP($H103,Data!$E:$E,Data!$G:$G,"Revisar",0)</f>
        <v>NA</v>
      </c>
      <c r="K103" s="20" t="s">
        <v>24</v>
      </c>
      <c r="L103" s="18">
        <f t="shared" si="12"/>
        <v>6</v>
      </c>
      <c r="M103" s="20"/>
      <c r="N103" s="14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t="15" customHeight="1" x14ac:dyDescent="0.3">
      <c r="A104" s="13">
        <v>46175</v>
      </c>
      <c r="B104" s="14" t="s">
        <v>84</v>
      </c>
      <c r="C104" s="15">
        <v>-19000000</v>
      </c>
      <c r="D104" s="17" t="s">
        <v>138</v>
      </c>
      <c r="E104" s="14" t="s">
        <v>507</v>
      </c>
      <c r="F104" s="18">
        <v>6</v>
      </c>
      <c r="G104" s="12" t="str">
        <f>IFERROR(VLOOKUP(D104,Data!$A:$B,2,0),"Revisar")</f>
        <v>Costo Ventas</v>
      </c>
      <c r="H104" s="20" t="s">
        <v>182</v>
      </c>
      <c r="I104" s="157" t="str">
        <f t="array" ref="I104">_xlfn.XLOOKUP($H104,Data!$E:$E,Data!$F:$F,"Revisar",0)</f>
        <v>Psiconometrics</v>
      </c>
      <c r="J104" s="157" t="str">
        <f t="array" ref="J104">_xlfn.XLOOKUP($H104,Data!$E:$E,Data!$G:$G,"Revisar",0)</f>
        <v>Evento Camara Comercio</v>
      </c>
      <c r="K104" s="20" t="s">
        <v>143</v>
      </c>
      <c r="L104" s="18">
        <f t="shared" si="12"/>
        <v>6</v>
      </c>
      <c r="M104" s="18" t="s">
        <v>321</v>
      </c>
      <c r="N104" s="14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t="15" customHeight="1" x14ac:dyDescent="0.3">
      <c r="A105" s="13">
        <v>46175</v>
      </c>
      <c r="B105" s="14" t="s">
        <v>338</v>
      </c>
      <c r="C105" s="15">
        <v>-76036</v>
      </c>
      <c r="D105" s="17" t="s">
        <v>339</v>
      </c>
      <c r="E105" s="14" t="s">
        <v>340</v>
      </c>
      <c r="F105" s="18">
        <v>6</v>
      </c>
      <c r="G105" s="12" t="str">
        <f>IFERROR(VLOOKUP(D105,Data!$A:$B,2,0),"Revisar")</f>
        <v>Gastos Variables</v>
      </c>
      <c r="H105" s="20" t="s">
        <v>24</v>
      </c>
      <c r="I105" s="157" t="str">
        <f t="array" ref="I105">_xlfn.XLOOKUP($H105,Data!$E:$E,Data!$F:$F,"Revisar",0)</f>
        <v>NA</v>
      </c>
      <c r="J105" s="157" t="str">
        <f t="array" ref="J105">_xlfn.XLOOKUP($H105,Data!$E:$E,Data!$G:$G,"Revisar",0)</f>
        <v>NA</v>
      </c>
      <c r="K105" s="20" t="s">
        <v>24</v>
      </c>
      <c r="L105" s="18">
        <f t="shared" si="12"/>
        <v>6</v>
      </c>
      <c r="M105" s="20"/>
      <c r="N105" s="14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t="15" customHeight="1" x14ac:dyDescent="0.3">
      <c r="A106" s="13">
        <v>46176</v>
      </c>
      <c r="B106" s="14" t="s">
        <v>31</v>
      </c>
      <c r="C106" s="15">
        <v>1745</v>
      </c>
      <c r="D106" s="17" t="s">
        <v>32</v>
      </c>
      <c r="E106" s="14" t="s">
        <v>492</v>
      </c>
      <c r="F106" s="18">
        <v>6</v>
      </c>
      <c r="G106" s="12" t="str">
        <f>IFERROR(VLOOKUP(D106,Data!$A:$B,2,0),"Revisar")</f>
        <v>Gastos Variables</v>
      </c>
      <c r="H106" s="20" t="s">
        <v>24</v>
      </c>
      <c r="I106" s="157" t="str">
        <f t="array" ref="I106">_xlfn.XLOOKUP($H106,Data!$E:$E,Data!$F:$F,"Revisar",0)</f>
        <v>NA</v>
      </c>
      <c r="J106" s="157" t="str">
        <f t="array" ref="J106">_xlfn.XLOOKUP($H106,Data!$E:$E,Data!$G:$G,"Revisar",0)</f>
        <v>NA</v>
      </c>
      <c r="K106" s="20" t="s">
        <v>24</v>
      </c>
      <c r="L106" s="18">
        <f t="shared" si="12"/>
        <v>6</v>
      </c>
      <c r="M106" s="20"/>
      <c r="N106" s="14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t="15" customHeight="1" x14ac:dyDescent="0.3">
      <c r="A107" s="13">
        <v>46177</v>
      </c>
      <c r="B107" s="14" t="s">
        <v>187</v>
      </c>
      <c r="C107" s="15">
        <v>2795310</v>
      </c>
      <c r="D107" s="17" t="s">
        <v>188</v>
      </c>
      <c r="E107" s="14" t="s">
        <v>189</v>
      </c>
      <c r="F107" s="18">
        <v>6</v>
      </c>
      <c r="G107" s="12" t="str">
        <f>IFERROR(VLOOKUP(D107,Data!$A:$B,2,0),"Revisar")</f>
        <v>Ingresos</v>
      </c>
      <c r="H107" s="20" t="s">
        <v>167</v>
      </c>
      <c r="I107" s="157" t="str">
        <f t="array" ref="I107">_xlfn.XLOOKUP($H107,Data!$E:$E,Data!$F:$F,"Revisar",0)</f>
        <v>AXIS</v>
      </c>
      <c r="J107" s="157" t="str">
        <f t="array" ref="J107">_xlfn.XLOOKUP($H107,Data!$E:$E,Data!$G:$G,"Revisar",0)</f>
        <v>Camisetas Academy</v>
      </c>
      <c r="K107" s="20" t="s">
        <v>143</v>
      </c>
      <c r="L107" s="18">
        <v>6</v>
      </c>
      <c r="M107" s="20" t="s">
        <v>166</v>
      </c>
      <c r="N107" s="14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ht="15" customHeight="1" x14ac:dyDescent="0.3">
      <c r="A108" s="13">
        <v>46177</v>
      </c>
      <c r="B108" s="14" t="s">
        <v>31</v>
      </c>
      <c r="C108" s="15">
        <v>884</v>
      </c>
      <c r="D108" s="17" t="s">
        <v>32</v>
      </c>
      <c r="E108" s="14" t="s">
        <v>492</v>
      </c>
      <c r="F108" s="18">
        <v>6</v>
      </c>
      <c r="G108" s="12" t="str">
        <f>IFERROR(VLOOKUP(D108,Data!$A:$B,2,0),"Revisar")</f>
        <v>Gastos Variables</v>
      </c>
      <c r="H108" s="20" t="s">
        <v>24</v>
      </c>
      <c r="I108" s="157" t="str">
        <f t="array" ref="I108">_xlfn.XLOOKUP($H108,Data!$E:$E,Data!$F:$F,"Revisar",0)</f>
        <v>NA</v>
      </c>
      <c r="J108" s="157" t="str">
        <f t="array" ref="J108">_xlfn.XLOOKUP($H108,Data!$E:$E,Data!$G:$G,"Revisar",0)</f>
        <v>NA</v>
      </c>
      <c r="K108" s="20" t="s">
        <v>24</v>
      </c>
      <c r="L108" s="18">
        <f t="shared" ref="L108:L115" si="13">F108</f>
        <v>6</v>
      </c>
      <c r="M108" s="20"/>
      <c r="N108" s="14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ht="15" customHeight="1" x14ac:dyDescent="0.3">
      <c r="A109" s="13">
        <v>46178</v>
      </c>
      <c r="B109" s="14" t="s">
        <v>89</v>
      </c>
      <c r="C109" s="15">
        <v>-1442</v>
      </c>
      <c r="D109" s="17" t="s">
        <v>90</v>
      </c>
      <c r="E109" s="14" t="s">
        <v>473</v>
      </c>
      <c r="F109" s="18">
        <v>6</v>
      </c>
      <c r="G109" s="12" t="str">
        <f>IFERROR(VLOOKUP(D109,Data!$A:$B,2,0),"Revisar")</f>
        <v>Imp x Pagar - IVA</v>
      </c>
      <c r="H109" s="20" t="s">
        <v>24</v>
      </c>
      <c r="I109" s="157" t="str">
        <f t="array" ref="I109">_xlfn.XLOOKUP($H109,Data!$E:$E,Data!$F:$F,"Revisar",0)</f>
        <v>NA</v>
      </c>
      <c r="J109" s="157" t="str">
        <f t="array" ref="J109">_xlfn.XLOOKUP($H109,Data!$E:$E,Data!$G:$G,"Revisar",0)</f>
        <v>NA</v>
      </c>
      <c r="K109" s="20" t="s">
        <v>24</v>
      </c>
      <c r="L109" s="18">
        <f t="shared" si="13"/>
        <v>6</v>
      </c>
      <c r="M109" s="20"/>
      <c r="N109" s="14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ht="15" customHeight="1" x14ac:dyDescent="0.3">
      <c r="A110" s="13">
        <v>46178</v>
      </c>
      <c r="B110" s="14" t="s">
        <v>77</v>
      </c>
      <c r="C110" s="15">
        <v>-7590</v>
      </c>
      <c r="D110" s="17" t="s">
        <v>78</v>
      </c>
      <c r="E110" s="14" t="s">
        <v>481</v>
      </c>
      <c r="F110" s="18">
        <v>6</v>
      </c>
      <c r="G110" s="12" t="str">
        <f>IFERROR(VLOOKUP(D110,Data!$A:$B,2,0),"Revisar")</f>
        <v>Gastos Variables</v>
      </c>
      <c r="H110" s="20" t="s">
        <v>24</v>
      </c>
      <c r="I110" s="157" t="str">
        <f t="array" ref="I110">_xlfn.XLOOKUP($H110,Data!$E:$E,Data!$F:$F,"Revisar",0)</f>
        <v>NA</v>
      </c>
      <c r="J110" s="157" t="str">
        <f t="array" ref="J110">_xlfn.XLOOKUP($H110,Data!$E:$E,Data!$G:$G,"Revisar",0)</f>
        <v>NA</v>
      </c>
      <c r="K110" s="20" t="s">
        <v>24</v>
      </c>
      <c r="L110" s="18">
        <f t="shared" si="13"/>
        <v>6</v>
      </c>
      <c r="M110" s="20"/>
      <c r="N110" s="14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ht="15" customHeight="1" x14ac:dyDescent="0.3">
      <c r="A111" s="13">
        <v>46178</v>
      </c>
      <c r="B111" s="14" t="s">
        <v>84</v>
      </c>
      <c r="C111" s="15">
        <v>-19000000</v>
      </c>
      <c r="D111" s="17" t="s">
        <v>138</v>
      </c>
      <c r="E111" s="14" t="s">
        <v>531</v>
      </c>
      <c r="F111" s="18">
        <v>6</v>
      </c>
      <c r="G111" s="12" t="str">
        <f>IFERROR(VLOOKUP(D111,Data!$A:$B,2,0),"Revisar")</f>
        <v>Costo Ventas</v>
      </c>
      <c r="H111" s="20" t="s">
        <v>182</v>
      </c>
      <c r="I111" s="157" t="str">
        <f t="array" ref="I111">_xlfn.XLOOKUP($H111,Data!$E:$E,Data!$F:$F,"Revisar",0)</f>
        <v>Psiconometrics</v>
      </c>
      <c r="J111" s="157" t="str">
        <f t="array" ref="J111">_xlfn.XLOOKUP($H111,Data!$E:$E,Data!$G:$G,"Revisar",0)</f>
        <v>Evento Camara Comercio</v>
      </c>
      <c r="K111" s="20" t="s">
        <v>143</v>
      </c>
      <c r="L111" s="18">
        <f t="shared" si="13"/>
        <v>6</v>
      </c>
      <c r="M111" s="18" t="s">
        <v>326</v>
      </c>
      <c r="N111" s="14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ht="15" customHeight="1" x14ac:dyDescent="0.3">
      <c r="A112" s="13">
        <v>46178</v>
      </c>
      <c r="B112" s="14" t="s">
        <v>338</v>
      </c>
      <c r="C112" s="15">
        <v>-76036</v>
      </c>
      <c r="D112" s="17" t="s">
        <v>339</v>
      </c>
      <c r="E112" s="14" t="s">
        <v>340</v>
      </c>
      <c r="F112" s="18">
        <v>6</v>
      </c>
      <c r="G112" s="12" t="str">
        <f>IFERROR(VLOOKUP(D112,Data!$A:$B,2,0),"Revisar")</f>
        <v>Gastos Variables</v>
      </c>
      <c r="H112" s="20" t="s">
        <v>24</v>
      </c>
      <c r="I112" s="157" t="str">
        <f t="array" ref="I112">_xlfn.XLOOKUP($H112,Data!$E:$E,Data!$F:$F,"Revisar",0)</f>
        <v>NA</v>
      </c>
      <c r="J112" s="157" t="str">
        <f t="array" ref="J112">_xlfn.XLOOKUP($H112,Data!$E:$E,Data!$G:$G,"Revisar",0)</f>
        <v>NA</v>
      </c>
      <c r="K112" s="20" t="s">
        <v>24</v>
      </c>
      <c r="L112" s="18">
        <f t="shared" si="13"/>
        <v>6</v>
      </c>
      <c r="M112" s="20"/>
      <c r="N112" s="14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ht="15" customHeight="1" x14ac:dyDescent="0.3">
      <c r="A113" s="13">
        <v>46181</v>
      </c>
      <c r="B113" s="14" t="s">
        <v>31</v>
      </c>
      <c r="C113" s="15">
        <v>3222</v>
      </c>
      <c r="D113" s="17" t="s">
        <v>32</v>
      </c>
      <c r="E113" s="14" t="s">
        <v>492</v>
      </c>
      <c r="F113" s="18">
        <v>6</v>
      </c>
      <c r="G113" s="12" t="str">
        <f>IFERROR(VLOOKUP(D113,Data!$A:$B,2,0),"Revisar")</f>
        <v>Gastos Variables</v>
      </c>
      <c r="H113" s="20" t="s">
        <v>24</v>
      </c>
      <c r="I113" s="157" t="str">
        <f t="array" ref="I113">_xlfn.XLOOKUP($H113,Data!$E:$E,Data!$F:$F,"Revisar",0)</f>
        <v>NA</v>
      </c>
      <c r="J113" s="157" t="str">
        <f t="array" ref="J113">_xlfn.XLOOKUP($H113,Data!$E:$E,Data!$G:$G,"Revisar",0)</f>
        <v>NA</v>
      </c>
      <c r="K113" s="20" t="s">
        <v>24</v>
      </c>
      <c r="L113" s="18">
        <f t="shared" si="13"/>
        <v>6</v>
      </c>
      <c r="M113" s="20"/>
      <c r="N113" s="14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ht="15" customHeight="1" x14ac:dyDescent="0.3">
      <c r="A114" s="13">
        <v>46182</v>
      </c>
      <c r="B114" s="14" t="s">
        <v>89</v>
      </c>
      <c r="C114" s="15">
        <v>-1442</v>
      </c>
      <c r="D114" s="17" t="s">
        <v>90</v>
      </c>
      <c r="E114" s="14" t="s">
        <v>473</v>
      </c>
      <c r="F114" s="18">
        <v>6</v>
      </c>
      <c r="G114" s="12" t="str">
        <f>IFERROR(VLOOKUP(D114,Data!$A:$B,2,0),"Revisar")</f>
        <v>Imp x Pagar - IVA</v>
      </c>
      <c r="H114" s="20" t="s">
        <v>24</v>
      </c>
      <c r="I114" s="157" t="str">
        <f t="array" ref="I114">_xlfn.XLOOKUP($H114,Data!$E:$E,Data!$F:$F,"Revisar",0)</f>
        <v>NA</v>
      </c>
      <c r="J114" s="157" t="str">
        <f t="array" ref="J114">_xlfn.XLOOKUP($H114,Data!$E:$E,Data!$G:$G,"Revisar",0)</f>
        <v>NA</v>
      </c>
      <c r="K114" s="20" t="s">
        <v>24</v>
      </c>
      <c r="L114" s="18">
        <f t="shared" si="13"/>
        <v>6</v>
      </c>
      <c r="M114" s="20"/>
      <c r="N114" s="14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ht="15" customHeight="1" x14ac:dyDescent="0.3">
      <c r="A115" s="13">
        <v>46182</v>
      </c>
      <c r="B115" s="14" t="s">
        <v>77</v>
      </c>
      <c r="C115" s="15">
        <v>-7590</v>
      </c>
      <c r="D115" s="17" t="s">
        <v>78</v>
      </c>
      <c r="E115" s="14" t="s">
        <v>481</v>
      </c>
      <c r="F115" s="18">
        <v>6</v>
      </c>
      <c r="G115" s="12" t="str">
        <f>IFERROR(VLOOKUP(D115,Data!$A:$B,2,0),"Revisar")</f>
        <v>Gastos Variables</v>
      </c>
      <c r="H115" s="20" t="s">
        <v>24</v>
      </c>
      <c r="I115" s="157" t="str">
        <f t="array" ref="I115">_xlfn.XLOOKUP($H115,Data!$E:$E,Data!$F:$F,"Revisar",0)</f>
        <v>NA</v>
      </c>
      <c r="J115" s="157" t="str">
        <f t="array" ref="J115">_xlfn.XLOOKUP($H115,Data!$E:$E,Data!$G:$G,"Revisar",0)</f>
        <v>NA</v>
      </c>
      <c r="K115" s="20" t="s">
        <v>24</v>
      </c>
      <c r="L115" s="18">
        <f t="shared" si="13"/>
        <v>6</v>
      </c>
      <c r="M115" s="20"/>
      <c r="N115" s="14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ht="15" customHeight="1" x14ac:dyDescent="0.3">
      <c r="A116" s="13">
        <v>46182</v>
      </c>
      <c r="B116" s="14" t="s">
        <v>84</v>
      </c>
      <c r="C116" s="15">
        <f>-8678529</f>
        <v>-8678529</v>
      </c>
      <c r="D116" s="17" t="s">
        <v>138</v>
      </c>
      <c r="E116" s="14" t="s">
        <v>546</v>
      </c>
      <c r="F116" s="18">
        <v>6</v>
      </c>
      <c r="G116" s="12" t="str">
        <f>IFERROR(VLOOKUP(D116,Data!$A:$B,2,0),"Revisar")</f>
        <v>Costo Ventas</v>
      </c>
      <c r="H116" s="20" t="s">
        <v>76</v>
      </c>
      <c r="I116" s="157" t="str">
        <f t="array" ref="I116">_xlfn.XLOOKUP($H116,Data!$E:$E,Data!$F:$F,"Revisar",0)</f>
        <v>AXIS</v>
      </c>
      <c r="J116" s="157" t="str">
        <f t="array" ref="J116">_xlfn.XLOOKUP($H116,Data!$E:$E,Data!$G:$G,"Revisar",0)</f>
        <v>Evento mundial de fútbol y merchandising</v>
      </c>
      <c r="K116" s="20" t="s">
        <v>143</v>
      </c>
      <c r="L116" s="18">
        <v>6</v>
      </c>
      <c r="M116" s="18" t="s">
        <v>221</v>
      </c>
      <c r="N116" s="14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ht="15" customHeight="1" x14ac:dyDescent="0.3">
      <c r="A117" s="13">
        <v>46182</v>
      </c>
      <c r="B117" s="14" t="s">
        <v>31</v>
      </c>
      <c r="C117" s="15">
        <v>770</v>
      </c>
      <c r="D117" s="17" t="s">
        <v>32</v>
      </c>
      <c r="E117" s="14" t="s">
        <v>492</v>
      </c>
      <c r="F117" s="18">
        <v>6</v>
      </c>
      <c r="G117" s="12" t="str">
        <f>IFERROR(VLOOKUP(D117,Data!$A:$B,2,0),"Revisar")</f>
        <v>Gastos Variables</v>
      </c>
      <c r="H117" s="20" t="s">
        <v>24</v>
      </c>
      <c r="I117" s="157" t="str">
        <f t="array" ref="I117">_xlfn.XLOOKUP($H117,Data!$E:$E,Data!$F:$F,"Revisar",0)</f>
        <v>NA</v>
      </c>
      <c r="J117" s="157" t="str">
        <f t="array" ref="J117">_xlfn.XLOOKUP($H117,Data!$E:$E,Data!$G:$G,"Revisar",0)</f>
        <v>NA</v>
      </c>
      <c r="K117" s="20" t="s">
        <v>24</v>
      </c>
      <c r="L117" s="18">
        <f t="shared" ref="L117:L130" si="14">F117</f>
        <v>6</v>
      </c>
      <c r="M117" s="20"/>
      <c r="N117" s="14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ht="15" customHeight="1" x14ac:dyDescent="0.3">
      <c r="A118" s="13">
        <v>46182</v>
      </c>
      <c r="B118" s="14" t="s">
        <v>338</v>
      </c>
      <c r="C118" s="15">
        <v>-34750</v>
      </c>
      <c r="D118" s="17" t="s">
        <v>339</v>
      </c>
      <c r="E118" s="14" t="s">
        <v>340</v>
      </c>
      <c r="F118" s="18">
        <v>6</v>
      </c>
      <c r="G118" s="12" t="str">
        <f>IFERROR(VLOOKUP(D118,Data!$A:$B,2,0),"Revisar")</f>
        <v>Gastos Variables</v>
      </c>
      <c r="H118" s="20" t="s">
        <v>24</v>
      </c>
      <c r="I118" s="157" t="str">
        <f t="array" ref="I118">_xlfn.XLOOKUP($H118,Data!$E:$E,Data!$F:$F,"Revisar",0)</f>
        <v>NA</v>
      </c>
      <c r="J118" s="157" t="str">
        <f t="array" ref="J118">_xlfn.XLOOKUP($H118,Data!$E:$E,Data!$G:$G,"Revisar",0)</f>
        <v>NA</v>
      </c>
      <c r="K118" s="20" t="s">
        <v>24</v>
      </c>
      <c r="L118" s="18">
        <f t="shared" si="14"/>
        <v>6</v>
      </c>
      <c r="M118" s="20"/>
      <c r="N118" s="14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ht="15" customHeight="1" x14ac:dyDescent="0.3">
      <c r="A119" s="13">
        <v>46183</v>
      </c>
      <c r="B119" s="14" t="s">
        <v>31</v>
      </c>
      <c r="C119" s="15">
        <v>948</v>
      </c>
      <c r="D119" s="17" t="s">
        <v>32</v>
      </c>
      <c r="E119" s="14" t="s">
        <v>492</v>
      </c>
      <c r="F119" s="18">
        <v>6</v>
      </c>
      <c r="G119" s="12" t="str">
        <f>IFERROR(VLOOKUP(D119,Data!$A:$B,2,0),"Revisar")</f>
        <v>Gastos Variables</v>
      </c>
      <c r="H119" s="20" t="s">
        <v>24</v>
      </c>
      <c r="I119" s="157" t="str">
        <f t="array" ref="I119">_xlfn.XLOOKUP($H119,Data!$E:$E,Data!$F:$F,"Revisar",0)</f>
        <v>NA</v>
      </c>
      <c r="J119" s="157" t="str">
        <f t="array" ref="J119">_xlfn.XLOOKUP($H119,Data!$E:$E,Data!$G:$G,"Revisar",0)</f>
        <v>NA</v>
      </c>
      <c r="K119" s="20" t="s">
        <v>24</v>
      </c>
      <c r="L119" s="18">
        <f t="shared" si="14"/>
        <v>6</v>
      </c>
      <c r="M119" s="20"/>
      <c r="N119" s="14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ht="15" customHeight="1" x14ac:dyDescent="0.3">
      <c r="A120" s="13">
        <v>46183</v>
      </c>
      <c r="B120" s="14" t="s">
        <v>108</v>
      </c>
      <c r="C120" s="15">
        <v>-1000000</v>
      </c>
      <c r="D120" s="17" t="s">
        <v>85</v>
      </c>
      <c r="E120" s="14" t="s">
        <v>553</v>
      </c>
      <c r="F120" s="18">
        <v>6</v>
      </c>
      <c r="G120" s="12" t="str">
        <f>IFERROR(VLOOKUP(D120,Data!$A:$B,2,0),"Revisar")</f>
        <v>Costos Operacionales</v>
      </c>
      <c r="H120" s="20" t="s">
        <v>24</v>
      </c>
      <c r="I120" s="157" t="str">
        <f t="array" ref="I120">_xlfn.XLOOKUP($H120,Data!$E:$E,Data!$F:$F,"Revisar",0)</f>
        <v>NA</v>
      </c>
      <c r="J120" s="157" t="str">
        <f t="array" ref="J120">_xlfn.XLOOKUP($H120,Data!$E:$E,Data!$G:$G,"Revisar",0)</f>
        <v>NA</v>
      </c>
      <c r="K120" s="20" t="s">
        <v>24</v>
      </c>
      <c r="L120" s="18">
        <f t="shared" si="14"/>
        <v>6</v>
      </c>
      <c r="M120" s="20"/>
      <c r="N120" s="14" t="s">
        <v>558</v>
      </c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ht="15" customHeight="1" x14ac:dyDescent="0.3">
      <c r="A121" s="13">
        <v>46183</v>
      </c>
      <c r="B121" s="14" t="s">
        <v>338</v>
      </c>
      <c r="C121" s="15">
        <v>-4000</v>
      </c>
      <c r="D121" s="17" t="s">
        <v>339</v>
      </c>
      <c r="E121" s="14" t="s">
        <v>340</v>
      </c>
      <c r="F121" s="18">
        <v>6</v>
      </c>
      <c r="G121" s="12" t="str">
        <f>IFERROR(VLOOKUP(D121,Data!$A:$B,2,0),"Revisar")</f>
        <v>Gastos Variables</v>
      </c>
      <c r="H121" s="20" t="s">
        <v>24</v>
      </c>
      <c r="I121" s="157" t="str">
        <f t="array" ref="I121">_xlfn.XLOOKUP($H121,Data!$E:$E,Data!$F:$F,"Revisar",0)</f>
        <v>NA</v>
      </c>
      <c r="J121" s="157" t="str">
        <f t="array" ref="J121">_xlfn.XLOOKUP($H121,Data!$E:$E,Data!$G:$G,"Revisar",0)</f>
        <v>NA</v>
      </c>
      <c r="K121" s="20" t="s">
        <v>24</v>
      </c>
      <c r="L121" s="18">
        <f t="shared" si="14"/>
        <v>6</v>
      </c>
      <c r="M121" s="20"/>
      <c r="N121" s="14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t="15" customHeight="1" x14ac:dyDescent="0.3">
      <c r="A122" s="13">
        <v>46183</v>
      </c>
      <c r="B122" s="14" t="s">
        <v>448</v>
      </c>
      <c r="C122" s="15">
        <v>44313956</v>
      </c>
      <c r="D122" s="17" t="s">
        <v>188</v>
      </c>
      <c r="E122" s="14" t="s">
        <v>561</v>
      </c>
      <c r="F122" s="18">
        <v>6</v>
      </c>
      <c r="G122" s="12" t="str">
        <f>IFERROR(VLOOKUP(D122,Data!$A:$B,2,0),"Revisar")</f>
        <v>Ingresos</v>
      </c>
      <c r="H122" s="20" t="s">
        <v>182</v>
      </c>
      <c r="I122" s="157" t="str">
        <f t="array" ref="I122">_xlfn.XLOOKUP($H122,Data!$E:$E,Data!$F:$F,"Revisar",0)</f>
        <v>Psiconometrics</v>
      </c>
      <c r="J122" s="157" t="str">
        <f t="array" ref="J122">_xlfn.XLOOKUP($H122,Data!$E:$E,Data!$G:$G,"Revisar",0)</f>
        <v>Evento Camara Comercio</v>
      </c>
      <c r="K122" s="20" t="s">
        <v>143</v>
      </c>
      <c r="L122" s="18">
        <f t="shared" si="14"/>
        <v>6</v>
      </c>
      <c r="M122" s="18" t="s">
        <v>193</v>
      </c>
      <c r="N122" s="14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ht="15" customHeight="1" x14ac:dyDescent="0.3">
      <c r="A123" s="13">
        <v>46184</v>
      </c>
      <c r="B123" s="14" t="s">
        <v>564</v>
      </c>
      <c r="C123" s="15">
        <v>-18050</v>
      </c>
      <c r="D123" s="17" t="s">
        <v>55</v>
      </c>
      <c r="E123" s="14" t="s">
        <v>376</v>
      </c>
      <c r="F123" s="18">
        <v>6</v>
      </c>
      <c r="G123" s="12" t="str">
        <f>IFERROR(VLOOKUP(D123,Data!$A:$B,2,0),"Revisar")</f>
        <v>Costos Fijos</v>
      </c>
      <c r="H123" s="20" t="s">
        <v>24</v>
      </c>
      <c r="I123" s="157" t="str">
        <f t="array" ref="I123">_xlfn.XLOOKUP($H123,Data!$E:$E,Data!$F:$F,"Revisar",0)</f>
        <v>NA</v>
      </c>
      <c r="J123" s="157" t="str">
        <f t="array" ref="J123">_xlfn.XLOOKUP($H123,Data!$E:$E,Data!$G:$G,"Revisar",0)</f>
        <v>NA</v>
      </c>
      <c r="K123" s="20" t="s">
        <v>24</v>
      </c>
      <c r="L123" s="18">
        <f t="shared" si="14"/>
        <v>6</v>
      </c>
      <c r="M123" s="20"/>
      <c r="N123" s="14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ht="15" customHeight="1" x14ac:dyDescent="0.3">
      <c r="A124" s="13">
        <v>46184</v>
      </c>
      <c r="B124" s="14" t="s">
        <v>338</v>
      </c>
      <c r="C124" s="15">
        <v>-72</v>
      </c>
      <c r="D124" s="17" t="s">
        <v>339</v>
      </c>
      <c r="E124" s="14" t="s">
        <v>340</v>
      </c>
      <c r="F124" s="18">
        <v>6</v>
      </c>
      <c r="G124" s="12" t="str">
        <f>IFERROR(VLOOKUP(D124,Data!$A:$B,2,0),"Revisar")</f>
        <v>Gastos Variables</v>
      </c>
      <c r="H124" s="20" t="s">
        <v>24</v>
      </c>
      <c r="I124" s="157" t="str">
        <f t="array" ref="I124">_xlfn.XLOOKUP($H124,Data!$E:$E,Data!$F:$F,"Revisar",0)</f>
        <v>NA</v>
      </c>
      <c r="J124" s="157" t="str">
        <f t="array" ref="J124">_xlfn.XLOOKUP($H124,Data!$E:$E,Data!$G:$G,"Revisar",0)</f>
        <v>NA</v>
      </c>
      <c r="K124" s="20" t="s">
        <v>24</v>
      </c>
      <c r="L124" s="18">
        <f t="shared" si="14"/>
        <v>6</v>
      </c>
      <c r="M124" s="20"/>
      <c r="N124" s="14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ht="15" customHeight="1" x14ac:dyDescent="0.3">
      <c r="A125" s="13">
        <v>46188</v>
      </c>
      <c r="B125" s="14" t="s">
        <v>31</v>
      </c>
      <c r="C125" s="15">
        <v>4737</v>
      </c>
      <c r="D125" s="17" t="s">
        <v>32</v>
      </c>
      <c r="E125" s="14" t="s">
        <v>492</v>
      </c>
      <c r="F125" s="18">
        <v>6</v>
      </c>
      <c r="G125" s="12" t="str">
        <f>IFERROR(VLOOKUP(D125,Data!$A:$B,2,0),"Revisar")</f>
        <v>Gastos Variables</v>
      </c>
      <c r="H125" s="20" t="s">
        <v>24</v>
      </c>
      <c r="I125" s="157" t="str">
        <f t="array" ref="I125">_xlfn.XLOOKUP($H125,Data!$E:$E,Data!$F:$F,"Revisar",0)</f>
        <v>NA</v>
      </c>
      <c r="J125" s="157" t="str">
        <f t="array" ref="J125">_xlfn.XLOOKUP($H125,Data!$E:$E,Data!$G:$G,"Revisar",0)</f>
        <v>NA</v>
      </c>
      <c r="K125" s="20" t="s">
        <v>24</v>
      </c>
      <c r="L125" s="18">
        <f t="shared" si="14"/>
        <v>6</v>
      </c>
      <c r="M125" s="20"/>
      <c r="N125" s="14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15" customHeight="1" x14ac:dyDescent="0.3">
      <c r="A126" s="13">
        <v>46189</v>
      </c>
      <c r="B126" s="14" t="s">
        <v>89</v>
      </c>
      <c r="C126" s="15">
        <v>-1442</v>
      </c>
      <c r="D126" s="17" t="s">
        <v>90</v>
      </c>
      <c r="E126" s="14" t="s">
        <v>473</v>
      </c>
      <c r="F126" s="18">
        <v>6</v>
      </c>
      <c r="G126" s="12" t="str">
        <f>IFERROR(VLOOKUP(D126,Data!$A:$B,2,0),"Revisar")</f>
        <v>Imp x Pagar - IVA</v>
      </c>
      <c r="H126" s="20" t="s">
        <v>24</v>
      </c>
      <c r="I126" s="157" t="str">
        <f t="array" ref="I126">_xlfn.XLOOKUP($H126,Data!$E:$E,Data!$F:$F,"Revisar",0)</f>
        <v>NA</v>
      </c>
      <c r="J126" s="157" t="str">
        <f t="array" ref="J126">_xlfn.XLOOKUP($H126,Data!$E:$E,Data!$G:$G,"Revisar",0)</f>
        <v>NA</v>
      </c>
      <c r="K126" s="20" t="s">
        <v>24</v>
      </c>
      <c r="L126" s="18">
        <f t="shared" si="14"/>
        <v>6</v>
      </c>
      <c r="M126" s="20"/>
      <c r="N126" s="14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t="15" customHeight="1" x14ac:dyDescent="0.3">
      <c r="A127" s="13">
        <v>46189</v>
      </c>
      <c r="B127" s="14" t="s">
        <v>89</v>
      </c>
      <c r="C127" s="15">
        <v>-1442</v>
      </c>
      <c r="D127" s="17" t="s">
        <v>90</v>
      </c>
      <c r="E127" s="14" t="s">
        <v>473</v>
      </c>
      <c r="F127" s="18">
        <v>6</v>
      </c>
      <c r="G127" s="12" t="str">
        <f>IFERROR(VLOOKUP(D127,Data!$A:$B,2,0),"Revisar")</f>
        <v>Imp x Pagar - IVA</v>
      </c>
      <c r="H127" s="20" t="s">
        <v>24</v>
      </c>
      <c r="I127" s="157" t="str">
        <f t="array" ref="I127">_xlfn.XLOOKUP($H127,Data!$E:$E,Data!$F:$F,"Revisar",0)</f>
        <v>NA</v>
      </c>
      <c r="J127" s="157" t="str">
        <f t="array" ref="J127">_xlfn.XLOOKUP($H127,Data!$E:$E,Data!$G:$G,"Revisar",0)</f>
        <v>NA</v>
      </c>
      <c r="K127" s="20" t="s">
        <v>24</v>
      </c>
      <c r="L127" s="18">
        <f t="shared" si="14"/>
        <v>6</v>
      </c>
      <c r="M127" s="20"/>
      <c r="N127" s="14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t="15" customHeight="1" x14ac:dyDescent="0.3">
      <c r="A128" s="13">
        <v>46189</v>
      </c>
      <c r="B128" s="14" t="s">
        <v>77</v>
      </c>
      <c r="C128" s="15">
        <v>-7590</v>
      </c>
      <c r="D128" s="17" t="s">
        <v>78</v>
      </c>
      <c r="E128" s="14" t="s">
        <v>481</v>
      </c>
      <c r="F128" s="18">
        <v>6</v>
      </c>
      <c r="G128" s="12" t="str">
        <f>IFERROR(VLOOKUP(D128,Data!$A:$B,2,0),"Revisar")</f>
        <v>Gastos Variables</v>
      </c>
      <c r="H128" s="20" t="s">
        <v>24</v>
      </c>
      <c r="I128" s="157" t="str">
        <f t="array" ref="I128">_xlfn.XLOOKUP($H128,Data!$E:$E,Data!$F:$F,"Revisar",0)</f>
        <v>NA</v>
      </c>
      <c r="J128" s="157" t="str">
        <f t="array" ref="J128">_xlfn.XLOOKUP($H128,Data!$E:$E,Data!$G:$G,"Revisar",0)</f>
        <v>NA</v>
      </c>
      <c r="K128" s="20" t="s">
        <v>24</v>
      </c>
      <c r="L128" s="18">
        <f t="shared" si="14"/>
        <v>6</v>
      </c>
      <c r="M128" s="20"/>
      <c r="N128" s="14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" customHeight="1" x14ac:dyDescent="0.3">
      <c r="A129" s="13">
        <v>46189</v>
      </c>
      <c r="B129" s="14" t="s">
        <v>77</v>
      </c>
      <c r="C129" s="15">
        <v>-7590</v>
      </c>
      <c r="D129" s="17" t="s">
        <v>78</v>
      </c>
      <c r="E129" s="14" t="s">
        <v>481</v>
      </c>
      <c r="F129" s="18">
        <v>6</v>
      </c>
      <c r="G129" s="12" t="str">
        <f>IFERROR(VLOOKUP(D129,Data!$A:$B,2,0),"Revisar")</f>
        <v>Gastos Variables</v>
      </c>
      <c r="H129" s="20" t="s">
        <v>24</v>
      </c>
      <c r="I129" s="157" t="str">
        <f t="array" ref="I129">_xlfn.XLOOKUP($H129,Data!$E:$E,Data!$F:$F,"Revisar",0)</f>
        <v>NA</v>
      </c>
      <c r="J129" s="157" t="str">
        <f t="array" ref="J129">_xlfn.XLOOKUP($H129,Data!$E:$E,Data!$G:$G,"Revisar",0)</f>
        <v>NA</v>
      </c>
      <c r="K129" s="20" t="s">
        <v>24</v>
      </c>
      <c r="L129" s="18">
        <f t="shared" si="14"/>
        <v>6</v>
      </c>
      <c r="M129" s="20"/>
      <c r="N129" s="14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15" customHeight="1" x14ac:dyDescent="0.3">
      <c r="A130" s="13">
        <v>46189</v>
      </c>
      <c r="B130" s="14" t="s">
        <v>84</v>
      </c>
      <c r="C130" s="15">
        <v>-13447020</v>
      </c>
      <c r="D130" s="17" t="s">
        <v>138</v>
      </c>
      <c r="E130" s="14" t="s">
        <v>531</v>
      </c>
      <c r="F130" s="18">
        <v>6</v>
      </c>
      <c r="G130" s="12" t="str">
        <f>IFERROR(VLOOKUP(D130,Data!$A:$B,2,0),"Revisar")</f>
        <v>Costo Ventas</v>
      </c>
      <c r="H130" s="20" t="s">
        <v>182</v>
      </c>
      <c r="I130" s="157" t="str">
        <f t="array" ref="I130">_xlfn.XLOOKUP($H130,Data!$E:$E,Data!$F:$F,"Revisar",0)</f>
        <v>Psiconometrics</v>
      </c>
      <c r="J130" s="157" t="str">
        <f t="array" ref="J130">_xlfn.XLOOKUP($H130,Data!$E:$E,Data!$G:$G,"Revisar",0)</f>
        <v>Evento Camara Comercio</v>
      </c>
      <c r="K130" s="20" t="s">
        <v>143</v>
      </c>
      <c r="L130" s="18">
        <f t="shared" si="14"/>
        <v>6</v>
      </c>
      <c r="M130" s="18" t="s">
        <v>326</v>
      </c>
      <c r="N130" s="14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15" customHeight="1" x14ac:dyDescent="0.3">
      <c r="A131" s="13">
        <v>46189</v>
      </c>
      <c r="B131" s="14" t="s">
        <v>84</v>
      </c>
      <c r="C131" s="15">
        <v>-2070600</v>
      </c>
      <c r="D131" s="17" t="s">
        <v>138</v>
      </c>
      <c r="E131" s="14" t="s">
        <v>580</v>
      </c>
      <c r="F131" s="18">
        <v>6</v>
      </c>
      <c r="G131" s="12" t="str">
        <f>IFERROR(VLOOKUP(D131,Data!$A:$B,2,0),"Revisar")</f>
        <v>Costo Ventas</v>
      </c>
      <c r="H131" s="20" t="s">
        <v>76</v>
      </c>
      <c r="I131" s="157" t="str">
        <f t="array" ref="I131">_xlfn.XLOOKUP($H131,Data!$E:$E,Data!$F:$F,"Revisar",0)</f>
        <v>AXIS</v>
      </c>
      <c r="J131" s="157" t="str">
        <f t="array" ref="J131">_xlfn.XLOOKUP($H131,Data!$E:$E,Data!$G:$G,"Revisar",0)</f>
        <v>Evento mundial de fútbol y merchandising</v>
      </c>
      <c r="K131" s="20" t="s">
        <v>143</v>
      </c>
      <c r="L131" s="18">
        <v>6</v>
      </c>
      <c r="M131" s="20" t="s">
        <v>342</v>
      </c>
      <c r="N131" s="14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t="15" customHeight="1" x14ac:dyDescent="0.3">
      <c r="A132" s="13">
        <v>46189</v>
      </c>
      <c r="B132" s="14" t="s">
        <v>108</v>
      </c>
      <c r="C132" s="15">
        <v>-932000</v>
      </c>
      <c r="D132" s="17" t="s">
        <v>138</v>
      </c>
      <c r="E132" s="14" t="s">
        <v>584</v>
      </c>
      <c r="F132" s="18">
        <v>6</v>
      </c>
      <c r="G132" s="12" t="str">
        <f>IFERROR(VLOOKUP(D132,Data!$A:$B,2,0),"Revisar")</f>
        <v>Costo Ventas</v>
      </c>
      <c r="H132" s="20" t="s">
        <v>161</v>
      </c>
      <c r="I132" s="157" t="str">
        <f t="array" ref="I132">_xlfn.XLOOKUP($H132,Data!$E:$E,Data!$F:$F,"Revisar",0)</f>
        <v>Kaspersky</v>
      </c>
      <c r="J132" s="157" t="str">
        <f t="array" ref="J132">_xlfn.XLOOKUP($H132,Data!$E:$E,Data!$G:$G,"Revisar",0)</f>
        <v>Bolsa Incentivos 2026</v>
      </c>
      <c r="K132" s="20" t="s">
        <v>143</v>
      </c>
      <c r="L132" s="18">
        <f t="shared" ref="L132:L141" si="15">F132</f>
        <v>6</v>
      </c>
      <c r="M132" s="20" t="s">
        <v>354</v>
      </c>
      <c r="N132" s="14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t="15" customHeight="1" x14ac:dyDescent="0.3">
      <c r="A133" s="13">
        <v>46189</v>
      </c>
      <c r="B133" s="14" t="s">
        <v>338</v>
      </c>
      <c r="C133" s="15">
        <v>-65871</v>
      </c>
      <c r="D133" s="17" t="s">
        <v>339</v>
      </c>
      <c r="E133" s="14" t="s">
        <v>340</v>
      </c>
      <c r="F133" s="18">
        <v>6</v>
      </c>
      <c r="G133" s="12" t="str">
        <f>IFERROR(VLOOKUP(D133,Data!$A:$B,2,0),"Revisar")</f>
        <v>Gastos Variables</v>
      </c>
      <c r="H133" s="20" t="s">
        <v>24</v>
      </c>
      <c r="I133" s="157" t="str">
        <f t="array" ref="I133">_xlfn.XLOOKUP($H133,Data!$E:$E,Data!$F:$F,"Revisar",0)</f>
        <v>NA</v>
      </c>
      <c r="J133" s="157" t="str">
        <f t="array" ref="J133">_xlfn.XLOOKUP($H133,Data!$E:$E,Data!$G:$G,"Revisar",0)</f>
        <v>NA</v>
      </c>
      <c r="K133" s="20" t="s">
        <v>24</v>
      </c>
      <c r="L133" s="18">
        <f t="shared" si="15"/>
        <v>6</v>
      </c>
      <c r="M133" s="20"/>
      <c r="N133" s="14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t="15" customHeight="1" x14ac:dyDescent="0.3">
      <c r="A134" s="13">
        <v>46190</v>
      </c>
      <c r="B134" s="14" t="s">
        <v>31</v>
      </c>
      <c r="C134" s="15">
        <v>1759</v>
      </c>
      <c r="D134" s="17" t="s">
        <v>32</v>
      </c>
      <c r="E134" s="14" t="s">
        <v>492</v>
      </c>
      <c r="F134" s="18">
        <v>6</v>
      </c>
      <c r="G134" s="12" t="str">
        <f>IFERROR(VLOOKUP(D134,Data!$A:$B,2,0),"Revisar")</f>
        <v>Gastos Variables</v>
      </c>
      <c r="H134" s="20" t="s">
        <v>24</v>
      </c>
      <c r="I134" s="157" t="str">
        <f t="array" ref="I134">_xlfn.XLOOKUP($H134,Data!$E:$E,Data!$F:$F,"Revisar",0)</f>
        <v>NA</v>
      </c>
      <c r="J134" s="157" t="str">
        <f t="array" ref="J134">_xlfn.XLOOKUP($H134,Data!$E:$E,Data!$G:$G,"Revisar",0)</f>
        <v>NA</v>
      </c>
      <c r="K134" s="20" t="s">
        <v>24</v>
      </c>
      <c r="L134" s="18">
        <f t="shared" si="15"/>
        <v>6</v>
      </c>
      <c r="M134" s="20"/>
      <c r="N134" s="14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t="15" customHeight="1" x14ac:dyDescent="0.3">
      <c r="A135" s="13">
        <v>46191</v>
      </c>
      <c r="B135" s="14" t="s">
        <v>338</v>
      </c>
      <c r="C135" s="15">
        <v>-15252</v>
      </c>
      <c r="D135" s="17" t="s">
        <v>339</v>
      </c>
      <c r="E135" s="14" t="s">
        <v>340</v>
      </c>
      <c r="F135" s="18">
        <v>6</v>
      </c>
      <c r="G135" s="12" t="str">
        <f>IFERROR(VLOOKUP(D135,Data!$A:$B,2,0),"Revisar")</f>
        <v>Gastos Variables</v>
      </c>
      <c r="H135" s="20" t="s">
        <v>24</v>
      </c>
      <c r="I135" s="157" t="str">
        <f t="array" ref="I135">_xlfn.XLOOKUP($H135,Data!$E:$E,Data!$F:$F,"Revisar",0)</f>
        <v>NA</v>
      </c>
      <c r="J135" s="157" t="str">
        <f t="array" ref="J135">_xlfn.XLOOKUP($H135,Data!$E:$E,Data!$G:$G,"Revisar",0)</f>
        <v>NA</v>
      </c>
      <c r="K135" s="20" t="s">
        <v>24</v>
      </c>
      <c r="L135" s="18">
        <f t="shared" si="15"/>
        <v>6</v>
      </c>
      <c r="M135" s="20"/>
      <c r="N135" s="14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t="15" customHeight="1" x14ac:dyDescent="0.3">
      <c r="A136" s="13">
        <v>46191</v>
      </c>
      <c r="B136" s="14" t="s">
        <v>600</v>
      </c>
      <c r="C136" s="15">
        <v>-3813000</v>
      </c>
      <c r="D136" s="17" t="s">
        <v>361</v>
      </c>
      <c r="E136" s="14" t="s">
        <v>601</v>
      </c>
      <c r="F136" s="18">
        <v>6</v>
      </c>
      <c r="G136" s="12" t="str">
        <f>IFERROR(VLOOKUP(D136,Data!$A:$B,2,0),"Revisar")</f>
        <v>Impuestos</v>
      </c>
      <c r="H136" s="20" t="s">
        <v>24</v>
      </c>
      <c r="I136" s="157" t="str">
        <f t="array" ref="I136">_xlfn.XLOOKUP($H136,Data!$E:$E,Data!$F:$F,"Revisar",0)</f>
        <v>NA</v>
      </c>
      <c r="J136" s="157" t="str">
        <f t="array" ref="J136">_xlfn.XLOOKUP($H136,Data!$E:$E,Data!$G:$G,"Revisar",0)</f>
        <v>NA</v>
      </c>
      <c r="K136" s="20" t="s">
        <v>24</v>
      </c>
      <c r="L136" s="18">
        <f t="shared" si="15"/>
        <v>6</v>
      </c>
      <c r="M136" s="20"/>
      <c r="N136" s="14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t="15" customHeight="1" x14ac:dyDescent="0.3">
      <c r="A137" s="13">
        <v>46191</v>
      </c>
      <c r="B137" s="14" t="s">
        <v>31</v>
      </c>
      <c r="C137" s="15">
        <v>863.83</v>
      </c>
      <c r="D137" s="17" t="s">
        <v>32</v>
      </c>
      <c r="E137" s="14" t="s">
        <v>492</v>
      </c>
      <c r="F137" s="18">
        <v>6</v>
      </c>
      <c r="G137" s="12" t="str">
        <f>IFERROR(VLOOKUP(D137,Data!$A:$B,2,0),"Revisar")</f>
        <v>Gastos Variables</v>
      </c>
      <c r="H137" s="20" t="s">
        <v>24</v>
      </c>
      <c r="I137" s="157" t="str">
        <f t="array" ref="I137">_xlfn.XLOOKUP($H137,Data!$E:$E,Data!$F:$F,"Revisar",0)</f>
        <v>NA</v>
      </c>
      <c r="J137" s="157" t="str">
        <f t="array" ref="J137">_xlfn.XLOOKUP($H137,Data!$E:$E,Data!$G:$G,"Revisar",0)</f>
        <v>NA</v>
      </c>
      <c r="K137" s="20" t="s">
        <v>24</v>
      </c>
      <c r="L137" s="18">
        <f t="shared" si="15"/>
        <v>6</v>
      </c>
      <c r="M137" s="20"/>
      <c r="N137" s="14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t="15" customHeight="1" x14ac:dyDescent="0.3">
      <c r="A138" s="13">
        <v>46192</v>
      </c>
      <c r="B138" s="14" t="s">
        <v>89</v>
      </c>
      <c r="C138" s="15">
        <v>-1442.1</v>
      </c>
      <c r="D138" s="17" t="s">
        <v>90</v>
      </c>
      <c r="E138" s="14" t="s">
        <v>473</v>
      </c>
      <c r="F138" s="18">
        <v>6</v>
      </c>
      <c r="G138" s="12" t="str">
        <f>IFERROR(VLOOKUP(D138,Data!$A:$B,2,0),"Revisar")</f>
        <v>Imp x Pagar - IVA</v>
      </c>
      <c r="H138" s="20" t="s">
        <v>24</v>
      </c>
      <c r="I138" s="157" t="str">
        <f t="array" ref="I138">_xlfn.XLOOKUP($H138,Data!$E:$E,Data!$F:$F,"Revisar",0)</f>
        <v>NA</v>
      </c>
      <c r="J138" s="157" t="str">
        <f t="array" ref="J138">_xlfn.XLOOKUP($H138,Data!$E:$E,Data!$G:$G,"Revisar",0)</f>
        <v>NA</v>
      </c>
      <c r="K138" s="20" t="s">
        <v>24</v>
      </c>
      <c r="L138" s="18">
        <f t="shared" si="15"/>
        <v>6</v>
      </c>
      <c r="M138" s="20"/>
      <c r="N138" s="14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t="15" customHeight="1" x14ac:dyDescent="0.3">
      <c r="A139" s="13">
        <v>46192</v>
      </c>
      <c r="B139" s="14" t="s">
        <v>77</v>
      </c>
      <c r="C139" s="15">
        <v>-7590</v>
      </c>
      <c r="D139" s="17" t="s">
        <v>78</v>
      </c>
      <c r="E139" s="14" t="s">
        <v>481</v>
      </c>
      <c r="F139" s="18">
        <v>6</v>
      </c>
      <c r="G139" s="12" t="str">
        <f>IFERROR(VLOOKUP(D139,Data!$A:$B,2,0),"Revisar")</f>
        <v>Gastos Variables</v>
      </c>
      <c r="H139" s="20" t="s">
        <v>24</v>
      </c>
      <c r="I139" s="157" t="str">
        <f t="array" ref="I139">_xlfn.XLOOKUP($H139,Data!$E:$E,Data!$F:$F,"Revisar",0)</f>
        <v>NA</v>
      </c>
      <c r="J139" s="157" t="str">
        <f t="array" ref="J139">_xlfn.XLOOKUP($H139,Data!$E:$E,Data!$G:$G,"Revisar",0)</f>
        <v>NA</v>
      </c>
      <c r="K139" s="20" t="s">
        <v>24</v>
      </c>
      <c r="L139" s="18">
        <f t="shared" si="15"/>
        <v>6</v>
      </c>
      <c r="M139" s="20"/>
      <c r="N139" s="14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t="15" customHeight="1" x14ac:dyDescent="0.3">
      <c r="A140" s="59">
        <v>46192</v>
      </c>
      <c r="B140" s="60" t="s">
        <v>84</v>
      </c>
      <c r="C140" s="61">
        <v>-150000</v>
      </c>
      <c r="D140" s="62" t="s">
        <v>138</v>
      </c>
      <c r="E140" s="60" t="s">
        <v>833</v>
      </c>
      <c r="F140" s="63">
        <v>6</v>
      </c>
      <c r="G140" s="64" t="str">
        <f>IFERROR(VLOOKUP(D140,Data!$A:$B,2,0),"Revisar")</f>
        <v>Costo Ventas</v>
      </c>
      <c r="H140" s="65" t="s">
        <v>182</v>
      </c>
      <c r="I140" s="159" t="str">
        <f t="array" ref="I140">_xlfn.XLOOKUP($H140,Data!$E:$E,Data!$F:$F,"Revisar",0)</f>
        <v>Psiconometrics</v>
      </c>
      <c r="J140" s="159" t="str">
        <f t="array" ref="J140">_xlfn.XLOOKUP($H140,Data!$E:$E,Data!$G:$G,"Revisar",0)</f>
        <v>Evento Camara Comercio</v>
      </c>
      <c r="K140" s="65" t="s">
        <v>143</v>
      </c>
      <c r="L140" s="63">
        <f t="shared" ref="L140" si="16">F140</f>
        <v>6</v>
      </c>
      <c r="M140" s="65" t="s">
        <v>1147</v>
      </c>
      <c r="N140" s="14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t="15" customHeight="1" x14ac:dyDescent="0.3">
      <c r="A141" s="59">
        <v>46192</v>
      </c>
      <c r="B141" s="60" t="s">
        <v>84</v>
      </c>
      <c r="C141" s="61">
        <v>-300000</v>
      </c>
      <c r="D141" s="62" t="s">
        <v>138</v>
      </c>
      <c r="E141" s="60" t="s">
        <v>1146</v>
      </c>
      <c r="F141" s="63">
        <v>6</v>
      </c>
      <c r="G141" s="64" t="str">
        <f>IFERROR(VLOOKUP(D141,Data!$A:$B,2,0),"Revisar")</f>
        <v>Costo Ventas</v>
      </c>
      <c r="H141" s="65" t="s">
        <v>182</v>
      </c>
      <c r="I141" s="159" t="str">
        <f t="array" ref="I141">_xlfn.XLOOKUP($H141,Data!$E:$E,Data!$F:$F,"Revisar",0)</f>
        <v>Psiconometrics</v>
      </c>
      <c r="J141" s="159" t="str">
        <f t="array" ref="J141">_xlfn.XLOOKUP($H141,Data!$E:$E,Data!$G:$G,"Revisar",0)</f>
        <v>Evento Camara Comercio</v>
      </c>
      <c r="K141" s="65" t="s">
        <v>143</v>
      </c>
      <c r="L141" s="63">
        <f t="shared" si="15"/>
        <v>6</v>
      </c>
      <c r="M141" s="65" t="s">
        <v>1148</v>
      </c>
      <c r="N141" s="14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t="15" customHeight="1" x14ac:dyDescent="0.3">
      <c r="A142" s="59">
        <v>46192</v>
      </c>
      <c r="B142" s="60" t="s">
        <v>84</v>
      </c>
      <c r="C142" s="61">
        <v>-150000</v>
      </c>
      <c r="D142" s="62" t="s">
        <v>138</v>
      </c>
      <c r="E142" s="60" t="s">
        <v>617</v>
      </c>
      <c r="F142" s="63">
        <v>6</v>
      </c>
      <c r="G142" s="64" t="str">
        <f>IFERROR(VLOOKUP(D142,Data!$A:$B,2,0),"Revisar")</f>
        <v>Costo Ventas</v>
      </c>
      <c r="H142" s="65" t="s">
        <v>76</v>
      </c>
      <c r="I142" s="159" t="str">
        <f t="array" ref="I142">_xlfn.XLOOKUP($H142,Data!$E:$E,Data!$F:$F,"Revisar",0)</f>
        <v>AXIS</v>
      </c>
      <c r="J142" s="159" t="str">
        <f t="array" ref="J142">_xlfn.XLOOKUP($H142,Data!$E:$E,Data!$G:$G,"Revisar",0)</f>
        <v>Evento mundial de fútbol y merchandising</v>
      </c>
      <c r="K142" s="65" t="s">
        <v>143</v>
      </c>
      <c r="L142" s="63">
        <v>6</v>
      </c>
      <c r="M142" s="65" t="s">
        <v>504</v>
      </c>
      <c r="N142" s="14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t="15" customHeight="1" x14ac:dyDescent="0.3">
      <c r="A143" s="13">
        <v>46192</v>
      </c>
      <c r="B143" s="14" t="s">
        <v>108</v>
      </c>
      <c r="C143" s="15">
        <v>-354160</v>
      </c>
      <c r="D143" s="17" t="s">
        <v>138</v>
      </c>
      <c r="E143" s="14" t="s">
        <v>618</v>
      </c>
      <c r="F143" s="18">
        <v>6</v>
      </c>
      <c r="G143" s="12" t="str">
        <f>IFERROR(VLOOKUP(D143,Data!$A:$B,2,0),"Revisar")</f>
        <v>Costo Ventas</v>
      </c>
      <c r="H143" s="20" t="s">
        <v>161</v>
      </c>
      <c r="I143" s="157" t="str">
        <f t="array" ref="I143">_xlfn.XLOOKUP($H143,Data!$E:$E,Data!$F:$F,"Revisar",0)</f>
        <v>Kaspersky</v>
      </c>
      <c r="J143" s="157" t="str">
        <f t="array" ref="J143">_xlfn.XLOOKUP($H143,Data!$E:$E,Data!$G:$G,"Revisar",0)</f>
        <v>Bolsa Incentivos 2026</v>
      </c>
      <c r="K143" s="20" t="s">
        <v>143</v>
      </c>
      <c r="L143" s="18">
        <f t="shared" ref="L143:L156" si="17">F143</f>
        <v>6</v>
      </c>
      <c r="M143" s="20" t="s">
        <v>354</v>
      </c>
      <c r="N143" s="14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t="15" customHeight="1" x14ac:dyDescent="0.3">
      <c r="A144" s="13">
        <v>46192</v>
      </c>
      <c r="B144" s="14" t="s">
        <v>338</v>
      </c>
      <c r="C144" s="15">
        <v>-3852.76</v>
      </c>
      <c r="D144" s="17" t="s">
        <v>339</v>
      </c>
      <c r="E144" s="14" t="s">
        <v>340</v>
      </c>
      <c r="F144" s="18">
        <v>6</v>
      </c>
      <c r="G144" s="12" t="str">
        <f>IFERROR(VLOOKUP(D144,Data!$A:$B,2,0),"Revisar")</f>
        <v>Gastos Variables</v>
      </c>
      <c r="H144" s="20" t="s">
        <v>24</v>
      </c>
      <c r="I144" s="157" t="str">
        <f t="array" ref="I144">_xlfn.XLOOKUP($H144,Data!$E:$E,Data!$F:$F,"Revisar",0)</f>
        <v>NA</v>
      </c>
      <c r="J144" s="157" t="str">
        <f t="array" ref="J144">_xlfn.XLOOKUP($H144,Data!$E:$E,Data!$G:$G,"Revisar",0)</f>
        <v>NA</v>
      </c>
      <c r="K144" s="20" t="s">
        <v>24</v>
      </c>
      <c r="L144" s="18">
        <f t="shared" si="17"/>
        <v>6</v>
      </c>
      <c r="M144" s="20"/>
      <c r="N144" s="14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t="15" customHeight="1" x14ac:dyDescent="0.3">
      <c r="A145" s="13">
        <v>46194</v>
      </c>
      <c r="B145" s="14" t="s">
        <v>31</v>
      </c>
      <c r="C145" s="15">
        <v>2579.58</v>
      </c>
      <c r="D145" s="17" t="s">
        <v>32</v>
      </c>
      <c r="E145" s="14" t="s">
        <v>492</v>
      </c>
      <c r="F145" s="18">
        <v>6</v>
      </c>
      <c r="G145" s="12" t="str">
        <f>IFERROR(VLOOKUP(D145,Data!$A:$B,2,0),"Revisar")</f>
        <v>Gastos Variables</v>
      </c>
      <c r="H145" s="20" t="s">
        <v>24</v>
      </c>
      <c r="I145" s="157" t="str">
        <f t="array" ref="I145">_xlfn.XLOOKUP($H145,Data!$E:$E,Data!$F:$F,"Revisar",0)</f>
        <v>NA</v>
      </c>
      <c r="J145" s="157" t="str">
        <f t="array" ref="J145">_xlfn.XLOOKUP($H145,Data!$E:$E,Data!$G:$G,"Revisar",0)</f>
        <v>NA</v>
      </c>
      <c r="K145" s="20" t="s">
        <v>24</v>
      </c>
      <c r="L145" s="18">
        <f t="shared" si="17"/>
        <v>6</v>
      </c>
      <c r="M145" s="20"/>
      <c r="N145" s="14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t="15" customHeight="1" x14ac:dyDescent="0.3">
      <c r="A146" s="13">
        <v>46195</v>
      </c>
      <c r="B146" s="14" t="s">
        <v>89</v>
      </c>
      <c r="C146" s="15">
        <v>-1442.1</v>
      </c>
      <c r="D146" s="17" t="s">
        <v>90</v>
      </c>
      <c r="E146" s="14" t="s">
        <v>473</v>
      </c>
      <c r="F146" s="18">
        <v>6</v>
      </c>
      <c r="G146" s="12" t="str">
        <f>IFERROR(VLOOKUP(D146,Data!$A:$B,2,0),"Revisar")</f>
        <v>Imp x Pagar - IVA</v>
      </c>
      <c r="H146" s="20" t="s">
        <v>24</v>
      </c>
      <c r="I146" s="157" t="str">
        <f t="array" ref="I146">_xlfn.XLOOKUP($H146,Data!$E:$E,Data!$F:$F,"Revisar",0)</f>
        <v>NA</v>
      </c>
      <c r="J146" s="157" t="str">
        <f t="array" ref="J146">_xlfn.XLOOKUP($H146,Data!$E:$E,Data!$G:$G,"Revisar",0)</f>
        <v>NA</v>
      </c>
      <c r="K146" s="20" t="s">
        <v>24</v>
      </c>
      <c r="L146" s="18">
        <f t="shared" si="17"/>
        <v>6</v>
      </c>
      <c r="M146" s="20"/>
      <c r="N146" s="14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t="15" customHeight="1" x14ac:dyDescent="0.3">
      <c r="A147" s="13">
        <v>46195</v>
      </c>
      <c r="B147" s="14" t="s">
        <v>89</v>
      </c>
      <c r="C147" s="15">
        <v>-1442.1</v>
      </c>
      <c r="D147" s="17" t="s">
        <v>90</v>
      </c>
      <c r="E147" s="14" t="s">
        <v>473</v>
      </c>
      <c r="F147" s="18">
        <v>6</v>
      </c>
      <c r="G147" s="12" t="str">
        <f>IFERROR(VLOOKUP(D147,Data!$A:$B,2,0),"Revisar")</f>
        <v>Imp x Pagar - IVA</v>
      </c>
      <c r="H147" s="20" t="s">
        <v>24</v>
      </c>
      <c r="I147" s="157" t="str">
        <f t="array" ref="I147">_xlfn.XLOOKUP($H147,Data!$E:$E,Data!$F:$F,"Revisar",0)</f>
        <v>NA</v>
      </c>
      <c r="J147" s="157" t="str">
        <f t="array" ref="J147">_xlfn.XLOOKUP($H147,Data!$E:$E,Data!$G:$G,"Revisar",0)</f>
        <v>NA</v>
      </c>
      <c r="K147" s="20" t="s">
        <v>24</v>
      </c>
      <c r="L147" s="18">
        <f t="shared" si="17"/>
        <v>6</v>
      </c>
      <c r="M147" s="20"/>
      <c r="N147" s="14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t="15" customHeight="1" x14ac:dyDescent="0.3">
      <c r="A148" s="13">
        <v>46195</v>
      </c>
      <c r="B148" s="14" t="s">
        <v>77</v>
      </c>
      <c r="C148" s="15">
        <v>-7590</v>
      </c>
      <c r="D148" s="17" t="s">
        <v>78</v>
      </c>
      <c r="E148" s="14" t="s">
        <v>481</v>
      </c>
      <c r="F148" s="18">
        <v>6</v>
      </c>
      <c r="G148" s="12" t="str">
        <f>IFERROR(VLOOKUP(D148,Data!$A:$B,2,0),"Revisar")</f>
        <v>Gastos Variables</v>
      </c>
      <c r="H148" s="20" t="s">
        <v>24</v>
      </c>
      <c r="I148" s="157" t="str">
        <f t="array" ref="I148">_xlfn.XLOOKUP($H148,Data!$E:$E,Data!$F:$F,"Revisar",0)</f>
        <v>NA</v>
      </c>
      <c r="J148" s="157" t="str">
        <f t="array" ref="J148">_xlfn.XLOOKUP($H148,Data!$E:$E,Data!$G:$G,"Revisar",0)</f>
        <v>NA</v>
      </c>
      <c r="K148" s="20" t="s">
        <v>24</v>
      </c>
      <c r="L148" s="18">
        <f t="shared" si="17"/>
        <v>6</v>
      </c>
      <c r="M148" s="20"/>
      <c r="N148" s="14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t="15" customHeight="1" x14ac:dyDescent="0.3">
      <c r="A149" s="13">
        <v>46195</v>
      </c>
      <c r="B149" s="14" t="s">
        <v>77</v>
      </c>
      <c r="C149" s="15">
        <v>-7590</v>
      </c>
      <c r="D149" s="17" t="s">
        <v>78</v>
      </c>
      <c r="E149" s="14" t="s">
        <v>481</v>
      </c>
      <c r="F149" s="18">
        <v>6</v>
      </c>
      <c r="G149" s="12" t="str">
        <f>IFERROR(VLOOKUP(D149,Data!$A:$B,2,0),"Revisar")</f>
        <v>Gastos Variables</v>
      </c>
      <c r="H149" s="20" t="s">
        <v>24</v>
      </c>
      <c r="I149" s="157" t="str">
        <f t="array" ref="I149">_xlfn.XLOOKUP($H149,Data!$E:$E,Data!$F:$F,"Revisar",0)</f>
        <v>NA</v>
      </c>
      <c r="J149" s="157" t="str">
        <f t="array" ref="J149">_xlfn.XLOOKUP($H149,Data!$E:$E,Data!$G:$G,"Revisar",0)</f>
        <v>NA</v>
      </c>
      <c r="K149" s="20" t="s">
        <v>24</v>
      </c>
      <c r="L149" s="18">
        <f t="shared" si="17"/>
        <v>6</v>
      </c>
      <c r="M149" s="20"/>
      <c r="N149" s="14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t="15" customHeight="1" x14ac:dyDescent="0.3">
      <c r="A150" s="13">
        <v>46195</v>
      </c>
      <c r="B150" s="14" t="s">
        <v>84</v>
      </c>
      <c r="C150" s="15">
        <v>-13447020</v>
      </c>
      <c r="D150" s="17" t="s">
        <v>138</v>
      </c>
      <c r="E150" s="14" t="s">
        <v>619</v>
      </c>
      <c r="F150" s="18">
        <v>6</v>
      </c>
      <c r="G150" s="12" t="str">
        <f>IFERROR(VLOOKUP(D150,Data!$A:$B,2,0),"Revisar")</f>
        <v>Costo Ventas</v>
      </c>
      <c r="H150" s="20" t="s">
        <v>182</v>
      </c>
      <c r="I150" s="157" t="str">
        <f t="array" ref="I150">_xlfn.XLOOKUP($H150,Data!$E:$E,Data!$F:$F,"Revisar",0)</f>
        <v>Psiconometrics</v>
      </c>
      <c r="J150" s="157" t="str">
        <f t="array" ref="J150">_xlfn.XLOOKUP($H150,Data!$E:$E,Data!$G:$G,"Revisar",0)</f>
        <v>Evento Camara Comercio</v>
      </c>
      <c r="K150" s="20" t="s">
        <v>143</v>
      </c>
      <c r="L150" s="18">
        <f t="shared" si="17"/>
        <v>6</v>
      </c>
      <c r="M150" s="18" t="s">
        <v>326</v>
      </c>
      <c r="N150" s="14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t="15" customHeight="1" x14ac:dyDescent="0.3">
      <c r="A151" s="13">
        <v>46195</v>
      </c>
      <c r="B151" s="14" t="s">
        <v>84</v>
      </c>
      <c r="C151" s="15">
        <v>-696900</v>
      </c>
      <c r="D151" s="17" t="s">
        <v>138</v>
      </c>
      <c r="E151" s="14" t="s">
        <v>620</v>
      </c>
      <c r="F151" s="18">
        <v>6</v>
      </c>
      <c r="G151" s="12" t="str">
        <f>IFERROR(VLOOKUP(D151,Data!$A:$B,2,0),"Revisar")</f>
        <v>Costo Ventas</v>
      </c>
      <c r="H151" s="20" t="s">
        <v>182</v>
      </c>
      <c r="I151" s="157" t="str">
        <f t="array" ref="I151">_xlfn.XLOOKUP($H151,Data!$E:$E,Data!$F:$F,"Revisar",0)</f>
        <v>Psiconometrics</v>
      </c>
      <c r="J151" s="157" t="str">
        <f t="array" ref="J151">_xlfn.XLOOKUP($H151,Data!$E:$E,Data!$G:$G,"Revisar",0)</f>
        <v>Evento Camara Comercio</v>
      </c>
      <c r="K151" s="20" t="s">
        <v>143</v>
      </c>
      <c r="L151" s="18">
        <f t="shared" si="17"/>
        <v>6</v>
      </c>
      <c r="M151" s="18" t="s">
        <v>237</v>
      </c>
      <c r="N151" s="14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15" customHeight="1" x14ac:dyDescent="0.3">
      <c r="A152" s="13">
        <v>46195</v>
      </c>
      <c r="B152" s="14" t="s">
        <v>338</v>
      </c>
      <c r="C152" s="15">
        <v>-56647.93</v>
      </c>
      <c r="D152" s="17" t="s">
        <v>339</v>
      </c>
      <c r="E152" s="14" t="s">
        <v>340</v>
      </c>
      <c r="F152" s="18">
        <v>6</v>
      </c>
      <c r="G152" s="12" t="str">
        <f>IFERROR(VLOOKUP(D152,Data!$A:$B,2,0),"Revisar")</f>
        <v>Gastos Variables</v>
      </c>
      <c r="H152" s="20" t="s">
        <v>24</v>
      </c>
      <c r="I152" s="157" t="str">
        <f t="array" ref="I152">_xlfn.XLOOKUP($H152,Data!$E:$E,Data!$F:$F,"Revisar",0)</f>
        <v>NA</v>
      </c>
      <c r="J152" s="157" t="str">
        <f t="array" ref="J152">_xlfn.XLOOKUP($H152,Data!$E:$E,Data!$G:$G,"Revisar",0)</f>
        <v>NA</v>
      </c>
      <c r="K152" s="20" t="s">
        <v>24</v>
      </c>
      <c r="L152" s="18">
        <f t="shared" si="17"/>
        <v>6</v>
      </c>
      <c r="M152" s="20"/>
      <c r="N152" s="14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15" customHeight="1" x14ac:dyDescent="0.3">
      <c r="A153" s="13">
        <v>46202</v>
      </c>
      <c r="B153" s="14" t="s">
        <v>31</v>
      </c>
      <c r="C153" s="15">
        <v>6411</v>
      </c>
      <c r="D153" s="17" t="s">
        <v>32</v>
      </c>
      <c r="E153" s="14" t="s">
        <v>492</v>
      </c>
      <c r="F153" s="18">
        <v>6</v>
      </c>
      <c r="G153" s="12" t="str">
        <f>IFERROR(VLOOKUP(D153,Data!$A:$B,2,0),"Revisar")</f>
        <v>Gastos Variables</v>
      </c>
      <c r="H153" s="20" t="s">
        <v>24</v>
      </c>
      <c r="I153" s="157" t="str">
        <f t="array" ref="I153">_xlfn.XLOOKUP($H153,Data!$E:$E,Data!$F:$F,"Revisar",0)</f>
        <v>NA</v>
      </c>
      <c r="J153" s="157" t="str">
        <f t="array" ref="J153">_xlfn.XLOOKUP($H153,Data!$E:$E,Data!$G:$G,"Revisar",0)</f>
        <v>NA</v>
      </c>
      <c r="K153" s="20" t="s">
        <v>24</v>
      </c>
      <c r="L153" s="18">
        <f t="shared" si="17"/>
        <v>6</v>
      </c>
      <c r="M153" s="20"/>
      <c r="N153" s="14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t="15" customHeight="1" x14ac:dyDescent="0.3">
      <c r="A154" s="13">
        <v>46203</v>
      </c>
      <c r="B154" s="14" t="s">
        <v>621</v>
      </c>
      <c r="C154" s="15">
        <v>-8950</v>
      </c>
      <c r="D154" s="17" t="s">
        <v>70</v>
      </c>
      <c r="E154" s="14" t="s">
        <v>622</v>
      </c>
      <c r="F154" s="18">
        <v>6</v>
      </c>
      <c r="G154" s="12" t="str">
        <f>IFERROR(VLOOKUP(D154,Data!$A:$B,2,0),"Revisar")</f>
        <v>Costos Operacionales</v>
      </c>
      <c r="H154" s="20" t="s">
        <v>24</v>
      </c>
      <c r="I154" s="157" t="str">
        <f t="array" ref="I154">_xlfn.XLOOKUP($H154,Data!$E:$E,Data!$F:$F,"Revisar",0)</f>
        <v>NA</v>
      </c>
      <c r="J154" s="157" t="str">
        <f t="array" ref="J154">_xlfn.XLOOKUP($H154,Data!$E:$E,Data!$G:$G,"Revisar",0)</f>
        <v>NA</v>
      </c>
      <c r="K154" s="20" t="s">
        <v>24</v>
      </c>
      <c r="L154" s="18">
        <f t="shared" si="17"/>
        <v>6</v>
      </c>
      <c r="M154" s="20" t="s">
        <v>385</v>
      </c>
      <c r="N154" s="14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ht="15" customHeight="1" x14ac:dyDescent="0.3">
      <c r="A155" s="13">
        <v>46203</v>
      </c>
      <c r="B155" s="14" t="s">
        <v>338</v>
      </c>
      <c r="C155" s="15">
        <v>-35.799999999999997</v>
      </c>
      <c r="D155" s="17" t="s">
        <v>339</v>
      </c>
      <c r="E155" s="14" t="s">
        <v>340</v>
      </c>
      <c r="F155" s="18">
        <v>6</v>
      </c>
      <c r="G155" s="12" t="str">
        <f>IFERROR(VLOOKUP(D155,Data!$A:$B,2,0),"Revisar")</f>
        <v>Gastos Variables</v>
      </c>
      <c r="H155" s="20" t="s">
        <v>24</v>
      </c>
      <c r="I155" s="157" t="str">
        <f t="array" ref="I155">_xlfn.XLOOKUP($H155,Data!$E:$E,Data!$F:$F,"Revisar",0)</f>
        <v>NA</v>
      </c>
      <c r="J155" s="157" t="str">
        <f t="array" ref="J155">_xlfn.XLOOKUP($H155,Data!$E:$E,Data!$G:$G,"Revisar",0)</f>
        <v>NA</v>
      </c>
      <c r="K155" s="20" t="s">
        <v>24</v>
      </c>
      <c r="L155" s="18">
        <f t="shared" si="17"/>
        <v>6</v>
      </c>
      <c r="M155" s="20"/>
      <c r="N155" s="14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ht="15" customHeight="1" x14ac:dyDescent="0.3">
      <c r="A156" s="13">
        <v>46203</v>
      </c>
      <c r="B156" s="14" t="s">
        <v>31</v>
      </c>
      <c r="C156" s="15">
        <v>801.42</v>
      </c>
      <c r="D156" s="17" t="s">
        <v>32</v>
      </c>
      <c r="E156" s="14" t="s">
        <v>492</v>
      </c>
      <c r="F156" s="18">
        <v>6</v>
      </c>
      <c r="G156" s="12" t="str">
        <f>IFERROR(VLOOKUP(D156,Data!$A:$B,2,0),"Revisar")</f>
        <v>Gastos Variables</v>
      </c>
      <c r="H156" s="20" t="s">
        <v>24</v>
      </c>
      <c r="I156" s="157" t="str">
        <f t="array" ref="I156">_xlfn.XLOOKUP($H156,Data!$E:$E,Data!$F:$F,"Revisar",0)</f>
        <v>NA</v>
      </c>
      <c r="J156" s="157" t="str">
        <f t="array" ref="J156">_xlfn.XLOOKUP($H156,Data!$E:$E,Data!$G:$G,"Revisar",0)</f>
        <v>NA</v>
      </c>
      <c r="K156" s="20" t="s">
        <v>24</v>
      </c>
      <c r="L156" s="18">
        <f t="shared" si="17"/>
        <v>6</v>
      </c>
      <c r="M156" s="20"/>
      <c r="N156" s="14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ht="15" customHeight="1" x14ac:dyDescent="0.3">
      <c r="A157" s="13">
        <v>46206</v>
      </c>
      <c r="B157" s="14" t="s">
        <v>623</v>
      </c>
      <c r="C157" s="15">
        <v>-40600</v>
      </c>
      <c r="D157" s="17" t="s">
        <v>138</v>
      </c>
      <c r="E157" s="14" t="s">
        <v>624</v>
      </c>
      <c r="F157" s="18">
        <v>7</v>
      </c>
      <c r="G157" s="12" t="str">
        <f>IFERROR(VLOOKUP(D157,Data!$A:$B,2,0),"Revisar")</f>
        <v>Costo Ventas</v>
      </c>
      <c r="H157" s="20" t="s">
        <v>182</v>
      </c>
      <c r="I157" s="157" t="str">
        <f t="array" ref="I157">_xlfn.XLOOKUP($H157,Data!$E:$E,Data!$F:$F,"Revisar",0)</f>
        <v>Psiconometrics</v>
      </c>
      <c r="J157" s="157" t="str">
        <f t="array" ref="J157">_xlfn.XLOOKUP($H157,Data!$E:$E,Data!$G:$G,"Revisar",0)</f>
        <v>Evento Camara Comercio</v>
      </c>
      <c r="K157" s="20" t="s">
        <v>24</v>
      </c>
      <c r="L157" s="18">
        <v>6</v>
      </c>
      <c r="M157" s="18"/>
      <c r="N157" s="14" t="s">
        <v>625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ht="15" customHeight="1" x14ac:dyDescent="0.3">
      <c r="A158" s="13">
        <v>46206</v>
      </c>
      <c r="B158" s="14" t="s">
        <v>338</v>
      </c>
      <c r="C158" s="15">
        <v>-257168</v>
      </c>
      <c r="D158" s="17" t="s">
        <v>339</v>
      </c>
      <c r="E158" s="14" t="s">
        <v>340</v>
      </c>
      <c r="F158" s="18">
        <v>7</v>
      </c>
      <c r="G158" s="12" t="str">
        <f>IFERROR(VLOOKUP(D158,Data!$A:$B,2,0),"Revisar")</f>
        <v>Gastos Variables</v>
      </c>
      <c r="H158" s="20" t="s">
        <v>24</v>
      </c>
      <c r="I158" s="157" t="str">
        <f t="array" ref="I158">_xlfn.XLOOKUP($H158,Data!$E:$E,Data!$F:$F,"Revisar",0)</f>
        <v>NA</v>
      </c>
      <c r="J158" s="157" t="str">
        <f t="array" ref="J158">_xlfn.XLOOKUP($H158,Data!$E:$E,Data!$G:$G,"Revisar",0)</f>
        <v>NA</v>
      </c>
      <c r="K158" s="20" t="s">
        <v>24</v>
      </c>
      <c r="L158" s="18">
        <v>7</v>
      </c>
      <c r="M158" s="20"/>
      <c r="N158" s="14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ht="15" customHeight="1" x14ac:dyDescent="0.3">
      <c r="A159" s="13">
        <v>46206</v>
      </c>
      <c r="B159" s="14" t="s">
        <v>338</v>
      </c>
      <c r="C159" s="15">
        <v>-193</v>
      </c>
      <c r="D159" s="17" t="s">
        <v>339</v>
      </c>
      <c r="E159" s="14" t="s">
        <v>340</v>
      </c>
      <c r="F159" s="18">
        <v>7</v>
      </c>
      <c r="G159" s="12" t="str">
        <f>IFERROR(VLOOKUP(D159,Data!$A:$B,2,0),"Revisar")</f>
        <v>Gastos Variables</v>
      </c>
      <c r="H159" s="20" t="s">
        <v>24</v>
      </c>
      <c r="I159" s="157" t="str">
        <f t="array" ref="I159">_xlfn.XLOOKUP($H159,Data!$E:$E,Data!$F:$F,"Revisar",0)</f>
        <v>NA</v>
      </c>
      <c r="J159" s="157" t="str">
        <f t="array" ref="J159">_xlfn.XLOOKUP($H159,Data!$E:$E,Data!$G:$G,"Revisar",0)</f>
        <v>NA</v>
      </c>
      <c r="K159" s="20" t="s">
        <v>24</v>
      </c>
      <c r="L159" s="18">
        <v>7</v>
      </c>
      <c r="M159" s="20"/>
      <c r="N159" s="14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t="15" customHeight="1" x14ac:dyDescent="0.3">
      <c r="A160" s="13">
        <v>46206</v>
      </c>
      <c r="B160" s="14" t="s">
        <v>626</v>
      </c>
      <c r="C160" s="15">
        <v>-7714</v>
      </c>
      <c r="D160" s="17" t="s">
        <v>90</v>
      </c>
      <c r="E160" s="14" t="s">
        <v>626</v>
      </c>
      <c r="F160" s="18">
        <v>7</v>
      </c>
      <c r="G160" s="12" t="str">
        <f>IFERROR(VLOOKUP(D160,Data!$A:$B,2,0),"Revisar")</f>
        <v>Imp x Pagar - IVA</v>
      </c>
      <c r="H160" s="20" t="s">
        <v>24</v>
      </c>
      <c r="I160" s="157" t="str">
        <f t="array" ref="I160">_xlfn.XLOOKUP($H160,Data!$E:$E,Data!$F:$F,"Revisar",0)</f>
        <v>NA</v>
      </c>
      <c r="J160" s="157" t="str">
        <f t="array" ref="J160">_xlfn.XLOOKUP($H160,Data!$E:$E,Data!$G:$G,"Revisar",0)</f>
        <v>NA</v>
      </c>
      <c r="K160" s="20" t="s">
        <v>24</v>
      </c>
      <c r="L160" s="18">
        <v>7</v>
      </c>
      <c r="M160" s="18"/>
      <c r="N160" s="14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t="15" customHeight="1" x14ac:dyDescent="0.3">
      <c r="A161" s="13">
        <v>46205</v>
      </c>
      <c r="B161" s="14" t="s">
        <v>31</v>
      </c>
      <c r="C161" s="15">
        <v>1525</v>
      </c>
      <c r="D161" s="17" t="s">
        <v>32</v>
      </c>
      <c r="E161" s="14" t="s">
        <v>31</v>
      </c>
      <c r="F161" s="18">
        <v>7</v>
      </c>
      <c r="G161" s="12" t="str">
        <f>IFERROR(VLOOKUP(D161,Data!$A:$B,2,0),"Revisar")</f>
        <v>Gastos Variables</v>
      </c>
      <c r="H161" s="20" t="s">
        <v>24</v>
      </c>
      <c r="I161" s="157" t="str">
        <f t="array" ref="I161">_xlfn.XLOOKUP($H161,Data!$E:$E,Data!$F:$F,"Revisar",0)</f>
        <v>NA</v>
      </c>
      <c r="J161" s="157" t="str">
        <f t="array" ref="J161">_xlfn.XLOOKUP($H161,Data!$E:$E,Data!$G:$G,"Revisar",0)</f>
        <v>NA</v>
      </c>
      <c r="K161" s="20" t="s">
        <v>24</v>
      </c>
      <c r="L161" s="18">
        <v>7</v>
      </c>
      <c r="M161" s="20"/>
      <c r="N161" s="14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t="15" customHeight="1" x14ac:dyDescent="0.3">
      <c r="A162" s="13">
        <v>46204</v>
      </c>
      <c r="B162" s="14" t="s">
        <v>89</v>
      </c>
      <c r="C162" s="15">
        <v>-1442</v>
      </c>
      <c r="D162" s="17" t="s">
        <v>90</v>
      </c>
      <c r="E162" s="14" t="s">
        <v>89</v>
      </c>
      <c r="F162" s="18">
        <v>7</v>
      </c>
      <c r="G162" s="12" t="str">
        <f>IFERROR(VLOOKUP(D162,Data!$A:$B,2,0),"Revisar")</f>
        <v>Imp x Pagar - IVA</v>
      </c>
      <c r="H162" s="20" t="s">
        <v>24</v>
      </c>
      <c r="I162" s="157" t="str">
        <f t="array" ref="I162">_xlfn.XLOOKUP($H162,Data!$E:$E,Data!$F:$F,"Revisar",0)</f>
        <v>NA</v>
      </c>
      <c r="J162" s="157" t="str">
        <f t="array" ref="J162">_xlfn.XLOOKUP($H162,Data!$E:$E,Data!$G:$G,"Revisar",0)</f>
        <v>NA</v>
      </c>
      <c r="K162" s="20" t="s">
        <v>24</v>
      </c>
      <c r="L162" s="18">
        <v>7</v>
      </c>
      <c r="M162" s="20"/>
      <c r="N162" s="14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t="15" customHeight="1" x14ac:dyDescent="0.3">
      <c r="A163" s="13">
        <v>46204</v>
      </c>
      <c r="B163" s="14" t="s">
        <v>627</v>
      </c>
      <c r="C163" s="15">
        <v>-235904</v>
      </c>
      <c r="D163" s="17" t="s">
        <v>70</v>
      </c>
      <c r="E163" s="14" t="s">
        <v>628</v>
      </c>
      <c r="F163" s="18">
        <v>7</v>
      </c>
      <c r="G163" s="12" t="str">
        <f>IFERROR(VLOOKUP(D163,Data!$A:$B,2,0),"Revisar")</f>
        <v>Costos Operacionales</v>
      </c>
      <c r="H163" s="20" t="s">
        <v>24</v>
      </c>
      <c r="I163" s="157" t="str">
        <f t="array" ref="I163">_xlfn.XLOOKUP($H163,Data!$E:$E,Data!$F:$F,"Revisar",0)</f>
        <v>NA</v>
      </c>
      <c r="J163" s="157" t="str">
        <f t="array" ref="J163">_xlfn.XLOOKUP($H163,Data!$E:$E,Data!$G:$G,"Revisar",0)</f>
        <v>NA</v>
      </c>
      <c r="K163" s="20" t="s">
        <v>143</v>
      </c>
      <c r="L163" s="18">
        <v>7</v>
      </c>
      <c r="M163" s="20" t="s">
        <v>398</v>
      </c>
      <c r="N163" s="14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t="15" customHeight="1" x14ac:dyDescent="0.3">
      <c r="A164" s="13">
        <v>46204</v>
      </c>
      <c r="B164" s="14" t="s">
        <v>629</v>
      </c>
      <c r="C164" s="15">
        <v>-220480</v>
      </c>
      <c r="D164" s="17" t="s">
        <v>70</v>
      </c>
      <c r="E164" s="14" t="s">
        <v>630</v>
      </c>
      <c r="F164" s="18">
        <v>7</v>
      </c>
      <c r="G164" s="12" t="str">
        <f>IFERROR(VLOOKUP(D164,Data!$A:$B,2,0),"Revisar")</f>
        <v>Costos Operacionales</v>
      </c>
      <c r="H164" s="20" t="s">
        <v>24</v>
      </c>
      <c r="I164" s="157" t="str">
        <f t="array" ref="I164">_xlfn.XLOOKUP($H164,Data!$E:$E,Data!$F:$F,"Revisar",0)</f>
        <v>NA</v>
      </c>
      <c r="J164" s="157" t="str">
        <f t="array" ref="J164">_xlfn.XLOOKUP($H164,Data!$E:$E,Data!$G:$G,"Revisar",0)</f>
        <v>NA</v>
      </c>
      <c r="K164" s="20" t="s">
        <v>143</v>
      </c>
      <c r="L164" s="18">
        <v>7</v>
      </c>
      <c r="M164" s="20" t="s">
        <v>391</v>
      </c>
      <c r="N164" s="14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ht="15" customHeight="1" x14ac:dyDescent="0.3">
      <c r="A165" s="13">
        <v>46204</v>
      </c>
      <c r="B165" s="14" t="s">
        <v>77</v>
      </c>
      <c r="C165" s="15">
        <v>-7590</v>
      </c>
      <c r="D165" s="17" t="s">
        <v>78</v>
      </c>
      <c r="E165" s="14" t="s">
        <v>77</v>
      </c>
      <c r="F165" s="18">
        <v>7</v>
      </c>
      <c r="G165" s="12" t="str">
        <f>IFERROR(VLOOKUP(D165,Data!$A:$B,2,0),"Revisar")</f>
        <v>Gastos Variables</v>
      </c>
      <c r="H165" s="20" t="s">
        <v>24</v>
      </c>
      <c r="I165" s="157" t="str">
        <f t="array" ref="I165">_xlfn.XLOOKUP($H165,Data!$E:$E,Data!$F:$F,"Revisar",0)</f>
        <v>NA</v>
      </c>
      <c r="J165" s="157" t="str">
        <f t="array" ref="J165">_xlfn.XLOOKUP($H165,Data!$E:$E,Data!$G:$G,"Revisar",0)</f>
        <v>NA</v>
      </c>
      <c r="K165" s="20" t="s">
        <v>24</v>
      </c>
      <c r="L165" s="18">
        <v>7</v>
      </c>
      <c r="M165" s="20"/>
      <c r="N165" s="14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ht="15" customHeight="1" x14ac:dyDescent="0.3">
      <c r="A166" s="13">
        <v>46204</v>
      </c>
      <c r="B166" s="14" t="s">
        <v>108</v>
      </c>
      <c r="C166" s="15">
        <v>-1178413</v>
      </c>
      <c r="D166" s="17" t="s">
        <v>138</v>
      </c>
      <c r="E166" s="14" t="s">
        <v>631</v>
      </c>
      <c r="F166" s="18">
        <v>7</v>
      </c>
      <c r="G166" s="12" t="str">
        <f>IFERROR(VLOOKUP(D166,Data!$A:$B,2,0),"Revisar")</f>
        <v>Costo Ventas</v>
      </c>
      <c r="H166" s="20" t="s">
        <v>167</v>
      </c>
      <c r="I166" s="157" t="str">
        <f t="array" ref="I166">_xlfn.XLOOKUP($H166,Data!$E:$E,Data!$F:$F,"Revisar",0)</f>
        <v>AXIS</v>
      </c>
      <c r="J166" s="157" t="str">
        <f t="array" ref="J166">_xlfn.XLOOKUP($H166,Data!$E:$E,Data!$G:$G,"Revisar",0)</f>
        <v>Camisetas Academy</v>
      </c>
      <c r="K166" s="20" t="s">
        <v>143</v>
      </c>
      <c r="L166" s="18">
        <v>6</v>
      </c>
      <c r="M166" s="18" t="s">
        <v>279</v>
      </c>
      <c r="N166" s="14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ht="15" customHeight="1" x14ac:dyDescent="0.3">
      <c r="A167" s="13">
        <v>46204</v>
      </c>
      <c r="B167" s="14" t="s">
        <v>84</v>
      </c>
      <c r="C167" s="15">
        <v>-128520</v>
      </c>
      <c r="D167" s="17" t="s">
        <v>138</v>
      </c>
      <c r="E167" s="14" t="s">
        <v>632</v>
      </c>
      <c r="F167" s="18">
        <v>7</v>
      </c>
      <c r="G167" s="12" t="str">
        <f>IFERROR(VLOOKUP(D167,Data!$A:$B,2,0),"Revisar")</f>
        <v>Costo Ventas</v>
      </c>
      <c r="H167" s="20" t="s">
        <v>182</v>
      </c>
      <c r="I167" s="157" t="str">
        <f t="array" ref="I167">_xlfn.XLOOKUP($H167,Data!$E:$E,Data!$F:$F,"Revisar",0)</f>
        <v>Psiconometrics</v>
      </c>
      <c r="J167" s="157" t="str">
        <f t="array" ref="J167">_xlfn.XLOOKUP($H167,Data!$E:$E,Data!$G:$G,"Revisar",0)</f>
        <v>Evento Camara Comercio</v>
      </c>
      <c r="K167" s="20" t="s">
        <v>24</v>
      </c>
      <c r="L167" s="18">
        <v>6</v>
      </c>
      <c r="M167" s="18" t="s">
        <v>296</v>
      </c>
      <c r="N167" s="14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ht="15" customHeight="1" x14ac:dyDescent="0.3">
      <c r="A168" s="13">
        <v>46205</v>
      </c>
      <c r="B168" s="14" t="s">
        <v>84</v>
      </c>
      <c r="C168" s="15">
        <v>-73162475</v>
      </c>
      <c r="D168" s="17" t="s">
        <v>138</v>
      </c>
      <c r="E168" s="14" t="s">
        <v>633</v>
      </c>
      <c r="F168" s="18">
        <v>7</v>
      </c>
      <c r="G168" s="12" t="str">
        <f>IFERROR(VLOOKUP(D168,Data!$A:$B,2,0),"Revisar")</f>
        <v>Costo Ventas</v>
      </c>
      <c r="H168" s="20" t="s">
        <v>182</v>
      </c>
      <c r="I168" s="157" t="str">
        <f t="array" ref="I168">_xlfn.XLOOKUP($H168,Data!$E:$E,Data!$F:$F,"Revisar",0)</f>
        <v>Psiconometrics</v>
      </c>
      <c r="J168" s="157" t="str">
        <f t="array" ref="J168">_xlfn.XLOOKUP($H168,Data!$E:$E,Data!$G:$G,"Revisar",0)</f>
        <v>Evento Camara Comercio</v>
      </c>
      <c r="K168" s="20" t="s">
        <v>143</v>
      </c>
      <c r="L168" s="18">
        <v>6</v>
      </c>
      <c r="M168" s="18" t="s">
        <v>321</v>
      </c>
      <c r="N168" s="14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ht="15" customHeight="1" x14ac:dyDescent="0.3">
      <c r="A169" s="13">
        <v>46204</v>
      </c>
      <c r="B169" s="14" t="s">
        <v>502</v>
      </c>
      <c r="C169" s="15">
        <v>-126000</v>
      </c>
      <c r="D169" s="17" t="s">
        <v>298</v>
      </c>
      <c r="E169" s="14" t="s">
        <v>416</v>
      </c>
      <c r="F169" s="18">
        <v>7</v>
      </c>
      <c r="G169" s="12" t="str">
        <f>IFERROR(VLOOKUP(D169,Data!$A:$B,2,0),"Revisar")</f>
        <v>Costos Operacionales</v>
      </c>
      <c r="H169" s="20" t="s">
        <v>24</v>
      </c>
      <c r="I169" s="157" t="str">
        <f t="array" ref="I169">_xlfn.XLOOKUP($H169,Data!$E:$E,Data!$F:$F,"Revisar",0)</f>
        <v>NA</v>
      </c>
      <c r="J169" s="157" t="str">
        <f t="array" ref="J169">_xlfn.XLOOKUP($H169,Data!$E:$E,Data!$G:$G,"Revisar",0)</f>
        <v>NA</v>
      </c>
      <c r="K169" s="20" t="s">
        <v>24</v>
      </c>
      <c r="L169" s="18">
        <v>7</v>
      </c>
      <c r="M169" s="20"/>
      <c r="N169" s="14" t="s">
        <v>419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ht="15" customHeight="1" x14ac:dyDescent="0.3">
      <c r="A170" s="13">
        <v>46204</v>
      </c>
      <c r="B170" s="14" t="s">
        <v>634</v>
      </c>
      <c r="C170" s="15">
        <v>-7553270</v>
      </c>
      <c r="D170" s="17" t="s">
        <v>459</v>
      </c>
      <c r="E170" s="14" t="s">
        <v>635</v>
      </c>
      <c r="F170" s="18">
        <v>7</v>
      </c>
      <c r="G170" s="12" t="str">
        <f>IFERROR(VLOOKUP(D170,Data!$A:$B,2,0),"Revisar")</f>
        <v>Otros Gastos</v>
      </c>
      <c r="H170" s="20" t="s">
        <v>24</v>
      </c>
      <c r="I170" s="157" t="str">
        <f t="array" ref="I170">_xlfn.XLOOKUP($H170,Data!$E:$E,Data!$F:$F,"Revisar",0)</f>
        <v>NA</v>
      </c>
      <c r="J170" s="157" t="str">
        <f t="array" ref="J170">_xlfn.XLOOKUP($H170,Data!$E:$E,Data!$G:$G,"Revisar",0)</f>
        <v>NA</v>
      </c>
      <c r="K170" s="20" t="s">
        <v>24</v>
      </c>
      <c r="L170" s="18"/>
      <c r="M170" s="20"/>
      <c r="N170" s="14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ht="15" customHeight="1" x14ac:dyDescent="0.3">
      <c r="A171" s="13">
        <v>46204</v>
      </c>
      <c r="B171" s="14" t="s">
        <v>77</v>
      </c>
      <c r="C171" s="15">
        <v>-9032</v>
      </c>
      <c r="D171" s="17" t="s">
        <v>78</v>
      </c>
      <c r="E171" s="14" t="s">
        <v>481</v>
      </c>
      <c r="F171" s="18">
        <v>7</v>
      </c>
      <c r="G171" s="12" t="str">
        <f>IFERROR(VLOOKUP(D171,Data!$A:$B,2,0),"Revisar")</f>
        <v>Gastos Variables</v>
      </c>
      <c r="H171" s="20" t="s">
        <v>24</v>
      </c>
      <c r="I171" s="157" t="str">
        <f t="array" ref="I171">_xlfn.XLOOKUP($H171,Data!$E:$E,Data!$F:$F,"Revisar",0)</f>
        <v>NA</v>
      </c>
      <c r="J171" s="157" t="str">
        <f t="array" ref="J171">_xlfn.XLOOKUP($H171,Data!$E:$E,Data!$G:$G,"Revisar",0)</f>
        <v>NA</v>
      </c>
      <c r="K171" s="20" t="s">
        <v>24</v>
      </c>
      <c r="L171" s="18">
        <v>7</v>
      </c>
      <c r="M171" s="20"/>
      <c r="N171" s="14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ht="15" customHeight="1" x14ac:dyDescent="0.3">
      <c r="A172" s="13">
        <v>46211</v>
      </c>
      <c r="B172" s="14" t="s">
        <v>31</v>
      </c>
      <c r="C172" s="15">
        <v>2763.81</v>
      </c>
      <c r="D172" s="17" t="s">
        <v>32</v>
      </c>
      <c r="E172" s="14" t="s">
        <v>31</v>
      </c>
      <c r="F172" s="18">
        <v>7</v>
      </c>
      <c r="G172" s="12" t="str">
        <f>IFERROR(VLOOKUP(D172,Data!$A:$B,2,0),"Revisar")</f>
        <v>Gastos Variables</v>
      </c>
      <c r="H172" s="20" t="s">
        <v>24</v>
      </c>
      <c r="I172" s="157" t="str">
        <f t="array" ref="I172">_xlfn.XLOOKUP($H172,Data!$E:$E,Data!$F:$F,"Revisar",0)</f>
        <v>NA</v>
      </c>
      <c r="J172" s="157" t="str">
        <f t="array" ref="J172">_xlfn.XLOOKUP($H172,Data!$E:$E,Data!$G:$G,"Revisar",0)</f>
        <v>NA</v>
      </c>
      <c r="K172" s="20" t="s">
        <v>24</v>
      </c>
      <c r="L172" s="18">
        <f t="shared" ref="L172:L177" si="18">F172</f>
        <v>7</v>
      </c>
      <c r="M172" s="20"/>
      <c r="N172" s="14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ht="15" customHeight="1" x14ac:dyDescent="0.3">
      <c r="A173" s="13">
        <v>46212</v>
      </c>
      <c r="B173" s="14" t="s">
        <v>31</v>
      </c>
      <c r="C173" s="15">
        <v>460.57</v>
      </c>
      <c r="D173" s="17" t="s">
        <v>32</v>
      </c>
      <c r="E173" s="14" t="s">
        <v>31</v>
      </c>
      <c r="F173" s="18">
        <v>7</v>
      </c>
      <c r="G173" s="12" t="str">
        <f>IFERROR(VLOOKUP(D173,Data!$A:$B,2,0),"Revisar")</f>
        <v>Gastos Variables</v>
      </c>
      <c r="H173" s="20" t="s">
        <v>24</v>
      </c>
      <c r="I173" s="157" t="str">
        <f t="array" ref="I173">_xlfn.XLOOKUP($H173,Data!$E:$E,Data!$F:$F,"Revisar",0)</f>
        <v>NA</v>
      </c>
      <c r="J173" s="157" t="str">
        <f t="array" ref="J173">_xlfn.XLOOKUP($H173,Data!$E:$E,Data!$G:$G,"Revisar",0)</f>
        <v>NA</v>
      </c>
      <c r="K173" s="20" t="s">
        <v>24</v>
      </c>
      <c r="L173" s="18">
        <f t="shared" si="18"/>
        <v>7</v>
      </c>
      <c r="M173" s="20"/>
      <c r="N173" s="14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ht="15" customHeight="1" x14ac:dyDescent="0.3">
      <c r="A174" s="13">
        <v>46212</v>
      </c>
      <c r="B174" s="14" t="s">
        <v>638</v>
      </c>
      <c r="C174" s="15">
        <v>-18050</v>
      </c>
      <c r="D174" s="17" t="s">
        <v>55</v>
      </c>
      <c r="E174" s="14" t="s">
        <v>376</v>
      </c>
      <c r="F174" s="18">
        <v>7</v>
      </c>
      <c r="G174" s="12" t="str">
        <f>IFERROR(VLOOKUP(D174,Data!$A:$B,2,0),"Revisar")</f>
        <v>Costos Fijos</v>
      </c>
      <c r="H174" s="20" t="s">
        <v>24</v>
      </c>
      <c r="I174" s="157" t="str">
        <f t="array" ref="I174">_xlfn.XLOOKUP($H174,Data!$E:$E,Data!$F:$F,"Revisar",0)</f>
        <v>NA</v>
      </c>
      <c r="J174" s="157" t="str">
        <f t="array" ref="J174">_xlfn.XLOOKUP($H174,Data!$E:$E,Data!$G:$G,"Revisar",0)</f>
        <v>NA</v>
      </c>
      <c r="K174" s="20" t="s">
        <v>24</v>
      </c>
      <c r="L174" s="18">
        <f t="shared" si="18"/>
        <v>7</v>
      </c>
      <c r="M174" s="20"/>
      <c r="N174" s="14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ht="15" customHeight="1" x14ac:dyDescent="0.3">
      <c r="A175" s="13">
        <v>46212</v>
      </c>
      <c r="B175" s="14" t="s">
        <v>338</v>
      </c>
      <c r="C175" s="15">
        <v>-72.2</v>
      </c>
      <c r="D175" s="17" t="s">
        <v>339</v>
      </c>
      <c r="E175" s="14" t="s">
        <v>338</v>
      </c>
      <c r="F175" s="18">
        <v>7</v>
      </c>
      <c r="G175" s="12" t="str">
        <f>IFERROR(VLOOKUP(D175,Data!$A:$B,2,0),"Revisar")</f>
        <v>Gastos Variables</v>
      </c>
      <c r="H175" s="20" t="s">
        <v>24</v>
      </c>
      <c r="I175" s="157" t="str">
        <f t="array" ref="I175">_xlfn.XLOOKUP($H175,Data!$E:$E,Data!$F:$F,"Revisar",0)</f>
        <v>NA</v>
      </c>
      <c r="J175" s="157" t="str">
        <f t="array" ref="J175">_xlfn.XLOOKUP($H175,Data!$E:$E,Data!$G:$G,"Revisar",0)</f>
        <v>NA</v>
      </c>
      <c r="K175" s="20" t="s">
        <v>24</v>
      </c>
      <c r="L175" s="18">
        <f t="shared" si="18"/>
        <v>7</v>
      </c>
      <c r="M175" s="20"/>
      <c r="N175" s="14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ht="15" customHeight="1" x14ac:dyDescent="0.3">
      <c r="A176" s="13">
        <v>46213</v>
      </c>
      <c r="B176" s="14" t="s">
        <v>639</v>
      </c>
      <c r="C176" s="15">
        <v>-5000000</v>
      </c>
      <c r="D176" s="17" t="s">
        <v>138</v>
      </c>
      <c r="E176" s="14" t="s">
        <v>640</v>
      </c>
      <c r="F176" s="18">
        <v>7</v>
      </c>
      <c r="G176" s="12" t="str">
        <f>IFERROR(VLOOKUP(D176,Data!$A:$B,2,0),"Revisar")</f>
        <v>Costo Ventas</v>
      </c>
      <c r="H176" s="20" t="s">
        <v>207</v>
      </c>
      <c r="I176" s="157" t="str">
        <f t="array" ref="I176">_xlfn.XLOOKUP($H176,Data!$E:$E,Data!$F:$F,"Revisar",0)</f>
        <v>ANIXTER</v>
      </c>
      <c r="J176" s="157" t="str">
        <f t="array" ref="J176">_xlfn.XLOOKUP($H176,Data!$E:$E,Data!$G:$G,"Revisar",0)</f>
        <v xml:space="preserve">Evento BoB Datacenter Day - Bogotá </v>
      </c>
      <c r="K176" s="20" t="s">
        <v>143</v>
      </c>
      <c r="L176" s="18">
        <f t="shared" si="18"/>
        <v>7</v>
      </c>
      <c r="M176" s="18" t="s">
        <v>493</v>
      </c>
      <c r="N176" s="14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ht="15" customHeight="1" x14ac:dyDescent="0.3">
      <c r="A177" s="13">
        <v>46213</v>
      </c>
      <c r="B177" s="14" t="s">
        <v>338</v>
      </c>
      <c r="C177" s="15">
        <v>-20000</v>
      </c>
      <c r="D177" s="17" t="s">
        <v>339</v>
      </c>
      <c r="E177" s="14" t="s">
        <v>338</v>
      </c>
      <c r="F177" s="18">
        <v>7</v>
      </c>
      <c r="G177" s="12" t="str">
        <f>IFERROR(VLOOKUP(D177,Data!$A:$B,2,0),"Revisar")</f>
        <v>Gastos Variables</v>
      </c>
      <c r="H177" s="20" t="s">
        <v>24</v>
      </c>
      <c r="I177" s="157" t="str">
        <f t="array" ref="I177">_xlfn.XLOOKUP($H177,Data!$E:$E,Data!$F:$F,"Revisar",0)</f>
        <v>NA</v>
      </c>
      <c r="J177" s="157" t="str">
        <f t="array" ref="J177">_xlfn.XLOOKUP($H177,Data!$E:$E,Data!$G:$G,"Revisar",0)</f>
        <v>NA</v>
      </c>
      <c r="K177" s="20" t="s">
        <v>24</v>
      </c>
      <c r="L177" s="18">
        <f t="shared" si="18"/>
        <v>7</v>
      </c>
      <c r="M177" s="20"/>
      <c r="N177" s="14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ht="15" customHeight="1" x14ac:dyDescent="0.3">
      <c r="A178" s="13">
        <v>46213</v>
      </c>
      <c r="B178" s="14" t="s">
        <v>448</v>
      </c>
      <c r="C178" s="15">
        <v>2215698</v>
      </c>
      <c r="D178" s="17" t="s">
        <v>188</v>
      </c>
      <c r="E178" s="14" t="s">
        <v>448</v>
      </c>
      <c r="F178" s="18">
        <v>7</v>
      </c>
      <c r="G178" s="12" t="str">
        <f>IFERROR(VLOOKUP(D178,Data!$A:$B,2,0),"Revisar")</f>
        <v>Ingresos</v>
      </c>
      <c r="H178" s="20" t="s">
        <v>182</v>
      </c>
      <c r="I178" s="157" t="str">
        <f t="array" ref="I178">_xlfn.XLOOKUP($H178,Data!$E:$E,Data!$F:$F,"Revisar",0)</f>
        <v>Psiconometrics</v>
      </c>
      <c r="J178" s="157" t="str">
        <f t="array" ref="J178">_xlfn.XLOOKUP($H178,Data!$E:$E,Data!$G:$G,"Revisar",0)</f>
        <v>Evento Camara Comercio</v>
      </c>
      <c r="K178" s="20" t="s">
        <v>143</v>
      </c>
      <c r="L178" s="18">
        <v>6</v>
      </c>
      <c r="M178" s="20" t="s">
        <v>181</v>
      </c>
      <c r="N178" s="14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ht="15" customHeight="1" x14ac:dyDescent="0.3">
      <c r="A179" s="13">
        <v>46217</v>
      </c>
      <c r="B179" s="14" t="s">
        <v>31</v>
      </c>
      <c r="C179" s="15">
        <v>2245.2399999999998</v>
      </c>
      <c r="D179" s="17" t="s">
        <v>32</v>
      </c>
      <c r="E179" s="14" t="s">
        <v>31</v>
      </c>
      <c r="F179" s="18">
        <v>7</v>
      </c>
      <c r="G179" s="12" t="str">
        <f>IFERROR(VLOOKUP(D179,Data!$A:$B,2,0),"Revisar")</f>
        <v>Gastos Variables</v>
      </c>
      <c r="H179" s="20" t="s">
        <v>24</v>
      </c>
      <c r="I179" s="157" t="str">
        <f t="array" ref="I179">_xlfn.XLOOKUP($H179,Data!$E:$E,Data!$F:$F,"Revisar",0)</f>
        <v>NA</v>
      </c>
      <c r="J179" s="157" t="str">
        <f t="array" ref="J179">_xlfn.XLOOKUP($H179,Data!$E:$E,Data!$G:$G,"Revisar",0)</f>
        <v>NA</v>
      </c>
      <c r="K179" s="20" t="s">
        <v>24</v>
      </c>
      <c r="L179" s="18">
        <f t="shared" ref="L179:L185" si="19">F179</f>
        <v>7</v>
      </c>
      <c r="M179" s="20"/>
      <c r="N179" s="14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ht="15" customHeight="1" x14ac:dyDescent="0.3">
      <c r="A180" s="13">
        <v>46218</v>
      </c>
      <c r="B180" s="14" t="s">
        <v>31</v>
      </c>
      <c r="C180" s="15">
        <v>448.27</v>
      </c>
      <c r="D180" s="17" t="s">
        <v>32</v>
      </c>
      <c r="E180" s="14" t="s">
        <v>31</v>
      </c>
      <c r="F180" s="18">
        <v>7</v>
      </c>
      <c r="G180" s="12" t="str">
        <f>IFERROR(VLOOKUP(D180,Data!$A:$B,2,0),"Revisar")</f>
        <v>Gastos Variables</v>
      </c>
      <c r="H180" s="20" t="s">
        <v>24</v>
      </c>
      <c r="I180" s="157" t="str">
        <f t="array" ref="I180">_xlfn.XLOOKUP($H180,Data!$E:$E,Data!$F:$F,"Revisar",0)</f>
        <v>NA</v>
      </c>
      <c r="J180" s="157" t="str">
        <f t="array" ref="J180">_xlfn.XLOOKUP($H180,Data!$E:$E,Data!$G:$G,"Revisar",0)</f>
        <v>NA</v>
      </c>
      <c r="K180" s="20" t="s">
        <v>24</v>
      </c>
      <c r="L180" s="18">
        <f t="shared" si="19"/>
        <v>7</v>
      </c>
      <c r="M180" s="20"/>
      <c r="N180" s="14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ht="15" customHeight="1" x14ac:dyDescent="0.3">
      <c r="A181" s="13">
        <v>46218</v>
      </c>
      <c r="B181" s="14" t="s">
        <v>456</v>
      </c>
      <c r="C181" s="15">
        <v>-189200</v>
      </c>
      <c r="D181" s="17" t="s">
        <v>70</v>
      </c>
      <c r="E181" s="115" t="s">
        <v>641</v>
      </c>
      <c r="F181" s="18">
        <v>7</v>
      </c>
      <c r="G181" s="12" t="str">
        <f>IFERROR(VLOOKUP(D181,Data!$A:$B,2,0),"Revisar")</f>
        <v>Costos Operacionales</v>
      </c>
      <c r="H181" s="20"/>
      <c r="I181" s="157">
        <f t="array" ref="I181">_xlfn.XLOOKUP($H181,Data!$E:$E,Data!$F:$F,"Revisar",0)</f>
        <v>0</v>
      </c>
      <c r="J181" s="157">
        <f t="array" ref="J181">_xlfn.XLOOKUP($H181,Data!$E:$E,Data!$G:$G,"Revisar",0)</f>
        <v>0</v>
      </c>
      <c r="K181" s="20" t="s">
        <v>143</v>
      </c>
      <c r="L181" s="18">
        <f t="shared" si="19"/>
        <v>7</v>
      </c>
      <c r="M181" s="20"/>
      <c r="N181" s="14" t="s">
        <v>419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ht="15" customHeight="1" x14ac:dyDescent="0.3">
      <c r="A182" s="13">
        <v>46218</v>
      </c>
      <c r="B182" s="14" t="s">
        <v>338</v>
      </c>
      <c r="C182" s="15">
        <v>-756.8</v>
      </c>
      <c r="D182" s="17" t="s">
        <v>339</v>
      </c>
      <c r="E182" s="14" t="s">
        <v>338</v>
      </c>
      <c r="F182" s="18">
        <v>7</v>
      </c>
      <c r="G182" s="12" t="str">
        <f>IFERROR(VLOOKUP(D182,Data!$A:$B,2,0),"Revisar")</f>
        <v>Gastos Variables</v>
      </c>
      <c r="H182" s="20" t="s">
        <v>24</v>
      </c>
      <c r="I182" s="157" t="str">
        <f t="array" ref="I182">_xlfn.XLOOKUP($H182,Data!$E:$E,Data!$F:$F,"Revisar",0)</f>
        <v>NA</v>
      </c>
      <c r="J182" s="157" t="str">
        <f t="array" ref="J182">_xlfn.XLOOKUP($H182,Data!$E:$E,Data!$G:$G,"Revisar",0)</f>
        <v>NA</v>
      </c>
      <c r="K182" s="20" t="s">
        <v>24</v>
      </c>
      <c r="L182" s="18">
        <f t="shared" si="19"/>
        <v>7</v>
      </c>
      <c r="M182" s="20"/>
      <c r="N182" s="14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ht="15" customHeight="1" x14ac:dyDescent="0.3">
      <c r="A183" s="59">
        <v>46219</v>
      </c>
      <c r="B183" s="60" t="s">
        <v>187</v>
      </c>
      <c r="C183" s="61">
        <f>2744000*1.19</f>
        <v>3265360</v>
      </c>
      <c r="D183" s="62" t="s">
        <v>188</v>
      </c>
      <c r="E183" s="60" t="s">
        <v>187</v>
      </c>
      <c r="F183" s="63">
        <v>7</v>
      </c>
      <c r="G183" s="64" t="str">
        <f>IFERROR(VLOOKUP(D183,Data!$A:$B,2,0),"Revisar")</f>
        <v>Ingresos</v>
      </c>
      <c r="H183" s="65" t="s">
        <v>197</v>
      </c>
      <c r="I183" s="159" t="str">
        <f t="array" ref="I183">_xlfn.XLOOKUP($H183,Data!$E:$E,Data!$F:$F,"Revisar",0)</f>
        <v>AXIS</v>
      </c>
      <c r="J183" s="159" t="str">
        <f t="array" ref="J183">_xlfn.XLOOKUP($H183,Data!$E:$E,Data!$G:$G,"Revisar",0)</f>
        <v>Hoodies Challenge</v>
      </c>
      <c r="K183" s="65" t="s">
        <v>143</v>
      </c>
      <c r="L183" s="63">
        <f t="shared" si="19"/>
        <v>7</v>
      </c>
      <c r="M183" s="65" t="s">
        <v>195</v>
      </c>
      <c r="N183" s="14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t="15" customHeight="1" x14ac:dyDescent="0.3">
      <c r="A184" s="59">
        <v>46219</v>
      </c>
      <c r="B184" s="60" t="s">
        <v>187</v>
      </c>
      <c r="C184" s="61">
        <f>15818759-C183</f>
        <v>12553399</v>
      </c>
      <c r="D184" s="62" t="s">
        <v>188</v>
      </c>
      <c r="E184" s="60" t="s">
        <v>187</v>
      </c>
      <c r="F184" s="63">
        <v>7</v>
      </c>
      <c r="G184" s="64" t="str">
        <f>IFERROR(VLOOKUP(D184,Data!$A:$B,2,0),"Revisar")</f>
        <v>Ingresos</v>
      </c>
      <c r="H184" s="65" t="s">
        <v>203</v>
      </c>
      <c r="I184" s="159" t="str">
        <f t="array" ref="I184">_xlfn.XLOOKUP($H184,Data!$E:$E,Data!$F:$F,"Revisar",0)</f>
        <v>AXIS</v>
      </c>
      <c r="J184" s="159" t="str">
        <f t="array" ref="J184">_xlfn.XLOOKUP($H184,Data!$E:$E,Data!$G:$G,"Revisar",0)</f>
        <v>Merch y transporte para Cena feria de seguridad</v>
      </c>
      <c r="K184" s="65" t="s">
        <v>143</v>
      </c>
      <c r="L184" s="63">
        <f t="shared" si="19"/>
        <v>7</v>
      </c>
      <c r="M184" s="65" t="s">
        <v>202</v>
      </c>
      <c r="N184" s="14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ht="15" customHeight="1" x14ac:dyDescent="0.3">
      <c r="A185" s="13">
        <v>46220</v>
      </c>
      <c r="B185" s="14" t="s">
        <v>108</v>
      </c>
      <c r="C185" s="15">
        <v>-949620</v>
      </c>
      <c r="D185" s="17" t="s">
        <v>138</v>
      </c>
      <c r="E185" s="14" t="s">
        <v>108</v>
      </c>
      <c r="F185" s="18">
        <v>7</v>
      </c>
      <c r="G185" s="12" t="str">
        <f>IFERROR(VLOOKUP(D185,Data!$A:$B,2,0),"Revisar")</f>
        <v>Costo Ventas</v>
      </c>
      <c r="H185" s="20" t="s">
        <v>161</v>
      </c>
      <c r="I185" s="157" t="str">
        <f t="array" ref="I185">_xlfn.XLOOKUP($H185,Data!$E:$E,Data!$F:$F,"Revisar",0)</f>
        <v>Kaspersky</v>
      </c>
      <c r="J185" s="157" t="str">
        <f t="array" ref="J185">_xlfn.XLOOKUP($H185,Data!$E:$E,Data!$G:$G,"Revisar",0)</f>
        <v>Bolsa Incentivos 2026</v>
      </c>
      <c r="K185" s="20" t="s">
        <v>24</v>
      </c>
      <c r="L185" s="18">
        <f t="shared" si="19"/>
        <v>7</v>
      </c>
      <c r="M185" s="20" t="s">
        <v>424</v>
      </c>
      <c r="N185" s="14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ht="15" customHeight="1" x14ac:dyDescent="0.3">
      <c r="A186" s="13">
        <v>46219</v>
      </c>
      <c r="B186" s="14" t="s">
        <v>31</v>
      </c>
      <c r="C186" s="15">
        <v>513.28</v>
      </c>
      <c r="D186" s="17" t="s">
        <v>32</v>
      </c>
      <c r="E186" s="14" t="s">
        <v>31</v>
      </c>
      <c r="F186" s="18">
        <v>7</v>
      </c>
      <c r="G186" s="12" t="str">
        <f>IFERROR(VLOOKUP(D186,Data!$A:$B,2,0),"Revisar")</f>
        <v>Gastos Variables</v>
      </c>
      <c r="H186" s="20" t="s">
        <v>24</v>
      </c>
      <c r="I186" s="157" t="str">
        <f t="array" ref="I186">_xlfn.XLOOKUP($H186,Data!$E:$E,Data!$F:$F,"Revisar",0)</f>
        <v>NA</v>
      </c>
      <c r="J186" s="157" t="str">
        <f t="array" ref="J186">_xlfn.XLOOKUP($H186,Data!$E:$E,Data!$G:$G,"Revisar",0)</f>
        <v>NA</v>
      </c>
      <c r="K186" s="20" t="s">
        <v>24</v>
      </c>
      <c r="L186" s="18">
        <v>7</v>
      </c>
      <c r="M186" s="20"/>
      <c r="N186" s="14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t="15" customHeight="1" x14ac:dyDescent="0.3">
      <c r="A187" s="13">
        <v>46220</v>
      </c>
      <c r="B187" s="14" t="s">
        <v>31</v>
      </c>
      <c r="C187" s="15">
        <v>509.37</v>
      </c>
      <c r="D187" s="17" t="s">
        <v>32</v>
      </c>
      <c r="E187" s="14" t="s">
        <v>31</v>
      </c>
      <c r="F187" s="18">
        <v>7</v>
      </c>
      <c r="G187" s="12" t="str">
        <f>IFERROR(VLOOKUP(D187,Data!$A:$B,2,0),"Revisar")</f>
        <v>Gastos Variables</v>
      </c>
      <c r="H187" s="20" t="s">
        <v>24</v>
      </c>
      <c r="I187" s="157" t="str">
        <f t="array" ref="I187">_xlfn.XLOOKUP($H187,Data!$E:$E,Data!$F:$F,"Revisar",0)</f>
        <v>NA</v>
      </c>
      <c r="J187" s="157" t="str">
        <f t="array" ref="J187">_xlfn.XLOOKUP($H187,Data!$E:$E,Data!$G:$G,"Revisar",0)</f>
        <v>NA</v>
      </c>
      <c r="K187" s="20" t="s">
        <v>24</v>
      </c>
      <c r="L187" s="18">
        <v>7</v>
      </c>
      <c r="M187" s="20"/>
      <c r="N187" s="14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ht="15" customHeight="1" x14ac:dyDescent="0.3">
      <c r="A188" s="13">
        <v>46220</v>
      </c>
      <c r="B188" s="14" t="s">
        <v>338</v>
      </c>
      <c r="C188" s="15">
        <v>-3798.48</v>
      </c>
      <c r="D188" s="17" t="s">
        <v>339</v>
      </c>
      <c r="E188" s="14" t="s">
        <v>338</v>
      </c>
      <c r="F188" s="18">
        <v>7</v>
      </c>
      <c r="G188" s="12" t="str">
        <f>IFERROR(VLOOKUP(D188,Data!$A:$B,2,0),"Revisar")</f>
        <v>Gastos Variables</v>
      </c>
      <c r="H188" s="20" t="s">
        <v>24</v>
      </c>
      <c r="I188" s="157" t="str">
        <f t="array" ref="I188">_xlfn.XLOOKUP($H188,Data!$E:$E,Data!$F:$F,"Revisar",0)</f>
        <v>NA</v>
      </c>
      <c r="J188" s="157" t="str">
        <f t="array" ref="J188">_xlfn.XLOOKUP($H188,Data!$E:$E,Data!$G:$G,"Revisar",0)</f>
        <v>NA</v>
      </c>
      <c r="K188" s="20" t="s">
        <v>24</v>
      </c>
      <c r="L188" s="18">
        <v>7</v>
      </c>
      <c r="M188" s="20"/>
      <c r="N188" s="14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ht="15" customHeight="1" x14ac:dyDescent="0.3">
      <c r="A189" s="13">
        <v>46221</v>
      </c>
      <c r="B189" s="14" t="s">
        <v>664</v>
      </c>
      <c r="C189" s="15">
        <v>-232000</v>
      </c>
      <c r="D189" s="17" t="s">
        <v>138</v>
      </c>
      <c r="E189" s="14" t="s">
        <v>665</v>
      </c>
      <c r="F189" s="18">
        <v>7</v>
      </c>
      <c r="G189" s="12" t="str">
        <f>IFERROR(VLOOKUP(D189,Data!$A:$B,2,0),"Revisar")</f>
        <v>Costo Ventas</v>
      </c>
      <c r="H189" s="20" t="s">
        <v>207</v>
      </c>
      <c r="I189" s="157" t="str">
        <f t="array" ref="I189">_xlfn.XLOOKUP($H189,Data!$E:$E,Data!$F:$F,"Revisar",0)</f>
        <v>ANIXTER</v>
      </c>
      <c r="J189" s="157" t="str">
        <f t="array" ref="J189">_xlfn.XLOOKUP($H189,Data!$E:$E,Data!$G:$G,"Revisar",0)</f>
        <v xml:space="preserve">Evento BoB Datacenter Day - Bogotá </v>
      </c>
      <c r="K189" s="20" t="s">
        <v>143</v>
      </c>
      <c r="L189" s="18">
        <v>7</v>
      </c>
      <c r="M189" s="20" t="s">
        <v>434</v>
      </c>
      <c r="N189" s="14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ht="15" customHeight="1" x14ac:dyDescent="0.3">
      <c r="A190" s="13">
        <v>46221</v>
      </c>
      <c r="B190" s="14" t="s">
        <v>666</v>
      </c>
      <c r="C190" s="15">
        <v>-232959</v>
      </c>
      <c r="D190" s="17" t="s">
        <v>70</v>
      </c>
      <c r="E190" s="14" t="s">
        <v>666</v>
      </c>
      <c r="F190" s="18">
        <v>7</v>
      </c>
      <c r="G190" s="12" t="str">
        <f>IFERROR(VLOOKUP(D190,Data!$A:$B,2,0),"Revisar")</f>
        <v>Costos Operacionales</v>
      </c>
      <c r="H190" s="20" t="s">
        <v>24</v>
      </c>
      <c r="I190" s="157" t="str">
        <f t="array" ref="I190">_xlfn.XLOOKUP($H190,Data!$E:$E,Data!$F:$F,"Revisar",0)</f>
        <v>NA</v>
      </c>
      <c r="J190" s="157" t="str">
        <f t="array" ref="J190">_xlfn.XLOOKUP($H190,Data!$E:$E,Data!$G:$G,"Revisar",0)</f>
        <v>NA</v>
      </c>
      <c r="K190" s="20" t="s">
        <v>143</v>
      </c>
      <c r="L190" s="18">
        <v>7</v>
      </c>
      <c r="M190" s="20" t="s">
        <v>430</v>
      </c>
      <c r="N190" s="14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ht="15" customHeight="1" x14ac:dyDescent="0.3">
      <c r="A191" s="13">
        <v>46221</v>
      </c>
      <c r="B191" s="14" t="s">
        <v>338</v>
      </c>
      <c r="C191" s="15">
        <v>-1859.83</v>
      </c>
      <c r="D191" s="17" t="s">
        <v>339</v>
      </c>
      <c r="E191" s="14" t="s">
        <v>338</v>
      </c>
      <c r="F191" s="18">
        <v>7</v>
      </c>
      <c r="G191" s="12" t="str">
        <f>IFERROR(VLOOKUP(D191,Data!$A:$B,2,0),"Revisar")</f>
        <v>Gastos Variables</v>
      </c>
      <c r="H191" s="20" t="s">
        <v>24</v>
      </c>
      <c r="I191" s="157" t="str">
        <f t="array" ref="I191">_xlfn.XLOOKUP($H191,Data!$E:$E,Data!$F:$F,"Revisar",0)</f>
        <v>NA</v>
      </c>
      <c r="J191" s="157" t="str">
        <f t="array" ref="J191">_xlfn.XLOOKUP($H191,Data!$E:$E,Data!$G:$G,"Revisar",0)</f>
        <v>NA</v>
      </c>
      <c r="K191" s="20" t="s">
        <v>24</v>
      </c>
      <c r="L191" s="18">
        <v>7</v>
      </c>
      <c r="M191" s="20"/>
      <c r="N191" s="14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ht="15" customHeight="1" x14ac:dyDescent="0.3">
      <c r="A192" s="13">
        <v>46223</v>
      </c>
      <c r="B192" s="14" t="s">
        <v>31</v>
      </c>
      <c r="C192" s="15">
        <v>1522.36</v>
      </c>
      <c r="D192" s="17" t="s">
        <v>32</v>
      </c>
      <c r="E192" s="14" t="s">
        <v>31</v>
      </c>
      <c r="F192" s="18">
        <v>7</v>
      </c>
      <c r="G192" s="12" t="str">
        <f>IFERROR(VLOOKUP(D192,Data!$A:$B,2,0),"Revisar")</f>
        <v>Gastos Variables</v>
      </c>
      <c r="H192" s="20" t="s">
        <v>24</v>
      </c>
      <c r="I192" s="157" t="str">
        <f t="array" ref="I192">_xlfn.XLOOKUP($H192,Data!$E:$E,Data!$F:$F,"Revisar",0)</f>
        <v>NA</v>
      </c>
      <c r="J192" s="157" t="str">
        <f t="array" ref="J192">_xlfn.XLOOKUP($H192,Data!$E:$E,Data!$G:$G,"Revisar",0)</f>
        <v>NA</v>
      </c>
      <c r="K192" s="20" t="s">
        <v>24</v>
      </c>
      <c r="L192" s="18">
        <v>7</v>
      </c>
      <c r="M192" s="20"/>
      <c r="N192" s="14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ht="15" customHeight="1" x14ac:dyDescent="0.3">
      <c r="A193" s="13">
        <v>46224</v>
      </c>
      <c r="B193" s="14" t="s">
        <v>338</v>
      </c>
      <c r="C193" s="15">
        <v>-8306.2000000000007</v>
      </c>
      <c r="D193" s="17" t="s">
        <v>339</v>
      </c>
      <c r="E193" s="14" t="s">
        <v>338</v>
      </c>
      <c r="F193" s="18">
        <v>7</v>
      </c>
      <c r="G193" s="12" t="str">
        <f>IFERROR(VLOOKUP(D193,Data!$A:$B,2,0),"Revisar")</f>
        <v>Gastos Variables</v>
      </c>
      <c r="H193" s="20" t="s">
        <v>24</v>
      </c>
      <c r="I193" s="157" t="str">
        <f t="array" ref="I193">_xlfn.XLOOKUP($H193,Data!$E:$E,Data!$F:$F,"Revisar",0)</f>
        <v>NA</v>
      </c>
      <c r="J193" s="157" t="str">
        <f t="array" ref="J193">_xlfn.XLOOKUP($H193,Data!$E:$E,Data!$G:$G,"Revisar",0)</f>
        <v>NA</v>
      </c>
      <c r="K193" s="20" t="s">
        <v>24</v>
      </c>
      <c r="L193" s="18">
        <v>7</v>
      </c>
      <c r="M193" s="20"/>
      <c r="N193" s="14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ht="15" customHeight="1" x14ac:dyDescent="0.3">
      <c r="A194" s="13">
        <v>46224</v>
      </c>
      <c r="B194" s="14" t="s">
        <v>108</v>
      </c>
      <c r="C194" s="15">
        <v>-1689800</v>
      </c>
      <c r="D194" s="17" t="s">
        <v>138</v>
      </c>
      <c r="E194" s="14" t="s">
        <v>671</v>
      </c>
      <c r="F194" s="18">
        <v>7</v>
      </c>
      <c r="G194" s="12" t="str">
        <f>IFERROR(VLOOKUP(D194,Data!$A:$B,2,0),"Revisar")</f>
        <v>Costo Ventas</v>
      </c>
      <c r="H194" s="20" t="s">
        <v>207</v>
      </c>
      <c r="I194" s="157" t="str">
        <f t="array" ref="I194">_xlfn.XLOOKUP($H194,Data!$E:$E,Data!$F:$F,"Revisar",0)</f>
        <v>ANIXTER</v>
      </c>
      <c r="J194" s="157" t="str">
        <f t="array" ref="J194">_xlfn.XLOOKUP($H194,Data!$E:$E,Data!$G:$G,"Revisar",0)</f>
        <v xml:space="preserve">Evento BoB Datacenter Day - Bogotá </v>
      </c>
      <c r="K194" s="20" t="s">
        <v>143</v>
      </c>
      <c r="L194" s="18">
        <v>7</v>
      </c>
      <c r="M194" s="18" t="s">
        <v>499</v>
      </c>
      <c r="N194" s="14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ht="15" customHeight="1" x14ac:dyDescent="0.3">
      <c r="A195" s="13">
        <v>46224</v>
      </c>
      <c r="B195" s="14" t="s">
        <v>108</v>
      </c>
      <c r="C195" s="15">
        <v>-386750</v>
      </c>
      <c r="D195" s="17" t="s">
        <v>138</v>
      </c>
      <c r="E195" s="14" t="s">
        <v>672</v>
      </c>
      <c r="F195" s="18">
        <v>7</v>
      </c>
      <c r="G195" s="12" t="str">
        <f>IFERROR(VLOOKUP(D195,Data!$A:$B,2,0),"Revisar")</f>
        <v>Costo Ventas</v>
      </c>
      <c r="H195" s="20" t="s">
        <v>207</v>
      </c>
      <c r="I195" s="157" t="str">
        <f t="array" ref="I195">_xlfn.XLOOKUP($H195,Data!$E:$E,Data!$F:$F,"Revisar",0)</f>
        <v>ANIXTER</v>
      </c>
      <c r="J195" s="157" t="str">
        <f t="array" ref="J195">_xlfn.XLOOKUP($H195,Data!$E:$E,Data!$G:$G,"Revisar",0)</f>
        <v xml:space="preserve">Evento BoB Datacenter Day - Bogotá </v>
      </c>
      <c r="K195" s="20" t="s">
        <v>143</v>
      </c>
      <c r="L195" s="18">
        <v>7</v>
      </c>
      <c r="M195" s="20" t="s">
        <v>450</v>
      </c>
      <c r="N195" s="14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ht="15" customHeight="1" x14ac:dyDescent="0.3">
      <c r="A196" s="13">
        <v>46225</v>
      </c>
      <c r="B196" s="14" t="s">
        <v>31</v>
      </c>
      <c r="C196" s="15">
        <v>997.78</v>
      </c>
      <c r="D196" s="17" t="s">
        <v>32</v>
      </c>
      <c r="E196" s="14" t="s">
        <v>31</v>
      </c>
      <c r="F196" s="18">
        <v>7</v>
      </c>
      <c r="G196" s="12" t="str">
        <f>IFERROR(VLOOKUP(D196,Data!$A:$B,2,0),"Revisar")</f>
        <v>Gastos Variables</v>
      </c>
      <c r="H196" s="20" t="s">
        <v>24</v>
      </c>
      <c r="I196" s="157" t="str">
        <f t="array" ref="I196">_xlfn.XLOOKUP($H196,Data!$E:$E,Data!$F:$F,"Revisar",0)</f>
        <v>NA</v>
      </c>
      <c r="J196" s="157" t="str">
        <f t="array" ref="J196">_xlfn.XLOOKUP($H196,Data!$E:$E,Data!$G:$G,"Revisar",0)</f>
        <v>NA</v>
      </c>
      <c r="K196" s="20" t="s">
        <v>24</v>
      </c>
      <c r="L196" s="18">
        <v>7</v>
      </c>
      <c r="M196" s="20"/>
      <c r="N196" s="14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ht="15" customHeight="1" x14ac:dyDescent="0.3">
      <c r="A197" s="13">
        <v>46226</v>
      </c>
      <c r="B197" s="14" t="s">
        <v>674</v>
      </c>
      <c r="C197" s="15">
        <v>2067770</v>
      </c>
      <c r="D197" s="17" t="s">
        <v>188</v>
      </c>
      <c r="E197" s="14" t="s">
        <v>674</v>
      </c>
      <c r="F197" s="18">
        <v>7</v>
      </c>
      <c r="G197" s="12" t="str">
        <f>IFERROR(VLOOKUP(D197,Data!$A:$B,2,0),"Revisar")</f>
        <v>Ingresos</v>
      </c>
      <c r="H197" s="20" t="s">
        <v>131</v>
      </c>
      <c r="I197" s="157" t="str">
        <f t="array" ref="I197">_xlfn.XLOOKUP($H197,Data!$E:$E,Data!$F:$F,"Revisar",0)</f>
        <v>Innovaitors</v>
      </c>
      <c r="J197" s="157" t="str">
        <f t="array" ref="J197">_xlfn.XLOOKUP($H197,Data!$E:$E,Data!$G:$G,"Revisar",0)</f>
        <v>Kits Innovaitors</v>
      </c>
      <c r="K197" s="20" t="s">
        <v>143</v>
      </c>
      <c r="L197" s="18">
        <f>F197</f>
        <v>7</v>
      </c>
      <c r="M197" s="20" t="s">
        <v>155</v>
      </c>
      <c r="N197" s="14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ht="15" customHeight="1" x14ac:dyDescent="0.3">
      <c r="A198" s="13">
        <v>46230</v>
      </c>
      <c r="B198" s="14" t="s">
        <v>634</v>
      </c>
      <c r="C198" s="15">
        <v>-654500</v>
      </c>
      <c r="D198" s="17" t="s">
        <v>138</v>
      </c>
      <c r="E198" s="14" t="s">
        <v>675</v>
      </c>
      <c r="F198" s="18">
        <v>7</v>
      </c>
      <c r="G198" s="12" t="str">
        <f>IFERROR(VLOOKUP(D198,Data!$A:$B,2,0),"Revisar")</f>
        <v>Costo Ventas</v>
      </c>
      <c r="H198" s="20" t="s">
        <v>207</v>
      </c>
      <c r="I198" s="157" t="str">
        <f t="array" ref="I198">_xlfn.XLOOKUP($H198,Data!$E:$E,Data!$F:$F,"Revisar",0)</f>
        <v>ANIXTER</v>
      </c>
      <c r="J198" s="157" t="str">
        <f t="array" ref="J198">_xlfn.XLOOKUP($H198,Data!$E:$E,Data!$G:$G,"Revisar",0)</f>
        <v xml:space="preserve">Evento BoB Datacenter Day - Bogotá </v>
      </c>
      <c r="K198" s="20" t="s">
        <v>143</v>
      </c>
      <c r="L198" s="18">
        <v>7</v>
      </c>
      <c r="M198" s="20" t="s">
        <v>455</v>
      </c>
      <c r="N198" s="14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ht="15" customHeight="1" x14ac:dyDescent="0.3">
      <c r="A199" s="13">
        <v>46230</v>
      </c>
      <c r="B199" s="14" t="s">
        <v>77</v>
      </c>
      <c r="C199" s="15">
        <v>-9032.1</v>
      </c>
      <c r="D199" s="17" t="s">
        <v>78</v>
      </c>
      <c r="E199" s="14" t="s">
        <v>77</v>
      </c>
      <c r="F199" s="18">
        <v>7</v>
      </c>
      <c r="G199" s="12" t="str">
        <f>IFERROR(VLOOKUP(D199,Data!$A:$B,2,0),"Revisar")</f>
        <v>Gastos Variables</v>
      </c>
      <c r="H199" s="20" t="s">
        <v>24</v>
      </c>
      <c r="I199" s="157" t="str">
        <f t="array" ref="I199">_xlfn.XLOOKUP($H199,Data!$E:$E,Data!$F:$F,"Revisar",0)</f>
        <v>NA</v>
      </c>
      <c r="J199" s="157" t="str">
        <f t="array" ref="J199">_xlfn.XLOOKUP($H199,Data!$E:$E,Data!$G:$G,"Revisar",0)</f>
        <v>NA</v>
      </c>
      <c r="K199" s="20" t="s">
        <v>24</v>
      </c>
      <c r="L199" s="18">
        <v>7</v>
      </c>
      <c r="M199" s="20"/>
      <c r="N199" s="14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ht="15" customHeight="1" x14ac:dyDescent="0.3">
      <c r="A200" s="13">
        <v>46229</v>
      </c>
      <c r="B200" s="14" t="s">
        <v>31</v>
      </c>
      <c r="C200" s="15">
        <v>2029.58</v>
      </c>
      <c r="D200" s="17" t="s">
        <v>32</v>
      </c>
      <c r="E200" s="14" t="s">
        <v>31</v>
      </c>
      <c r="F200" s="18">
        <v>7</v>
      </c>
      <c r="G200" s="12" t="str">
        <f>IFERROR(VLOOKUP(D200,Data!$A:$B,2,0),"Revisar")</f>
        <v>Gastos Variables</v>
      </c>
      <c r="H200" s="20" t="s">
        <v>24</v>
      </c>
      <c r="I200" s="157" t="str">
        <f t="array" ref="I200">_xlfn.XLOOKUP($H200,Data!$E:$E,Data!$F:$F,"Revisar",0)</f>
        <v>NA</v>
      </c>
      <c r="J200" s="157" t="str">
        <f t="array" ref="J200">_xlfn.XLOOKUP($H200,Data!$E:$E,Data!$G:$G,"Revisar",0)</f>
        <v>NA</v>
      </c>
      <c r="K200" s="20" t="s">
        <v>24</v>
      </c>
      <c r="L200" s="18">
        <v>7</v>
      </c>
      <c r="M200" s="20"/>
      <c r="N200" s="14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ht="15" customHeight="1" x14ac:dyDescent="0.3">
      <c r="A201" s="13">
        <v>46230</v>
      </c>
      <c r="B201" s="14" t="s">
        <v>31</v>
      </c>
      <c r="C201" s="15">
        <v>504.66</v>
      </c>
      <c r="D201" s="17" t="s">
        <v>32</v>
      </c>
      <c r="E201" s="14" t="s">
        <v>31</v>
      </c>
      <c r="F201" s="18">
        <v>7</v>
      </c>
      <c r="G201" s="12" t="str">
        <f>IFERROR(VLOOKUP(D201,Data!$A:$B,2,0),"Revisar")</f>
        <v>Gastos Variables</v>
      </c>
      <c r="H201" s="20" t="s">
        <v>24</v>
      </c>
      <c r="I201" s="157" t="str">
        <f t="array" ref="I201">_xlfn.XLOOKUP($H201,Data!$E:$E,Data!$F:$F,"Revisar",0)</f>
        <v>NA</v>
      </c>
      <c r="J201" s="157" t="str">
        <f t="array" ref="J201">_xlfn.XLOOKUP($H201,Data!$E:$E,Data!$G:$G,"Revisar",0)</f>
        <v>NA</v>
      </c>
      <c r="K201" s="20" t="s">
        <v>24</v>
      </c>
      <c r="L201" s="18">
        <v>7</v>
      </c>
      <c r="M201" s="20"/>
      <c r="N201" s="14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ht="15" customHeight="1" x14ac:dyDescent="0.3">
      <c r="A202" s="13">
        <v>46230</v>
      </c>
      <c r="B202" s="14" t="s">
        <v>338</v>
      </c>
      <c r="C202" s="15">
        <v>-2654.12</v>
      </c>
      <c r="D202" s="17" t="s">
        <v>339</v>
      </c>
      <c r="E202" s="14" t="s">
        <v>338</v>
      </c>
      <c r="F202" s="18">
        <v>7</v>
      </c>
      <c r="G202" s="12" t="str">
        <f>IFERROR(VLOOKUP(D202,Data!$A:$B,2,0),"Revisar")</f>
        <v>Gastos Variables</v>
      </c>
      <c r="H202" s="20" t="s">
        <v>24</v>
      </c>
      <c r="I202" s="157" t="str">
        <f t="array" ref="I202">_xlfn.XLOOKUP($H202,Data!$E:$E,Data!$F:$F,"Revisar",0)</f>
        <v>NA</v>
      </c>
      <c r="J202" s="157" t="str">
        <f t="array" ref="J202">_xlfn.XLOOKUP($H202,Data!$E:$E,Data!$G:$G,"Revisar",0)</f>
        <v>NA</v>
      </c>
      <c r="K202" s="20" t="s">
        <v>24</v>
      </c>
      <c r="L202" s="18">
        <v>7</v>
      </c>
      <c r="M202" s="20"/>
      <c r="N202" s="14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 ht="15" customHeight="1" x14ac:dyDescent="0.3">
      <c r="A203" s="13">
        <v>46231</v>
      </c>
      <c r="B203" s="14" t="s">
        <v>31</v>
      </c>
      <c r="C203" s="15">
        <v>459.95</v>
      </c>
      <c r="D203" s="17" t="s">
        <v>32</v>
      </c>
      <c r="E203" s="14" t="s">
        <v>31</v>
      </c>
      <c r="F203" s="18">
        <v>7</v>
      </c>
      <c r="G203" s="12" t="str">
        <f>IFERROR(VLOOKUP(D203,Data!$A:$B,2,0),"Revisar")</f>
        <v>Gastos Variables</v>
      </c>
      <c r="H203" s="20" t="s">
        <v>24</v>
      </c>
      <c r="I203" s="157" t="str">
        <f t="array" ref="I203">_xlfn.XLOOKUP($H203,Data!$E:$E,Data!$F:$F,"Revisar",0)</f>
        <v>NA</v>
      </c>
      <c r="J203" s="157" t="str">
        <f t="array" ref="J203">_xlfn.XLOOKUP($H203,Data!$E:$E,Data!$G:$G,"Revisar",0)</f>
        <v>NA</v>
      </c>
      <c r="K203" s="20" t="s">
        <v>24</v>
      </c>
      <c r="L203" s="18">
        <v>7</v>
      </c>
      <c r="M203" s="20"/>
      <c r="N203" s="14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 ht="15" customHeight="1" x14ac:dyDescent="0.3">
      <c r="A204" s="13">
        <v>46231</v>
      </c>
      <c r="B204" s="14" t="s">
        <v>89</v>
      </c>
      <c r="C204" s="15">
        <v>-1442.1</v>
      </c>
      <c r="D204" s="17" t="s">
        <v>90</v>
      </c>
      <c r="E204" s="14" t="s">
        <v>89</v>
      </c>
      <c r="F204" s="18">
        <v>7</v>
      </c>
      <c r="G204" s="12" t="str">
        <f>IFERROR(VLOOKUP(D204,Data!$A:$B,2,0),"Revisar")</f>
        <v>Imp x Pagar - IVA</v>
      </c>
      <c r="H204" s="20" t="s">
        <v>24</v>
      </c>
      <c r="I204" s="157" t="str">
        <f t="array" ref="I204">_xlfn.XLOOKUP($H204,Data!$E:$E,Data!$F:$F,"Revisar",0)</f>
        <v>NA</v>
      </c>
      <c r="J204" s="157" t="str">
        <f t="array" ref="J204">_xlfn.XLOOKUP($H204,Data!$E:$E,Data!$G:$G,"Revisar",0)</f>
        <v>NA</v>
      </c>
      <c r="K204" s="20" t="s">
        <v>24</v>
      </c>
      <c r="L204" s="18">
        <v>7</v>
      </c>
      <c r="M204" s="20"/>
      <c r="N204" s="14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 ht="15" customHeight="1" x14ac:dyDescent="0.3">
      <c r="A205" s="13">
        <v>46231</v>
      </c>
      <c r="B205" s="14" t="s">
        <v>338</v>
      </c>
      <c r="C205" s="15">
        <v>-43344.12</v>
      </c>
      <c r="D205" s="17" t="s">
        <v>339</v>
      </c>
      <c r="E205" s="14" t="s">
        <v>338</v>
      </c>
      <c r="F205" s="18">
        <v>7</v>
      </c>
      <c r="G205" s="12" t="str">
        <f>IFERROR(VLOOKUP(D205,Data!$A:$B,2,0),"Revisar")</f>
        <v>Gastos Variables</v>
      </c>
      <c r="H205" s="20" t="s">
        <v>24</v>
      </c>
      <c r="I205" s="157" t="str">
        <f t="array" ref="I205">_xlfn.XLOOKUP($H205,Data!$E:$E,Data!$F:$F,"Revisar",0)</f>
        <v>NA</v>
      </c>
      <c r="J205" s="157" t="str">
        <f t="array" ref="J205">_xlfn.XLOOKUP($H205,Data!$E:$E,Data!$G:$G,"Revisar",0)</f>
        <v>NA</v>
      </c>
      <c r="K205" s="20" t="s">
        <v>24</v>
      </c>
      <c r="L205" s="18">
        <v>7</v>
      </c>
      <c r="M205" s="20"/>
      <c r="N205" s="14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ht="15" customHeight="1" x14ac:dyDescent="0.3">
      <c r="A206" s="13">
        <v>46231</v>
      </c>
      <c r="B206" s="14" t="s">
        <v>77</v>
      </c>
      <c r="C206" s="15">
        <v>-7590</v>
      </c>
      <c r="D206" s="17" t="s">
        <v>78</v>
      </c>
      <c r="E206" s="14" t="s">
        <v>77</v>
      </c>
      <c r="F206" s="18">
        <v>7</v>
      </c>
      <c r="G206" s="12" t="str">
        <f>IFERROR(VLOOKUP(D206,Data!$A:$B,2,0),"Revisar")</f>
        <v>Gastos Variables</v>
      </c>
      <c r="H206" s="20" t="s">
        <v>24</v>
      </c>
      <c r="I206" s="157" t="str">
        <f t="array" ref="I206">_xlfn.XLOOKUP($H206,Data!$E:$E,Data!$F:$F,"Revisar",0)</f>
        <v>NA</v>
      </c>
      <c r="J206" s="157" t="str">
        <f t="array" ref="J206">_xlfn.XLOOKUP($H206,Data!$E:$E,Data!$G:$G,"Revisar",0)</f>
        <v>NA</v>
      </c>
      <c r="K206" s="20" t="s">
        <v>24</v>
      </c>
      <c r="L206" s="18">
        <v>7</v>
      </c>
      <c r="M206" s="20"/>
      <c r="N206" s="14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 ht="15" customHeight="1" x14ac:dyDescent="0.3">
      <c r="A207" s="13">
        <v>46231</v>
      </c>
      <c r="B207" s="14" t="s">
        <v>84</v>
      </c>
      <c r="C207" s="15">
        <v>-10827000</v>
      </c>
      <c r="D207" s="17" t="s">
        <v>85</v>
      </c>
      <c r="E207" s="14" t="s">
        <v>694</v>
      </c>
      <c r="F207" s="18">
        <v>7</v>
      </c>
      <c r="G207" s="12" t="str">
        <f>IFERROR(VLOOKUP(D207,Data!$A:$B,2,0),"Revisar")</f>
        <v>Costos Operacionales</v>
      </c>
      <c r="H207" s="20" t="s">
        <v>24</v>
      </c>
      <c r="I207" s="157" t="str">
        <f t="array" ref="I207">_xlfn.XLOOKUP($H207,Data!$E:$E,Data!$F:$F,"Revisar",0)</f>
        <v>NA</v>
      </c>
      <c r="J207" s="157" t="str">
        <f t="array" ref="J207">_xlfn.XLOOKUP($H207,Data!$E:$E,Data!$G:$G,"Revisar",0)</f>
        <v>NA</v>
      </c>
      <c r="K207" s="20" t="s">
        <v>143</v>
      </c>
      <c r="L207" s="18">
        <v>7</v>
      </c>
      <c r="M207" s="20"/>
      <c r="N207" s="14" t="s">
        <v>558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 ht="15" customHeight="1" x14ac:dyDescent="0.3">
      <c r="A208" s="13">
        <v>46232</v>
      </c>
      <c r="B208" s="14" t="s">
        <v>31</v>
      </c>
      <c r="C208" s="15">
        <v>455.83</v>
      </c>
      <c r="D208" s="17" t="s">
        <v>32</v>
      </c>
      <c r="E208" s="14" t="s">
        <v>31</v>
      </c>
      <c r="F208" s="18">
        <v>7</v>
      </c>
      <c r="G208" s="12" t="str">
        <f>IFERROR(VLOOKUP(D208,Data!$A:$B,2,0),"Revisar")</f>
        <v>Gastos Variables</v>
      </c>
      <c r="H208" s="20" t="s">
        <v>24</v>
      </c>
      <c r="I208" s="157" t="str">
        <f t="array" ref="I208">_xlfn.XLOOKUP($H208,Data!$E:$E,Data!$F:$F,"Revisar",0)</f>
        <v>NA</v>
      </c>
      <c r="J208" s="157" t="str">
        <f t="array" ref="J208">_xlfn.XLOOKUP($H208,Data!$E:$E,Data!$G:$G,"Revisar",0)</f>
        <v>NA</v>
      </c>
      <c r="K208" s="20" t="s">
        <v>24</v>
      </c>
      <c r="L208" s="18">
        <v>7</v>
      </c>
      <c r="M208" s="20"/>
      <c r="N208" s="14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 ht="15" customHeight="1" x14ac:dyDescent="0.3">
      <c r="A209" s="13">
        <v>46232</v>
      </c>
      <c r="B209" s="14" t="s">
        <v>338</v>
      </c>
      <c r="C209" s="15">
        <v>-4000</v>
      </c>
      <c r="D209" s="17" t="s">
        <v>339</v>
      </c>
      <c r="E209" s="14" t="s">
        <v>338</v>
      </c>
      <c r="F209" s="18">
        <v>7</v>
      </c>
      <c r="G209" s="12" t="str">
        <f>IFERROR(VLOOKUP(D209,Data!$A:$B,2,0),"Revisar")</f>
        <v>Gastos Variables</v>
      </c>
      <c r="H209" s="20" t="s">
        <v>24</v>
      </c>
      <c r="I209" s="157" t="str">
        <f t="array" ref="I209">_xlfn.XLOOKUP($H209,Data!$E:$E,Data!$F:$F,"Revisar",0)</f>
        <v>NA</v>
      </c>
      <c r="J209" s="157" t="str">
        <f t="array" ref="J209">_xlfn.XLOOKUP($H209,Data!$E:$E,Data!$G:$G,"Revisar",0)</f>
        <v>NA</v>
      </c>
      <c r="K209" s="20" t="s">
        <v>24</v>
      </c>
      <c r="L209" s="18">
        <v>7</v>
      </c>
      <c r="M209" s="20"/>
      <c r="N209" s="14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 ht="15" customHeight="1" x14ac:dyDescent="0.3">
      <c r="A210" s="13">
        <v>46232</v>
      </c>
      <c r="B210" s="14" t="s">
        <v>108</v>
      </c>
      <c r="C210" s="15">
        <v>-1000000</v>
      </c>
      <c r="D210" s="17" t="s">
        <v>85</v>
      </c>
      <c r="E210" s="14" t="s">
        <v>553</v>
      </c>
      <c r="F210" s="18">
        <v>7</v>
      </c>
      <c r="G210" s="12" t="str">
        <f>IFERROR(VLOOKUP(D210,Data!$A:$B,2,0),"Revisar")</f>
        <v>Costos Operacionales</v>
      </c>
      <c r="H210" s="20" t="s">
        <v>24</v>
      </c>
      <c r="I210" s="157" t="str">
        <f t="array" ref="I210">_xlfn.XLOOKUP($H210,Data!$E:$E,Data!$F:$F,"Revisar",0)</f>
        <v>NA</v>
      </c>
      <c r="J210" s="157" t="str">
        <f t="array" ref="J210">_xlfn.XLOOKUP($H210,Data!$E:$E,Data!$G:$G,"Revisar",0)</f>
        <v>NA</v>
      </c>
      <c r="K210" s="20" t="s">
        <v>143</v>
      </c>
      <c r="L210" s="18">
        <v>7</v>
      </c>
      <c r="M210" s="20"/>
      <c r="N210" s="14" t="s">
        <v>558</v>
      </c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 ht="15" customHeight="1" x14ac:dyDescent="0.3">
      <c r="A211" s="13">
        <v>46233</v>
      </c>
      <c r="B211" s="14" t="s">
        <v>639</v>
      </c>
      <c r="C211" s="15">
        <v>-6662330</v>
      </c>
      <c r="D211" s="17" t="s">
        <v>138</v>
      </c>
      <c r="E211" s="14" t="s">
        <v>640</v>
      </c>
      <c r="F211" s="18">
        <v>7</v>
      </c>
      <c r="G211" s="12" t="str">
        <f>IFERROR(VLOOKUP(D211,Data!$A:$B,2,0),"Revisar")</f>
        <v>Costo Ventas</v>
      </c>
      <c r="H211" s="18" t="s">
        <v>207</v>
      </c>
      <c r="I211" s="157" t="str">
        <f t="array" ref="I211">_xlfn.XLOOKUP($H211,Data!$E:$E,Data!$F:$F,"Revisar",0)</f>
        <v>ANIXTER</v>
      </c>
      <c r="J211" s="157" t="str">
        <f t="array" ref="J211">_xlfn.XLOOKUP($H211,Data!$E:$E,Data!$G:$G,"Revisar",0)</f>
        <v xml:space="preserve">Evento BoB Datacenter Day - Bogotá </v>
      </c>
      <c r="K211" s="20" t="s">
        <v>143</v>
      </c>
      <c r="L211" s="18">
        <v>7</v>
      </c>
      <c r="M211" s="18" t="s">
        <v>493</v>
      </c>
      <c r="N211" s="14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 ht="15" customHeight="1" x14ac:dyDescent="0.3">
      <c r="A212" s="13">
        <v>46233</v>
      </c>
      <c r="B212" s="14" t="s">
        <v>338</v>
      </c>
      <c r="C212" s="15">
        <v>-26649.32</v>
      </c>
      <c r="D212" s="17" t="s">
        <v>339</v>
      </c>
      <c r="E212" s="14" t="s">
        <v>338</v>
      </c>
      <c r="F212" s="18">
        <v>7</v>
      </c>
      <c r="G212" s="12" t="str">
        <f>IFERROR(VLOOKUP(D212,Data!$A:$B,2,0),"Revisar")</f>
        <v>Gastos Variables</v>
      </c>
      <c r="H212" s="20" t="s">
        <v>24</v>
      </c>
      <c r="I212" s="157" t="str">
        <f t="array" ref="I212">_xlfn.XLOOKUP($H212,Data!$E:$E,Data!$F:$F,"Revisar",0)</f>
        <v>NA</v>
      </c>
      <c r="J212" s="157" t="str">
        <f t="array" ref="J212">_xlfn.XLOOKUP($H212,Data!$E:$E,Data!$G:$G,"Revisar",0)</f>
        <v>NA</v>
      </c>
      <c r="K212" s="20" t="s">
        <v>24</v>
      </c>
      <c r="L212" s="18">
        <v>7</v>
      </c>
      <c r="M212" s="20"/>
      <c r="N212" s="14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 ht="15" customHeight="1" x14ac:dyDescent="0.3">
      <c r="A213" s="13">
        <v>46234</v>
      </c>
      <c r="B213" s="14" t="s">
        <v>31</v>
      </c>
      <c r="C213" s="15">
        <v>856.68</v>
      </c>
      <c r="D213" s="17" t="s">
        <v>32</v>
      </c>
      <c r="E213" s="14" t="s">
        <v>31</v>
      </c>
      <c r="F213" s="18">
        <v>7</v>
      </c>
      <c r="G213" s="12" t="str">
        <f>IFERROR(VLOOKUP(D213,Data!$A:$B,2,0),"Revisar")</f>
        <v>Gastos Variables</v>
      </c>
      <c r="H213" s="20" t="s">
        <v>24</v>
      </c>
      <c r="I213" s="157" t="str">
        <f t="array" ref="I213">_xlfn.XLOOKUP($H213,Data!$E:$E,Data!$F:$F,"Revisar",0)</f>
        <v>NA</v>
      </c>
      <c r="J213" s="157" t="str">
        <f t="array" ref="J213">_xlfn.XLOOKUP($H213,Data!$E:$E,Data!$G:$G,"Revisar",0)</f>
        <v>NA</v>
      </c>
      <c r="K213" s="20" t="s">
        <v>24</v>
      </c>
      <c r="L213" s="18">
        <v>7</v>
      </c>
      <c r="M213" s="20"/>
      <c r="N213" s="14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 ht="15" customHeight="1" x14ac:dyDescent="0.3">
      <c r="A214" s="13">
        <v>46235</v>
      </c>
      <c r="B214" s="14" t="s">
        <v>502</v>
      </c>
      <c r="C214" s="15">
        <v>-175537.33</v>
      </c>
      <c r="D214" s="17" t="s">
        <v>298</v>
      </c>
      <c r="E214" s="14" t="s">
        <v>502</v>
      </c>
      <c r="F214" s="18">
        <v>8</v>
      </c>
      <c r="G214" s="12" t="str">
        <f>IFERROR(VLOOKUP(D214,Data!$A:$B,2,0),"Revisar")</f>
        <v>Costos Operacionales</v>
      </c>
      <c r="H214" s="20" t="s">
        <v>24</v>
      </c>
      <c r="I214" s="157" t="str">
        <f t="array" ref="I214">_xlfn.XLOOKUP($H214,Data!$E:$E,Data!$F:$F,"Revisar",0)</f>
        <v>NA</v>
      </c>
      <c r="J214" s="157" t="str">
        <f t="array" ref="J214">_xlfn.XLOOKUP($H214,Data!$E:$E,Data!$G:$G,"Revisar",0)</f>
        <v>NA</v>
      </c>
      <c r="K214" s="20" t="s">
        <v>24</v>
      </c>
      <c r="L214" s="18">
        <v>8</v>
      </c>
      <c r="M214" s="20"/>
      <c r="N214" s="14" t="s">
        <v>419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 ht="15" customHeight="1" x14ac:dyDescent="0.3">
      <c r="A215" s="13">
        <v>46238</v>
      </c>
      <c r="B215" s="14" t="s">
        <v>600</v>
      </c>
      <c r="C215" s="15">
        <v>-18406000</v>
      </c>
      <c r="D215" s="17" t="s">
        <v>361</v>
      </c>
      <c r="E215" s="14" t="s">
        <v>600</v>
      </c>
      <c r="F215" s="18">
        <v>8</v>
      </c>
      <c r="G215" s="12" t="str">
        <f>IFERROR(VLOOKUP(D215,Data!$A:$B,2,0),"Revisar")</f>
        <v>Impuestos</v>
      </c>
      <c r="H215" s="20" t="s">
        <v>24</v>
      </c>
      <c r="I215" s="157" t="str">
        <f t="array" ref="I215">_xlfn.XLOOKUP($H215,Data!$E:$E,Data!$F:$F,"Revisar",0)</f>
        <v>NA</v>
      </c>
      <c r="J215" s="157" t="str">
        <f t="array" ref="J215">_xlfn.XLOOKUP($H215,Data!$E:$E,Data!$G:$G,"Revisar",0)</f>
        <v>NA</v>
      </c>
      <c r="K215" s="20" t="s">
        <v>24</v>
      </c>
      <c r="L215" s="18">
        <v>8</v>
      </c>
      <c r="M215" s="20"/>
      <c r="N215" s="14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 ht="15" customHeight="1" x14ac:dyDescent="0.3">
      <c r="A216" s="13">
        <v>46239</v>
      </c>
      <c r="B216" s="14" t="s">
        <v>108</v>
      </c>
      <c r="C216" s="15">
        <v>-3310107</v>
      </c>
      <c r="D216" s="17" t="s">
        <v>138</v>
      </c>
      <c r="E216" s="14" t="s">
        <v>696</v>
      </c>
      <c r="F216" s="18">
        <v>8</v>
      </c>
      <c r="G216" s="12" t="str">
        <f>IFERROR(VLOOKUP(D216,Data!$A:$B,2,0),"Revisar")</f>
        <v>Costo Ventas</v>
      </c>
      <c r="H216" s="18" t="s">
        <v>214</v>
      </c>
      <c r="I216" s="157" t="str">
        <f t="array" ref="I216">_xlfn.XLOOKUP($H216,Data!$E:$E,Data!$F:$F,"Revisar",0)</f>
        <v>ANIXTER</v>
      </c>
      <c r="J216" s="157" t="str">
        <f t="array" ref="J216">_xlfn.XLOOKUP($H216,Data!$E:$E,Data!$G:$G,"Revisar",0)</f>
        <v>Tiquetes y alojamiento Pedro Rodriguez</v>
      </c>
      <c r="K216" s="20" t="s">
        <v>143</v>
      </c>
      <c r="L216" s="18">
        <v>8</v>
      </c>
      <c r="M216" s="18" t="s">
        <v>406</v>
      </c>
      <c r="N216" s="14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 ht="15" customHeight="1" x14ac:dyDescent="0.3">
      <c r="A217" s="13">
        <v>46237</v>
      </c>
      <c r="B217" s="14" t="s">
        <v>31</v>
      </c>
      <c r="C217" s="15">
        <v>1282.8900000000001</v>
      </c>
      <c r="D217" s="17" t="s">
        <v>32</v>
      </c>
      <c r="E217" s="14" t="s">
        <v>31</v>
      </c>
      <c r="F217" s="18">
        <v>8</v>
      </c>
      <c r="G217" s="12" t="str">
        <f>IFERROR(VLOOKUP(D217,Data!$A:$B,2,0),"Revisar")</f>
        <v>Gastos Variables</v>
      </c>
      <c r="H217" s="20" t="s">
        <v>24</v>
      </c>
      <c r="I217" s="157" t="str">
        <f t="array" ref="I217">_xlfn.XLOOKUP($H217,Data!$E:$E,Data!$F:$F,"Revisar",0)</f>
        <v>NA</v>
      </c>
      <c r="J217" s="157" t="str">
        <f t="array" ref="J217">_xlfn.XLOOKUP($H217,Data!$E:$E,Data!$G:$G,"Revisar",0)</f>
        <v>NA</v>
      </c>
      <c r="K217" s="20" t="s">
        <v>24</v>
      </c>
      <c r="L217" s="18">
        <v>8</v>
      </c>
      <c r="M217" s="20"/>
      <c r="N217" s="14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 ht="15" customHeight="1" x14ac:dyDescent="0.3">
      <c r="A218" s="13">
        <v>46238</v>
      </c>
      <c r="B218" s="14" t="s">
        <v>31</v>
      </c>
      <c r="C218" s="15">
        <v>234.66</v>
      </c>
      <c r="D218" s="17" t="s">
        <v>32</v>
      </c>
      <c r="E218" s="14" t="s">
        <v>31</v>
      </c>
      <c r="F218" s="18">
        <v>8</v>
      </c>
      <c r="G218" s="12" t="str">
        <f>IFERROR(VLOOKUP(D218,Data!$A:$B,2,0),"Revisar")</f>
        <v>Gastos Variables</v>
      </c>
      <c r="H218" s="20" t="s">
        <v>24</v>
      </c>
      <c r="I218" s="157" t="str">
        <f t="array" ref="I218">_xlfn.XLOOKUP($H218,Data!$E:$E,Data!$F:$F,"Revisar",0)</f>
        <v>NA</v>
      </c>
      <c r="J218" s="157" t="str">
        <f t="array" ref="J218">_xlfn.XLOOKUP($H218,Data!$E:$E,Data!$G:$G,"Revisar",0)</f>
        <v>NA</v>
      </c>
      <c r="K218" s="20" t="s">
        <v>24</v>
      </c>
      <c r="L218" s="18">
        <v>8</v>
      </c>
      <c r="M218" s="20"/>
      <c r="N218" s="14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 ht="15" customHeight="1" x14ac:dyDescent="0.3">
      <c r="A219" s="13">
        <v>46238</v>
      </c>
      <c r="B219" s="14" t="s">
        <v>338</v>
      </c>
      <c r="C219" s="15">
        <v>-1002.14</v>
      </c>
      <c r="D219" s="17" t="s">
        <v>339</v>
      </c>
      <c r="E219" s="14" t="s">
        <v>338</v>
      </c>
      <c r="F219" s="18">
        <v>8</v>
      </c>
      <c r="G219" s="12" t="str">
        <f>IFERROR(VLOOKUP(D219,Data!$A:$B,2,0),"Revisar")</f>
        <v>Gastos Variables</v>
      </c>
      <c r="H219" s="20" t="s">
        <v>24</v>
      </c>
      <c r="I219" s="157" t="str">
        <f t="array" ref="I219">_xlfn.XLOOKUP($H219,Data!$E:$E,Data!$F:$F,"Revisar",0)</f>
        <v>NA</v>
      </c>
      <c r="J219" s="157" t="str">
        <f t="array" ref="J219">_xlfn.XLOOKUP($H219,Data!$E:$E,Data!$G:$G,"Revisar",0)</f>
        <v>NA</v>
      </c>
      <c r="K219" s="20" t="s">
        <v>24</v>
      </c>
      <c r="L219" s="18">
        <v>8</v>
      </c>
      <c r="M219" s="20"/>
      <c r="N219" s="14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 ht="15" customHeight="1" x14ac:dyDescent="0.3">
      <c r="A220" s="13">
        <v>46239</v>
      </c>
      <c r="B220" s="14" t="s">
        <v>338</v>
      </c>
      <c r="C220" s="15">
        <v>-13240.42</v>
      </c>
      <c r="D220" s="17" t="s">
        <v>339</v>
      </c>
      <c r="E220" s="14" t="s">
        <v>338</v>
      </c>
      <c r="F220" s="18">
        <v>8</v>
      </c>
      <c r="G220" s="12" t="str">
        <f>IFERROR(VLOOKUP(D220,Data!$A:$B,2,0),"Revisar")</f>
        <v>Gastos Variables</v>
      </c>
      <c r="H220" s="20" t="s">
        <v>24</v>
      </c>
      <c r="I220" s="157" t="str">
        <f t="array" ref="I220">_xlfn.XLOOKUP($H220,Data!$E:$E,Data!$F:$F,"Revisar",0)</f>
        <v>NA</v>
      </c>
      <c r="J220" s="157" t="str">
        <f t="array" ref="J220">_xlfn.XLOOKUP($H220,Data!$E:$E,Data!$G:$G,"Revisar",0)</f>
        <v>NA</v>
      </c>
      <c r="K220" s="20" t="s">
        <v>24</v>
      </c>
      <c r="L220" s="18">
        <v>8</v>
      </c>
      <c r="M220" s="20"/>
      <c r="N220" s="14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 ht="15" customHeight="1" x14ac:dyDescent="0.3">
      <c r="A221" s="13">
        <v>46240</v>
      </c>
      <c r="B221" s="14" t="s">
        <v>31</v>
      </c>
      <c r="C221" s="15">
        <v>451.1</v>
      </c>
      <c r="D221" s="17" t="s">
        <v>32</v>
      </c>
      <c r="E221" s="14" t="s">
        <v>31</v>
      </c>
      <c r="F221" s="18">
        <v>8</v>
      </c>
      <c r="G221" s="12" t="str">
        <f>IFERROR(VLOOKUP(D221,Data!$A:$B,2,0),"Revisar")</f>
        <v>Gastos Variables</v>
      </c>
      <c r="H221" s="20" t="s">
        <v>24</v>
      </c>
      <c r="I221" s="157" t="str">
        <f t="array" ref="I221">_xlfn.XLOOKUP($H221,Data!$E:$E,Data!$F:$F,"Revisar",0)</f>
        <v>NA</v>
      </c>
      <c r="J221" s="157" t="str">
        <f t="array" ref="J221">_xlfn.XLOOKUP($H221,Data!$E:$E,Data!$G:$G,"Revisar",0)</f>
        <v>NA</v>
      </c>
      <c r="K221" s="20" t="s">
        <v>24</v>
      </c>
      <c r="L221" s="18">
        <v>8</v>
      </c>
      <c r="M221" s="20"/>
      <c r="N221" s="14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 ht="15" customHeight="1" x14ac:dyDescent="0.3">
      <c r="A222" s="13">
        <v>46241</v>
      </c>
      <c r="B222" s="14" t="s">
        <v>697</v>
      </c>
      <c r="C222" s="15">
        <v>-120000</v>
      </c>
      <c r="D222" s="17" t="s">
        <v>70</v>
      </c>
      <c r="E222" s="14" t="s">
        <v>697</v>
      </c>
      <c r="F222" s="18">
        <v>8</v>
      </c>
      <c r="G222" s="12" t="str">
        <f>IFERROR(VLOOKUP(D222,Data!$A:$B,2,0),"Revisar")</f>
        <v>Costos Operacionales</v>
      </c>
      <c r="H222" s="20" t="s">
        <v>24</v>
      </c>
      <c r="I222" s="157" t="str">
        <f t="array" ref="I222">_xlfn.XLOOKUP($H222,Data!$E:$E,Data!$F:$F,"Revisar",0)</f>
        <v>NA</v>
      </c>
      <c r="J222" s="157" t="str">
        <f t="array" ref="J222">_xlfn.XLOOKUP($H222,Data!$E:$E,Data!$G:$G,"Revisar",0)</f>
        <v>NA</v>
      </c>
      <c r="K222" s="20" t="s">
        <v>143</v>
      </c>
      <c r="L222" s="18">
        <v>8</v>
      </c>
      <c r="M222" s="20"/>
      <c r="N222" s="14" t="s">
        <v>419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 ht="15" customHeight="1" x14ac:dyDescent="0.3">
      <c r="A223" s="13">
        <v>46241</v>
      </c>
      <c r="B223" s="14" t="s">
        <v>338</v>
      </c>
      <c r="C223" s="15">
        <v>-480</v>
      </c>
      <c r="D223" s="17" t="s">
        <v>339</v>
      </c>
      <c r="E223" s="14" t="s">
        <v>338</v>
      </c>
      <c r="F223" s="18">
        <v>8</v>
      </c>
      <c r="G223" s="12" t="str">
        <f>IFERROR(VLOOKUP(D223,Data!$A:$B,2,0),"Revisar")</f>
        <v>Gastos Variables</v>
      </c>
      <c r="H223" s="20" t="s">
        <v>24</v>
      </c>
      <c r="I223" s="157" t="str">
        <f t="array" ref="I223">_xlfn.XLOOKUP($H223,Data!$E:$E,Data!$F:$F,"Revisar",0)</f>
        <v>NA</v>
      </c>
      <c r="J223" s="157" t="str">
        <f t="array" ref="J223">_xlfn.XLOOKUP($H223,Data!$E:$E,Data!$G:$G,"Revisar",0)</f>
        <v>NA</v>
      </c>
      <c r="K223" s="20" t="s">
        <v>24</v>
      </c>
      <c r="L223" s="18">
        <v>8</v>
      </c>
      <c r="M223" s="20"/>
      <c r="N223" s="14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 ht="15" customHeight="1" x14ac:dyDescent="0.3">
      <c r="A224" s="13">
        <v>46245</v>
      </c>
      <c r="B224" s="14" t="s">
        <v>31</v>
      </c>
      <c r="C224" s="15">
        <v>1126.0999999999999</v>
      </c>
      <c r="D224" s="17" t="s">
        <v>32</v>
      </c>
      <c r="E224" s="14" t="s">
        <v>31</v>
      </c>
      <c r="F224" s="18">
        <v>8</v>
      </c>
      <c r="G224" s="12" t="str">
        <f>IFERROR(VLOOKUP(D224,Data!$A:$B,2,0),"Revisar")</f>
        <v>Gastos Variables</v>
      </c>
      <c r="H224" s="20" t="s">
        <v>24</v>
      </c>
      <c r="I224" s="157" t="str">
        <f t="array" ref="I224">_xlfn.XLOOKUP($H224,Data!$E:$E,Data!$F:$F,"Revisar",0)</f>
        <v>NA</v>
      </c>
      <c r="J224" s="157" t="str">
        <f t="array" ref="J224">_xlfn.XLOOKUP($H224,Data!$E:$E,Data!$G:$G,"Revisar",0)</f>
        <v>NA</v>
      </c>
      <c r="K224" s="20" t="s">
        <v>24</v>
      </c>
      <c r="L224" s="18">
        <v>8</v>
      </c>
      <c r="M224" s="20"/>
      <c r="N224" s="14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 ht="15" customHeight="1" x14ac:dyDescent="0.3">
      <c r="A225" s="13">
        <v>46246</v>
      </c>
      <c r="B225" s="14" t="s">
        <v>31</v>
      </c>
      <c r="C225" s="15">
        <v>222.67</v>
      </c>
      <c r="D225" s="17" t="s">
        <v>32</v>
      </c>
      <c r="E225" s="14" t="s">
        <v>31</v>
      </c>
      <c r="F225" s="18">
        <v>8</v>
      </c>
      <c r="G225" s="12" t="str">
        <f>IFERROR(VLOOKUP(D225,Data!$A:$B,2,0),"Revisar")</f>
        <v>Gastos Variables</v>
      </c>
      <c r="H225" s="20" t="s">
        <v>24</v>
      </c>
      <c r="I225" s="157" t="str">
        <f t="array" ref="I225">_xlfn.XLOOKUP($H225,Data!$E:$E,Data!$F:$F,"Revisar",0)</f>
        <v>NA</v>
      </c>
      <c r="J225" s="157" t="str">
        <f t="array" ref="J225">_xlfn.XLOOKUP($H225,Data!$E:$E,Data!$G:$G,"Revisar",0)</f>
        <v>NA</v>
      </c>
      <c r="K225" s="20" t="s">
        <v>24</v>
      </c>
      <c r="L225" s="18">
        <v>8</v>
      </c>
      <c r="M225" s="20"/>
      <c r="N225" s="14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 ht="15" customHeight="1" x14ac:dyDescent="0.3">
      <c r="A226" s="13">
        <v>46246</v>
      </c>
      <c r="B226" s="14" t="s">
        <v>664</v>
      </c>
      <c r="C226" s="15">
        <v>-928000</v>
      </c>
      <c r="D226" s="17" t="s">
        <v>138</v>
      </c>
      <c r="E226" s="14" t="s">
        <v>664</v>
      </c>
      <c r="F226" s="18">
        <v>8</v>
      </c>
      <c r="G226" s="12" t="str">
        <f>IFERROR(VLOOKUP(D226,Data!$A:$B,2,0),"Revisar")</f>
        <v>Costo Ventas</v>
      </c>
      <c r="H226" s="18" t="s">
        <v>207</v>
      </c>
      <c r="I226" s="157" t="str">
        <f t="array" ref="I226">_xlfn.XLOOKUP($H226,Data!$E:$E,Data!$F:$F,"Revisar",0)</f>
        <v>ANIXTER</v>
      </c>
      <c r="J226" s="157" t="str">
        <f t="array" ref="J226">_xlfn.XLOOKUP($H226,Data!$E:$E,Data!$G:$G,"Revisar",0)</f>
        <v xml:space="preserve">Evento BoB Datacenter Day - Bogotá </v>
      </c>
      <c r="K226" s="20" t="s">
        <v>143</v>
      </c>
      <c r="L226" s="18">
        <v>8</v>
      </c>
      <c r="M226" s="20" t="s">
        <v>519</v>
      </c>
      <c r="N226" s="14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 ht="15" customHeight="1" x14ac:dyDescent="0.3">
      <c r="A227" s="13">
        <v>46246</v>
      </c>
      <c r="B227" s="14" t="s">
        <v>338</v>
      </c>
      <c r="C227" s="15">
        <v>-3712</v>
      </c>
      <c r="D227" s="17" t="s">
        <v>339</v>
      </c>
      <c r="E227" s="14" t="s">
        <v>338</v>
      </c>
      <c r="F227" s="18">
        <v>8</v>
      </c>
      <c r="G227" s="12" t="str">
        <f>IFERROR(VLOOKUP(D227,Data!$A:$B,2,0),"Revisar")</f>
        <v>Gastos Variables</v>
      </c>
      <c r="H227" s="20" t="s">
        <v>24</v>
      </c>
      <c r="I227" s="157" t="str">
        <f t="array" ref="I227">_xlfn.XLOOKUP($H227,Data!$E:$E,Data!$F:$F,"Revisar",0)</f>
        <v>NA</v>
      </c>
      <c r="J227" s="157" t="str">
        <f t="array" ref="J227">_xlfn.XLOOKUP($H227,Data!$E:$E,Data!$G:$G,"Revisar",0)</f>
        <v>NA</v>
      </c>
      <c r="K227" s="20" t="s">
        <v>24</v>
      </c>
      <c r="L227" s="18">
        <v>8</v>
      </c>
      <c r="M227" s="20"/>
      <c r="N227" s="14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 ht="15" customHeight="1" x14ac:dyDescent="0.3">
      <c r="A228" s="13">
        <v>46247</v>
      </c>
      <c r="B228" s="14" t="s">
        <v>31</v>
      </c>
      <c r="C228" s="15">
        <v>222.62</v>
      </c>
      <c r="D228" s="17" t="s">
        <v>32</v>
      </c>
      <c r="E228" s="14" t="s">
        <v>31</v>
      </c>
      <c r="F228" s="18">
        <v>8</v>
      </c>
      <c r="G228" s="12" t="str">
        <f>IFERROR(VLOOKUP(D228,Data!$A:$B,2,0),"Revisar")</f>
        <v>Gastos Variables</v>
      </c>
      <c r="H228" s="20" t="s">
        <v>24</v>
      </c>
      <c r="I228" s="157" t="str">
        <f t="array" ref="I228">_xlfn.XLOOKUP($H228,Data!$E:$E,Data!$F:$F,"Revisar",0)</f>
        <v>NA</v>
      </c>
      <c r="J228" s="157" t="str">
        <f t="array" ref="J228">_xlfn.XLOOKUP($H228,Data!$E:$E,Data!$G:$G,"Revisar",0)</f>
        <v>NA</v>
      </c>
      <c r="K228" s="20" t="s">
        <v>24</v>
      </c>
      <c r="L228" s="18">
        <v>8</v>
      </c>
      <c r="M228" s="20"/>
      <c r="N228" s="14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 ht="15" customHeight="1" x14ac:dyDescent="0.3">
      <c r="A229" s="13">
        <v>46247</v>
      </c>
      <c r="B229" s="14" t="s">
        <v>698</v>
      </c>
      <c r="C229" s="15">
        <v>-18050</v>
      </c>
      <c r="D229" s="17" t="s">
        <v>55</v>
      </c>
      <c r="E229" s="14" t="s">
        <v>376</v>
      </c>
      <c r="F229" s="18">
        <v>8</v>
      </c>
      <c r="G229" s="12" t="str">
        <f>IFERROR(VLOOKUP(D229,Data!$A:$B,2,0),"Revisar")</f>
        <v>Costos Fijos</v>
      </c>
      <c r="H229" s="20" t="s">
        <v>24</v>
      </c>
      <c r="I229" s="157" t="str">
        <f t="array" ref="I229">_xlfn.XLOOKUP($H229,Data!$E:$E,Data!$F:$F,"Revisar",0)</f>
        <v>NA</v>
      </c>
      <c r="J229" s="157" t="str">
        <f t="array" ref="J229">_xlfn.XLOOKUP($H229,Data!$E:$E,Data!$G:$G,"Revisar",0)</f>
        <v>NA</v>
      </c>
      <c r="K229" s="20" t="s">
        <v>24</v>
      </c>
      <c r="L229" s="18">
        <v>8</v>
      </c>
      <c r="M229" s="20"/>
      <c r="N229" s="14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 ht="15" customHeight="1" x14ac:dyDescent="0.3">
      <c r="A230" s="13">
        <v>46247</v>
      </c>
      <c r="B230" s="14" t="s">
        <v>338</v>
      </c>
      <c r="C230" s="15">
        <v>-72.2</v>
      </c>
      <c r="D230" s="17" t="s">
        <v>339</v>
      </c>
      <c r="E230" s="14" t="s">
        <v>338</v>
      </c>
      <c r="F230" s="18">
        <v>8</v>
      </c>
      <c r="G230" s="12" t="str">
        <f>IFERROR(VLOOKUP(D230,Data!$A:$B,2,0),"Revisar")</f>
        <v>Gastos Variables</v>
      </c>
      <c r="H230" s="20" t="s">
        <v>24</v>
      </c>
      <c r="I230" s="157" t="str">
        <f t="array" ref="I230">_xlfn.XLOOKUP($H230,Data!$E:$E,Data!$F:$F,"Revisar",0)</f>
        <v>NA</v>
      </c>
      <c r="J230" s="157" t="str">
        <f t="array" ref="J230">_xlfn.XLOOKUP($H230,Data!$E:$E,Data!$G:$G,"Revisar",0)</f>
        <v>NA</v>
      </c>
      <c r="K230" s="20" t="s">
        <v>24</v>
      </c>
      <c r="L230" s="18">
        <v>8</v>
      </c>
      <c r="M230" s="20"/>
      <c r="N230" s="14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 ht="15" customHeight="1" x14ac:dyDescent="0.3">
      <c r="A231" s="13">
        <v>46248</v>
      </c>
      <c r="B231" s="14" t="s">
        <v>699</v>
      </c>
      <c r="C231" s="15">
        <v>-181711</v>
      </c>
      <c r="D231" s="17" t="s">
        <v>70</v>
      </c>
      <c r="E231" s="14" t="s">
        <v>699</v>
      </c>
      <c r="F231" s="18">
        <v>8</v>
      </c>
      <c r="G231" s="12" t="str">
        <f>IFERROR(VLOOKUP(D231,Data!$A:$B,2,0),"Revisar")</f>
        <v>Costos Operacionales</v>
      </c>
      <c r="H231" s="20" t="s">
        <v>24</v>
      </c>
      <c r="I231" s="157" t="str">
        <f t="array" ref="I231">_xlfn.XLOOKUP($H231,Data!$E:$E,Data!$F:$F,"Revisar",0)</f>
        <v>NA</v>
      </c>
      <c r="J231" s="157" t="str">
        <f t="array" ref="J231">_xlfn.XLOOKUP($H231,Data!$E:$E,Data!$G:$G,"Revisar",0)</f>
        <v>NA</v>
      </c>
      <c r="K231" s="20" t="s">
        <v>30</v>
      </c>
      <c r="L231" s="18">
        <v>8</v>
      </c>
      <c r="M231" s="20" t="s">
        <v>527</v>
      </c>
      <c r="N231" s="14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 ht="15" customHeight="1" x14ac:dyDescent="0.3">
      <c r="A232" s="13">
        <v>46248</v>
      </c>
      <c r="B232" s="14" t="s">
        <v>338</v>
      </c>
      <c r="C232" s="15">
        <v>-7598.28</v>
      </c>
      <c r="D232" s="17" t="s">
        <v>339</v>
      </c>
      <c r="E232" s="14" t="s">
        <v>338</v>
      </c>
      <c r="F232" s="18">
        <v>8</v>
      </c>
      <c r="G232" s="12" t="str">
        <f>IFERROR(VLOOKUP(D232,Data!$A:$B,2,0),"Revisar")</f>
        <v>Gastos Variables</v>
      </c>
      <c r="H232" s="20" t="s">
        <v>24</v>
      </c>
      <c r="I232" s="157" t="str">
        <f t="array" ref="I232">_xlfn.XLOOKUP($H232,Data!$E:$E,Data!$F:$F,"Revisar",0)</f>
        <v>NA</v>
      </c>
      <c r="J232" s="157" t="str">
        <f t="array" ref="J232">_xlfn.XLOOKUP($H232,Data!$E:$E,Data!$G:$G,"Revisar",0)</f>
        <v>NA</v>
      </c>
      <c r="K232" s="20" t="s">
        <v>24</v>
      </c>
      <c r="L232" s="18">
        <v>8</v>
      </c>
      <c r="M232" s="20"/>
      <c r="N232" s="14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 ht="15" customHeight="1" x14ac:dyDescent="0.3">
      <c r="A233" s="13">
        <v>46248</v>
      </c>
      <c r="B233" s="14" t="s">
        <v>108</v>
      </c>
      <c r="C233" s="15">
        <v>-1717859</v>
      </c>
      <c r="D233" s="17" t="s">
        <v>138</v>
      </c>
      <c r="E233" s="14" t="s">
        <v>700</v>
      </c>
      <c r="F233" s="18">
        <v>8</v>
      </c>
      <c r="G233" s="12" t="str">
        <f>IFERROR(VLOOKUP(D233,Data!$A:$B,2,0),"Revisar")</f>
        <v>Costo Ventas</v>
      </c>
      <c r="H233" s="20" t="s">
        <v>248</v>
      </c>
      <c r="I233" s="157" t="str">
        <f t="array" ref="I233">_xlfn.XLOOKUP($H233,Data!$E:$E,Data!$F:$F,"Revisar",0)</f>
        <v>AXIS</v>
      </c>
      <c r="J233" s="157" t="str">
        <f t="array" ref="J233">_xlfn.XLOOKUP($H233,Data!$E:$E,Data!$G:$G,"Revisar",0)</f>
        <v>Produccion gomas</v>
      </c>
      <c r="K233" s="20" t="s">
        <v>143</v>
      </c>
      <c r="L233" s="18">
        <v>8</v>
      </c>
      <c r="M233" s="18" t="s">
        <v>523</v>
      </c>
      <c r="N233" s="14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 ht="15" customHeight="1" x14ac:dyDescent="0.3">
      <c r="A234" s="13">
        <v>46250</v>
      </c>
      <c r="B234" s="14" t="s">
        <v>31</v>
      </c>
      <c r="C234" s="15">
        <v>652.20000000000005</v>
      </c>
      <c r="D234" s="17" t="s">
        <v>32</v>
      </c>
      <c r="E234" s="14" t="s">
        <v>31</v>
      </c>
      <c r="F234" s="18">
        <v>8</v>
      </c>
      <c r="G234" s="12" t="str">
        <f>IFERROR(VLOOKUP(D234,Data!$A:$B,2,0),"Revisar")</f>
        <v>Gastos Variables</v>
      </c>
      <c r="H234" s="20" t="s">
        <v>24</v>
      </c>
      <c r="I234" s="157" t="str">
        <f t="array" ref="I234">_xlfn.XLOOKUP($H234,Data!$E:$E,Data!$F:$F,"Revisar",0)</f>
        <v>NA</v>
      </c>
      <c r="J234" s="157" t="str">
        <f t="array" ref="J234">_xlfn.XLOOKUP($H234,Data!$E:$E,Data!$G:$G,"Revisar",0)</f>
        <v>NA</v>
      </c>
      <c r="K234" s="20" t="s">
        <v>24</v>
      </c>
      <c r="L234" s="18">
        <v>8</v>
      </c>
      <c r="M234" s="20"/>
      <c r="N234" s="14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 ht="15" customHeight="1" x14ac:dyDescent="0.3">
      <c r="A235" s="13">
        <v>46251</v>
      </c>
      <c r="B235" s="14" t="s">
        <v>31</v>
      </c>
      <c r="C235" s="15">
        <v>215.64</v>
      </c>
      <c r="D235" s="17" t="s">
        <v>32</v>
      </c>
      <c r="E235" s="14" t="s">
        <v>31</v>
      </c>
      <c r="F235" s="18">
        <v>8</v>
      </c>
      <c r="G235" s="12" t="str">
        <f>IFERROR(VLOOKUP(D235,Data!$A:$B,2,0),"Revisar")</f>
        <v>Gastos Variables</v>
      </c>
      <c r="H235" s="20" t="s">
        <v>24</v>
      </c>
      <c r="I235" s="157" t="str">
        <f t="array" ref="I235">_xlfn.XLOOKUP($H235,Data!$E:$E,Data!$F:$F,"Revisar",0)</f>
        <v>NA</v>
      </c>
      <c r="J235" s="157" t="str">
        <f t="array" ref="J235">_xlfn.XLOOKUP($H235,Data!$E:$E,Data!$G:$G,"Revisar",0)</f>
        <v>NA</v>
      </c>
      <c r="K235" s="20" t="s">
        <v>24</v>
      </c>
      <c r="L235" s="18">
        <v>8</v>
      </c>
      <c r="M235" s="20"/>
      <c r="N235" s="14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 ht="15" customHeight="1" x14ac:dyDescent="0.3">
      <c r="A236" s="13">
        <v>46251</v>
      </c>
      <c r="B236" s="14" t="s">
        <v>701</v>
      </c>
      <c r="C236" s="15">
        <v>-641000</v>
      </c>
      <c r="D236" s="17" t="s">
        <v>138</v>
      </c>
      <c r="E236" s="14" t="s">
        <v>701</v>
      </c>
      <c r="F236" s="18">
        <v>8</v>
      </c>
      <c r="G236" s="12" t="str">
        <f>IFERROR(VLOOKUP(D236,Data!$A:$B,2,0),"Revisar")</f>
        <v>Costo Ventas</v>
      </c>
      <c r="H236" s="18" t="s">
        <v>259</v>
      </c>
      <c r="I236" s="157" t="str">
        <f t="array" ref="I236">_xlfn.XLOOKUP($H236,Data!$E:$E,Data!$F:$F,"Revisar",0)</f>
        <v>Commscope</v>
      </c>
      <c r="J236" s="157" t="str">
        <f t="array" ref="J236">_xlfn.XLOOKUP($H236,Data!$E:$E,Data!$G:$G,"Revisar",0)</f>
        <v>Maletas VIP</v>
      </c>
      <c r="K236" s="20" t="s">
        <v>143</v>
      </c>
      <c r="L236" s="18">
        <v>8</v>
      </c>
      <c r="M236" s="20" t="s">
        <v>532</v>
      </c>
      <c r="N236" s="14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 ht="15" customHeight="1" x14ac:dyDescent="0.3">
      <c r="A237" s="13">
        <v>46251</v>
      </c>
      <c r="B237" s="14" t="s">
        <v>338</v>
      </c>
      <c r="C237" s="15">
        <v>-2564</v>
      </c>
      <c r="D237" s="17" t="s">
        <v>339</v>
      </c>
      <c r="E237" s="14" t="s">
        <v>338</v>
      </c>
      <c r="F237" s="18">
        <v>8</v>
      </c>
      <c r="G237" s="12" t="str">
        <f>IFERROR(VLOOKUP(D237,Data!$A:$B,2,0),"Revisar")</f>
        <v>Gastos Variables</v>
      </c>
      <c r="H237" s="20" t="s">
        <v>24</v>
      </c>
      <c r="I237" s="157" t="str">
        <f t="array" ref="I237">_xlfn.XLOOKUP($H237,Data!$E:$E,Data!$F:$F,"Revisar",0)</f>
        <v>NA</v>
      </c>
      <c r="J237" s="157" t="str">
        <f t="array" ref="J237">_xlfn.XLOOKUP($H237,Data!$E:$E,Data!$G:$G,"Revisar",0)</f>
        <v>NA</v>
      </c>
      <c r="K237" s="20" t="s">
        <v>24</v>
      </c>
      <c r="L237" s="18">
        <v>8</v>
      </c>
      <c r="M237" s="20"/>
      <c r="N237" s="14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 ht="15" customHeight="1" x14ac:dyDescent="0.3">
      <c r="A238" s="13">
        <v>46252</v>
      </c>
      <c r="B238" s="14" t="s">
        <v>31</v>
      </c>
      <c r="C238" s="15">
        <v>202.89</v>
      </c>
      <c r="D238" s="17" t="s">
        <v>32</v>
      </c>
      <c r="E238" s="14" t="s">
        <v>31</v>
      </c>
      <c r="F238" s="18">
        <v>8</v>
      </c>
      <c r="G238" s="12" t="str">
        <f>IFERROR(VLOOKUP(D238,Data!$A:$B,2,0),"Revisar")</f>
        <v>Gastos Variables</v>
      </c>
      <c r="H238" s="20" t="s">
        <v>24</v>
      </c>
      <c r="I238" s="157" t="str">
        <f t="array" ref="I238">_xlfn.XLOOKUP($H238,Data!$E:$E,Data!$F:$F,"Revisar",0)</f>
        <v>NA</v>
      </c>
      <c r="J238" s="157" t="str">
        <f t="array" ref="J238">_xlfn.XLOOKUP($H238,Data!$E:$E,Data!$G:$G,"Revisar",0)</f>
        <v>NA</v>
      </c>
      <c r="K238" s="20" t="s">
        <v>24</v>
      </c>
      <c r="L238" s="18">
        <v>8</v>
      </c>
      <c r="M238" s="20"/>
      <c r="N238" s="14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 ht="15" customHeight="1" x14ac:dyDescent="0.3">
      <c r="A239" s="13">
        <v>46252</v>
      </c>
      <c r="B239" s="14" t="s">
        <v>702</v>
      </c>
      <c r="C239" s="15">
        <v>-66100</v>
      </c>
      <c r="D239" s="17" t="s">
        <v>70</v>
      </c>
      <c r="E239" s="14" t="s">
        <v>702</v>
      </c>
      <c r="F239" s="18">
        <v>8</v>
      </c>
      <c r="G239" s="12" t="str">
        <f>IFERROR(VLOOKUP(D239,Data!$A:$B,2,0),"Revisar")</f>
        <v>Costos Operacionales</v>
      </c>
      <c r="H239" s="20" t="s">
        <v>24</v>
      </c>
      <c r="I239" s="157" t="str">
        <f t="array" ref="I239">_xlfn.XLOOKUP($H239,Data!$E:$E,Data!$F:$F,"Revisar",0)</f>
        <v>NA</v>
      </c>
      <c r="J239" s="157" t="str">
        <f t="array" ref="J239">_xlfn.XLOOKUP($H239,Data!$E:$E,Data!$G:$G,"Revisar",0)</f>
        <v>NA</v>
      </c>
      <c r="K239" s="20" t="s">
        <v>30</v>
      </c>
      <c r="L239" s="18">
        <v>8</v>
      </c>
      <c r="M239" s="20" t="s">
        <v>538</v>
      </c>
      <c r="N239" s="14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 ht="15" customHeight="1" x14ac:dyDescent="0.3">
      <c r="A240" s="13">
        <v>46252</v>
      </c>
      <c r="B240" s="14" t="s">
        <v>338</v>
      </c>
      <c r="C240" s="15">
        <v>-18542.599999999999</v>
      </c>
      <c r="D240" s="17" t="s">
        <v>339</v>
      </c>
      <c r="E240" s="14" t="s">
        <v>338</v>
      </c>
      <c r="F240" s="18">
        <v>8</v>
      </c>
      <c r="G240" s="12" t="str">
        <f>IFERROR(VLOOKUP(D240,Data!$A:$B,2,0),"Revisar")</f>
        <v>Gastos Variables</v>
      </c>
      <c r="H240" s="20" t="s">
        <v>24</v>
      </c>
      <c r="I240" s="157" t="str">
        <f t="array" ref="I240">_xlfn.XLOOKUP($H240,Data!$E:$E,Data!$F:$F,"Revisar",0)</f>
        <v>NA</v>
      </c>
      <c r="J240" s="157" t="str">
        <f t="array" ref="J240">_xlfn.XLOOKUP($H240,Data!$E:$E,Data!$G:$G,"Revisar",0)</f>
        <v>NA</v>
      </c>
      <c r="K240" s="20" t="s">
        <v>24</v>
      </c>
      <c r="L240" s="18">
        <v>8</v>
      </c>
      <c r="M240" s="20"/>
      <c r="N240" s="14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 ht="15" customHeight="1" x14ac:dyDescent="0.3">
      <c r="A241" s="13">
        <v>46252</v>
      </c>
      <c r="B241" s="14" t="s">
        <v>108</v>
      </c>
      <c r="C241" s="15">
        <v>-4569552</v>
      </c>
      <c r="D241" s="17" t="s">
        <v>138</v>
      </c>
      <c r="E241" s="14" t="s">
        <v>703</v>
      </c>
      <c r="F241" s="18">
        <v>8</v>
      </c>
      <c r="G241" s="12" t="str">
        <f>IFERROR(VLOOKUP(D241,Data!$A:$B,2,0),"Revisar")</f>
        <v>Costo Ventas</v>
      </c>
      <c r="H241" s="20" t="s">
        <v>203</v>
      </c>
      <c r="I241" s="157" t="str">
        <f t="array" ref="I241">_xlfn.XLOOKUP($H241,Data!$E:$E,Data!$F:$F,"Revisar",0)</f>
        <v>AXIS</v>
      </c>
      <c r="J241" s="157" t="str">
        <f t="array" ref="J241">_xlfn.XLOOKUP($H241,Data!$E:$E,Data!$G:$G,"Revisar",0)</f>
        <v>Merch y transporte para Cena feria de seguridad</v>
      </c>
      <c r="K241" s="20" t="s">
        <v>143</v>
      </c>
      <c r="L241" s="18">
        <v>8</v>
      </c>
      <c r="M241" s="20" t="s">
        <v>545</v>
      </c>
      <c r="N241" s="14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 ht="15" customHeight="1" x14ac:dyDescent="0.3">
      <c r="A242" s="13">
        <v>46253</v>
      </c>
      <c r="B242" s="14" t="s">
        <v>89</v>
      </c>
      <c r="C242" s="15">
        <v>-1442.1</v>
      </c>
      <c r="D242" s="17" t="s">
        <v>90</v>
      </c>
      <c r="E242" s="14" t="s">
        <v>89</v>
      </c>
      <c r="F242" s="18">
        <v>8</v>
      </c>
      <c r="G242" s="12" t="str">
        <f>IFERROR(VLOOKUP(D242,Data!$A:$B,2,0),"Revisar")</f>
        <v>Imp x Pagar - IVA</v>
      </c>
      <c r="H242" s="20" t="s">
        <v>24</v>
      </c>
      <c r="I242" s="157" t="str">
        <f t="array" ref="I242">_xlfn.XLOOKUP($H242,Data!$E:$E,Data!$F:$F,"Revisar",0)</f>
        <v>NA</v>
      </c>
      <c r="J242" s="157" t="str">
        <f t="array" ref="J242">_xlfn.XLOOKUP($H242,Data!$E:$E,Data!$G:$G,"Revisar",0)</f>
        <v>NA</v>
      </c>
      <c r="K242" s="20" t="s">
        <v>24</v>
      </c>
      <c r="L242" s="18">
        <v>8</v>
      </c>
      <c r="M242" s="20"/>
      <c r="N242" s="14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 ht="15" customHeight="1" x14ac:dyDescent="0.3">
      <c r="A243" s="13">
        <v>46253</v>
      </c>
      <c r="B243" s="14" t="s">
        <v>338</v>
      </c>
      <c r="C243" s="15">
        <v>-74398.64</v>
      </c>
      <c r="D243" s="17" t="s">
        <v>339</v>
      </c>
      <c r="E243" s="14" t="s">
        <v>338</v>
      </c>
      <c r="F243" s="18">
        <v>8</v>
      </c>
      <c r="G243" s="12" t="str">
        <f>IFERROR(VLOOKUP(D243,Data!$A:$B,2,0),"Revisar")</f>
        <v>Gastos Variables</v>
      </c>
      <c r="H243" s="20" t="s">
        <v>24</v>
      </c>
      <c r="I243" s="157" t="str">
        <f t="array" ref="I243">_xlfn.XLOOKUP($H243,Data!$E:$E,Data!$F:$F,"Revisar",0)</f>
        <v>NA</v>
      </c>
      <c r="J243" s="157" t="str">
        <f t="array" ref="J243">_xlfn.XLOOKUP($H243,Data!$E:$E,Data!$G:$G,"Revisar",0)</f>
        <v>NA</v>
      </c>
      <c r="K243" s="20" t="s">
        <v>24</v>
      </c>
      <c r="L243" s="18">
        <v>8</v>
      </c>
      <c r="M243" s="20"/>
      <c r="N243" s="14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 ht="15" customHeight="1" x14ac:dyDescent="0.3">
      <c r="A244" s="13">
        <v>46253</v>
      </c>
      <c r="B244" s="14" t="s">
        <v>77</v>
      </c>
      <c r="C244" s="15">
        <v>-7590</v>
      </c>
      <c r="D244" s="17" t="s">
        <v>78</v>
      </c>
      <c r="E244" s="14" t="s">
        <v>77</v>
      </c>
      <c r="F244" s="18">
        <v>8</v>
      </c>
      <c r="G244" s="12" t="str">
        <f>IFERROR(VLOOKUP(D244,Data!$A:$B,2,0),"Revisar")</f>
        <v>Gastos Variables</v>
      </c>
      <c r="H244" s="20" t="s">
        <v>24</v>
      </c>
      <c r="I244" s="157" t="str">
        <f t="array" ref="I244">_xlfn.XLOOKUP($H244,Data!$E:$E,Data!$F:$F,"Revisar",0)</f>
        <v>NA</v>
      </c>
      <c r="J244" s="157" t="str">
        <f t="array" ref="J244">_xlfn.XLOOKUP($H244,Data!$E:$E,Data!$G:$G,"Revisar",0)</f>
        <v>NA</v>
      </c>
      <c r="K244" s="20" t="s">
        <v>24</v>
      </c>
      <c r="L244" s="18">
        <v>8</v>
      </c>
      <c r="M244" s="20"/>
      <c r="N244" s="14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 ht="15" customHeight="1" x14ac:dyDescent="0.3">
      <c r="A245" s="13">
        <v>46253</v>
      </c>
      <c r="B245" s="14" t="s">
        <v>108</v>
      </c>
      <c r="C245" s="15">
        <v>-15700089</v>
      </c>
      <c r="D245" s="17" t="s">
        <v>138</v>
      </c>
      <c r="E245" s="14" t="s">
        <v>705</v>
      </c>
      <c r="F245" s="18">
        <v>8</v>
      </c>
      <c r="G245" s="12" t="str">
        <f>IFERROR(VLOOKUP(D245,Data!$A:$B,2,0),"Revisar")</f>
        <v>Costo Ventas</v>
      </c>
      <c r="H245" s="20" t="s">
        <v>207</v>
      </c>
      <c r="I245" s="157" t="str">
        <f t="array" ref="I245">_xlfn.XLOOKUP($H245,Data!$E:$E,Data!$F:$F,"Revisar",0)</f>
        <v>ANIXTER</v>
      </c>
      <c r="J245" s="157" t="str">
        <f t="array" ref="J245">_xlfn.XLOOKUP($H245,Data!$E:$E,Data!$G:$G,"Revisar",0)</f>
        <v xml:space="preserve">Evento BoB Datacenter Day - Bogotá </v>
      </c>
      <c r="K245" s="20" t="s">
        <v>143</v>
      </c>
      <c r="L245" s="18">
        <v>8</v>
      </c>
      <c r="M245" s="163" t="s">
        <v>864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ht="15" customHeight="1" x14ac:dyDescent="0.3">
      <c r="A246" s="13">
        <v>46253</v>
      </c>
      <c r="B246" s="14" t="s">
        <v>108</v>
      </c>
      <c r="C246" s="15">
        <v>-2499541</v>
      </c>
      <c r="D246" s="17" t="s">
        <v>138</v>
      </c>
      <c r="E246" s="14" t="s">
        <v>711</v>
      </c>
      <c r="F246" s="18">
        <v>8</v>
      </c>
      <c r="G246" s="12" t="str">
        <f>IFERROR(VLOOKUP(D246,Data!$A:$B,2,0),"Revisar")</f>
        <v>Costo Ventas</v>
      </c>
      <c r="H246" s="20" t="s">
        <v>197</v>
      </c>
      <c r="I246" s="157" t="str">
        <f t="array" ref="I246">_xlfn.XLOOKUP($H246,Data!$E:$E,Data!$F:$F,"Revisar",0)</f>
        <v>AXIS</v>
      </c>
      <c r="J246" s="157" t="str">
        <f t="array" ref="J246">_xlfn.XLOOKUP($H246,Data!$E:$E,Data!$G:$G,"Revisar",0)</f>
        <v>Hoodies Challenge</v>
      </c>
      <c r="K246" s="20" t="s">
        <v>143</v>
      </c>
      <c r="L246" s="18">
        <v>8</v>
      </c>
      <c r="M246" s="20" t="s">
        <v>421</v>
      </c>
      <c r="N246" s="14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 ht="15" customHeight="1" x14ac:dyDescent="0.3">
      <c r="A247" s="13">
        <v>46253</v>
      </c>
      <c r="B247" s="14" t="s">
        <v>108</v>
      </c>
      <c r="C247" s="15">
        <v>-153000</v>
      </c>
      <c r="D247" s="17" t="s">
        <v>138</v>
      </c>
      <c r="E247" s="14" t="s">
        <v>719</v>
      </c>
      <c r="F247" s="18">
        <v>8</v>
      </c>
      <c r="G247" s="12" t="str">
        <f>IFERROR(VLOOKUP(D247,Data!$A:$B,2,0),"Revisar")</f>
        <v>Costo Ventas</v>
      </c>
      <c r="H247" s="20" t="s">
        <v>268</v>
      </c>
      <c r="I247" s="157" t="str">
        <f t="array" ref="I247">_xlfn.XLOOKUP($H247,Data!$E:$E,Data!$F:$F,"Revisar",0)</f>
        <v>ANIXTER</v>
      </c>
      <c r="J247" s="157" t="str">
        <f t="array" ref="J247">_xlfn.XLOOKUP($H247,Data!$E:$E,Data!$G:$G,"Revisar",0)</f>
        <v>Almuerzo Evento Corferias ESS+</v>
      </c>
      <c r="K247" s="20" t="s">
        <v>143</v>
      </c>
      <c r="L247" s="18">
        <v>8</v>
      </c>
      <c r="M247" s="20" t="s">
        <v>871</v>
      </c>
      <c r="N247" s="14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 ht="15" customHeight="1" x14ac:dyDescent="0.3">
      <c r="A248" s="13">
        <v>46253</v>
      </c>
      <c r="B248" s="14" t="s">
        <v>84</v>
      </c>
      <c r="C248" s="15">
        <v>-238000</v>
      </c>
      <c r="D248" s="17" t="s">
        <v>85</v>
      </c>
      <c r="E248" s="14" t="s">
        <v>723</v>
      </c>
      <c r="F248" s="18">
        <v>8</v>
      </c>
      <c r="G248" s="12" t="str">
        <f>IFERROR(VLOOKUP(D248,Data!$A:$B,2,0),"Revisar")</f>
        <v>Costos Operacionales</v>
      </c>
      <c r="H248" s="20" t="s">
        <v>24</v>
      </c>
      <c r="I248" s="157" t="str">
        <f t="array" ref="I248">_xlfn.XLOOKUP($H248,Data!$E:$E,Data!$F:$F,"Revisar",0)</f>
        <v>NA</v>
      </c>
      <c r="J248" s="157" t="str">
        <f t="array" ref="J248">_xlfn.XLOOKUP($H248,Data!$E:$E,Data!$G:$G,"Revisar",0)</f>
        <v>NA</v>
      </c>
      <c r="K248" s="20" t="s">
        <v>24</v>
      </c>
      <c r="L248" s="18">
        <v>8</v>
      </c>
      <c r="M248" s="20" t="s">
        <v>418</v>
      </c>
      <c r="N248" s="14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 ht="15" customHeight="1" x14ac:dyDescent="0.3">
      <c r="A249" s="13">
        <v>46254</v>
      </c>
      <c r="B249" s="14" t="s">
        <v>84</v>
      </c>
      <c r="C249" s="15">
        <v>-1000000</v>
      </c>
      <c r="D249" s="17" t="s">
        <v>138</v>
      </c>
      <c r="E249" s="14" t="s">
        <v>726</v>
      </c>
      <c r="F249" s="18">
        <v>8</v>
      </c>
      <c r="G249" s="12" t="str">
        <f>IFERROR(VLOOKUP(D249,Data!$A:$B,2,0),"Revisar")</f>
        <v>Costo Ventas</v>
      </c>
      <c r="H249" s="20" t="s">
        <v>203</v>
      </c>
      <c r="I249" s="157" t="str">
        <f t="array" ref="I249">_xlfn.XLOOKUP($H249,Data!$E:$E,Data!$F:$F,"Revisar",0)</f>
        <v>AXIS</v>
      </c>
      <c r="J249" s="157" t="str">
        <f t="array" ref="J249">_xlfn.XLOOKUP($H249,Data!$E:$E,Data!$G:$G,"Revisar",0)</f>
        <v>Merch y transporte para Cena feria de seguridad</v>
      </c>
      <c r="K249" s="20" t="s">
        <v>143</v>
      </c>
      <c r="L249" s="18">
        <v>8</v>
      </c>
      <c r="M249" s="18" t="s">
        <v>542</v>
      </c>
      <c r="N249" s="14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 ht="15" customHeight="1" x14ac:dyDescent="0.3">
      <c r="A250" s="13">
        <v>46254</v>
      </c>
      <c r="B250" s="14" t="s">
        <v>77</v>
      </c>
      <c r="C250" s="15">
        <v>-7590</v>
      </c>
      <c r="D250" s="17" t="s">
        <v>78</v>
      </c>
      <c r="E250" s="14" t="s">
        <v>77</v>
      </c>
      <c r="F250" s="18">
        <v>8</v>
      </c>
      <c r="G250" s="12" t="str">
        <f>IFERROR(VLOOKUP(D250,Data!$A:$B,2,0),"Revisar")</f>
        <v>Gastos Variables</v>
      </c>
      <c r="H250" s="20" t="s">
        <v>24</v>
      </c>
      <c r="I250" s="157" t="str">
        <f t="array" ref="I250">_xlfn.XLOOKUP($H250,Data!$E:$E,Data!$F:$F,"Revisar",0)</f>
        <v>NA</v>
      </c>
      <c r="J250" s="157" t="str">
        <f t="array" ref="J250">_xlfn.XLOOKUP($H250,Data!$E:$E,Data!$G:$G,"Revisar",0)</f>
        <v>NA</v>
      </c>
      <c r="K250" s="20" t="s">
        <v>24</v>
      </c>
      <c r="L250" s="18">
        <v>8</v>
      </c>
      <c r="M250" s="20"/>
      <c r="N250" s="14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 ht="15" customHeight="1" x14ac:dyDescent="0.3">
      <c r="A251" s="147">
        <v>46253</v>
      </c>
      <c r="B251" s="14" t="s">
        <v>31</v>
      </c>
      <c r="C251" s="15">
        <v>151.72999999999999</v>
      </c>
      <c r="D251" s="17" t="s">
        <v>32</v>
      </c>
      <c r="E251" s="14" t="s">
        <v>31</v>
      </c>
      <c r="F251" s="18">
        <v>8</v>
      </c>
      <c r="G251" s="12" t="str">
        <f>IFERROR(VLOOKUP(D251,Data!$A:$B,2,0),"Revisar")</f>
        <v>Gastos Variables</v>
      </c>
      <c r="H251" s="20" t="s">
        <v>24</v>
      </c>
      <c r="I251" s="157" t="str">
        <f t="array" ref="I251">_xlfn.XLOOKUP($H251,Data!$E:$E,Data!$F:$F,"Revisar",0)</f>
        <v>NA</v>
      </c>
      <c r="J251" s="157" t="str">
        <f t="array" ref="J251">_xlfn.XLOOKUP($H251,Data!$E:$E,Data!$G:$G,"Revisar",0)</f>
        <v>NA</v>
      </c>
      <c r="K251" s="20" t="s">
        <v>24</v>
      </c>
      <c r="L251" s="18">
        <v>8</v>
      </c>
      <c r="M251" s="20"/>
      <c r="N251" s="14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 ht="15" customHeight="1" x14ac:dyDescent="0.3">
      <c r="A252" s="147">
        <v>46254</v>
      </c>
      <c r="B252" s="14" t="s">
        <v>89</v>
      </c>
      <c r="C252" s="15">
        <v>-1442.1</v>
      </c>
      <c r="D252" s="17" t="s">
        <v>90</v>
      </c>
      <c r="E252" s="14" t="s">
        <v>89</v>
      </c>
      <c r="F252" s="18">
        <v>8</v>
      </c>
      <c r="G252" s="12" t="str">
        <f>IFERROR(VLOOKUP(D252,Data!$A:$B,2,0),"Revisar")</f>
        <v>Imp x Pagar - IVA</v>
      </c>
      <c r="H252" s="20" t="s">
        <v>24</v>
      </c>
      <c r="I252" s="157" t="str">
        <f t="array" ref="I252">_xlfn.XLOOKUP($H252,Data!$E:$E,Data!$F:$F,"Revisar",0)</f>
        <v>NA</v>
      </c>
      <c r="J252" s="157" t="str">
        <f t="array" ref="J252">_xlfn.XLOOKUP($H252,Data!$E:$E,Data!$G:$G,"Revisar",0)</f>
        <v>NA</v>
      </c>
      <c r="K252" s="20" t="s">
        <v>24</v>
      </c>
      <c r="L252" s="18">
        <v>8</v>
      </c>
      <c r="M252" s="20"/>
      <c r="N252" s="14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 ht="15" customHeight="1" x14ac:dyDescent="0.3">
      <c r="A253" s="147">
        <v>46254</v>
      </c>
      <c r="B253" s="14" t="s">
        <v>338</v>
      </c>
      <c r="C253" s="15">
        <v>-4036.12</v>
      </c>
      <c r="D253" s="17" t="s">
        <v>339</v>
      </c>
      <c r="E253" s="14" t="s">
        <v>338</v>
      </c>
      <c r="F253" s="18">
        <v>8</v>
      </c>
      <c r="G253" s="12" t="str">
        <f>IFERROR(VLOOKUP(D253,Data!$A:$B,2,0),"Revisar")</f>
        <v>Gastos Variables</v>
      </c>
      <c r="H253" s="20" t="s">
        <v>24</v>
      </c>
      <c r="I253" s="157" t="str">
        <f t="array" ref="I253">_xlfn.XLOOKUP($H253,Data!$E:$E,Data!$F:$F,"Revisar",0)</f>
        <v>NA</v>
      </c>
      <c r="J253" s="157" t="str">
        <f t="array" ref="J253">_xlfn.XLOOKUP($H253,Data!$E:$E,Data!$G:$G,"Revisar",0)</f>
        <v>NA</v>
      </c>
      <c r="K253" s="20" t="s">
        <v>24</v>
      </c>
      <c r="L253" s="18">
        <v>8</v>
      </c>
      <c r="M253" s="20"/>
      <c r="N253" s="14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 ht="15" customHeight="1" x14ac:dyDescent="0.3">
      <c r="A254" s="147">
        <v>46254</v>
      </c>
      <c r="B254" s="14" t="s">
        <v>765</v>
      </c>
      <c r="C254" s="15">
        <v>4715690</v>
      </c>
      <c r="D254" s="17" t="s">
        <v>188</v>
      </c>
      <c r="E254" s="14" t="s">
        <v>765</v>
      </c>
      <c r="F254" s="18">
        <v>8</v>
      </c>
      <c r="G254" s="12" t="str">
        <f>IFERROR(VLOOKUP(D254,Data!$A:$B,2,0),"Revisar")</f>
        <v>Ingresos</v>
      </c>
      <c r="H254" s="20" t="s">
        <v>225</v>
      </c>
      <c r="I254" s="157" t="str">
        <f t="array" ref="I254">_xlfn.XLOOKUP($H254,Data!$E:$E,Data!$F:$F,"Revisar",0)</f>
        <v>Commscope</v>
      </c>
      <c r="J254" s="157" t="str">
        <f t="array" ref="J254">_xlfn.XLOOKUP($H254,Data!$E:$E,Data!$G:$G,"Revisar",0)</f>
        <v>Regalos Cartagena</v>
      </c>
      <c r="K254" s="20" t="s">
        <v>143</v>
      </c>
      <c r="L254" s="18">
        <v>8</v>
      </c>
      <c r="M254" s="20" t="s">
        <v>224</v>
      </c>
      <c r="N254" s="14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 ht="15" customHeight="1" x14ac:dyDescent="0.3">
      <c r="A255" s="147">
        <v>46257</v>
      </c>
      <c r="B255" s="14" t="s">
        <v>31</v>
      </c>
      <c r="C255" s="15">
        <v>647.48</v>
      </c>
      <c r="D255" s="17" t="s">
        <v>32</v>
      </c>
      <c r="E255" s="14" t="s">
        <v>31</v>
      </c>
      <c r="F255" s="18">
        <v>8</v>
      </c>
      <c r="G255" s="12" t="str">
        <f>IFERROR(VLOOKUP(D255,Data!$A:$B,2,0),"Revisar")</f>
        <v>Gastos Variables</v>
      </c>
      <c r="H255" s="20" t="s">
        <v>24</v>
      </c>
      <c r="I255" s="157" t="str">
        <f t="array" ref="I255">_xlfn.XLOOKUP($H255,Data!$E:$E,Data!$F:$F,"Revisar",0)</f>
        <v>NA</v>
      </c>
      <c r="J255" s="157" t="str">
        <f t="array" ref="J255">_xlfn.XLOOKUP($H255,Data!$E:$E,Data!$G:$G,"Revisar",0)</f>
        <v>NA</v>
      </c>
      <c r="K255" s="20" t="s">
        <v>24</v>
      </c>
      <c r="L255" s="18">
        <v>8</v>
      </c>
      <c r="M255" s="20"/>
      <c r="N255" s="14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 ht="15" customHeight="1" x14ac:dyDescent="0.3">
      <c r="A256" s="147">
        <v>46258</v>
      </c>
      <c r="B256" s="14" t="s">
        <v>781</v>
      </c>
      <c r="C256" s="15">
        <v>-539201</v>
      </c>
      <c r="D256" s="17" t="s">
        <v>138</v>
      </c>
      <c r="E256" s="14" t="s">
        <v>781</v>
      </c>
      <c r="F256" s="18">
        <v>8</v>
      </c>
      <c r="G256" s="12" t="str">
        <f>IFERROR(VLOOKUP(D256,Data!$A:$B,2,0),"Revisar")</f>
        <v>Costo Ventas</v>
      </c>
      <c r="H256" s="20" t="s">
        <v>274</v>
      </c>
      <c r="I256" s="157" t="str">
        <f t="array" ref="I256">_xlfn.XLOOKUP($H256,Data!$E:$E,Data!$F:$F,"Revisar",0)</f>
        <v>AXIS</v>
      </c>
      <c r="J256" s="157" t="str">
        <f t="array" ref="J256">_xlfn.XLOOKUP($H256,Data!$E:$E,Data!$G:$G,"Revisar",0)</f>
        <v>Catering ESS</v>
      </c>
      <c r="K256" s="20" t="s">
        <v>143</v>
      </c>
      <c r="L256" s="18">
        <v>8</v>
      </c>
      <c r="M256" s="18" t="s">
        <v>571</v>
      </c>
      <c r="N256" s="14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 ht="15" customHeight="1" x14ac:dyDescent="0.3">
      <c r="A257" s="147">
        <v>46258</v>
      </c>
      <c r="B257" s="14" t="s">
        <v>338</v>
      </c>
      <c r="C257" s="15">
        <v>-2156.8000000000002</v>
      </c>
      <c r="D257" s="17" t="s">
        <v>339</v>
      </c>
      <c r="E257" s="14" t="s">
        <v>338</v>
      </c>
      <c r="F257" s="18">
        <v>8</v>
      </c>
      <c r="G257" s="12" t="str">
        <f>IFERROR(VLOOKUP(D257,Data!$A:$B,2,0),"Revisar")</f>
        <v>Gastos Variables</v>
      </c>
      <c r="H257" s="20" t="s">
        <v>24</v>
      </c>
      <c r="I257" s="157" t="str">
        <f t="array" ref="I257">_xlfn.XLOOKUP($H257,Data!$E:$E,Data!$F:$F,"Revisar",0)</f>
        <v>NA</v>
      </c>
      <c r="J257" s="157" t="str">
        <f t="array" ref="J257">_xlfn.XLOOKUP($H257,Data!$E:$E,Data!$G:$G,"Revisar",0)</f>
        <v>NA</v>
      </c>
      <c r="K257" s="20" t="s">
        <v>24</v>
      </c>
      <c r="L257" s="18">
        <v>8</v>
      </c>
      <c r="M257" s="20"/>
      <c r="N257" s="14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 ht="15" customHeight="1" x14ac:dyDescent="0.3">
      <c r="A258" s="147">
        <v>46259</v>
      </c>
      <c r="B258" s="14" t="s">
        <v>31</v>
      </c>
      <c r="C258" s="15">
        <v>320.77999999999997</v>
      </c>
      <c r="D258" s="17" t="s">
        <v>32</v>
      </c>
      <c r="E258" s="14" t="s">
        <v>31</v>
      </c>
      <c r="F258" s="18">
        <v>8</v>
      </c>
      <c r="G258" s="12" t="str">
        <f>IFERROR(VLOOKUP(D258,Data!$A:$B,2,0),"Revisar")</f>
        <v>Gastos Variables</v>
      </c>
      <c r="H258" s="20" t="s">
        <v>24</v>
      </c>
      <c r="I258" s="157" t="str">
        <f t="array" ref="I258">_xlfn.XLOOKUP($H258,Data!$E:$E,Data!$F:$F,"Revisar",0)</f>
        <v>NA</v>
      </c>
      <c r="J258" s="157" t="str">
        <f t="array" ref="J258">_xlfn.XLOOKUP($H258,Data!$E:$E,Data!$G:$G,"Revisar",0)</f>
        <v>NA</v>
      </c>
      <c r="K258" s="20" t="s">
        <v>24</v>
      </c>
      <c r="L258" s="18">
        <v>8</v>
      </c>
      <c r="M258" s="20"/>
      <c r="N258" s="14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 ht="15" customHeight="1" x14ac:dyDescent="0.3">
      <c r="A259" s="147">
        <v>46260</v>
      </c>
      <c r="B259" s="14" t="s">
        <v>31</v>
      </c>
      <c r="C259" s="15">
        <v>158.16</v>
      </c>
      <c r="D259" s="17" t="s">
        <v>32</v>
      </c>
      <c r="E259" s="14" t="s">
        <v>31</v>
      </c>
      <c r="F259" s="18">
        <v>8</v>
      </c>
      <c r="G259" s="12" t="str">
        <f>IFERROR(VLOOKUP(D259,Data!$A:$B,2,0),"Revisar")</f>
        <v>Gastos Variables</v>
      </c>
      <c r="H259" s="20" t="s">
        <v>24</v>
      </c>
      <c r="I259" s="157" t="str">
        <f t="array" ref="I259">_xlfn.XLOOKUP($H259,Data!$E:$E,Data!$F:$F,"Revisar",0)</f>
        <v>NA</v>
      </c>
      <c r="J259" s="157" t="str">
        <f t="array" ref="J259">_xlfn.XLOOKUP($H259,Data!$E:$E,Data!$G:$G,"Revisar",0)</f>
        <v>NA</v>
      </c>
      <c r="K259" s="20" t="s">
        <v>24</v>
      </c>
      <c r="L259" s="18">
        <v>8</v>
      </c>
      <c r="M259" s="20"/>
      <c r="N259" s="14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 ht="15" customHeight="1" x14ac:dyDescent="0.3">
      <c r="A260" s="147">
        <v>46260</v>
      </c>
      <c r="B260" s="14" t="s">
        <v>800</v>
      </c>
      <c r="C260" s="15">
        <v>-35000</v>
      </c>
      <c r="D260" s="17" t="s">
        <v>138</v>
      </c>
      <c r="E260" s="14" t="s">
        <v>800</v>
      </c>
      <c r="F260" s="18">
        <v>8</v>
      </c>
      <c r="G260" s="12" t="str">
        <f>IFERROR(VLOOKUP(D260,Data!$A:$B,2,0),"Revisar")</f>
        <v>Costo Ventas</v>
      </c>
      <c r="H260" s="20" t="s">
        <v>274</v>
      </c>
      <c r="I260" s="157" t="str">
        <f t="array" ref="I260">_xlfn.XLOOKUP($H260,Data!$E:$E,Data!$F:$F,"Revisar",0)</f>
        <v>AXIS</v>
      </c>
      <c r="J260" s="157" t="str">
        <f t="array" ref="J260">_xlfn.XLOOKUP($H260,Data!$E:$E,Data!$G:$G,"Revisar",0)</f>
        <v>Catering ESS</v>
      </c>
      <c r="K260" s="20" t="s">
        <v>30</v>
      </c>
      <c r="L260" s="18">
        <v>8</v>
      </c>
      <c r="M260" s="161"/>
      <c r="N260" s="14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ht="15" customHeight="1" x14ac:dyDescent="0.3">
      <c r="A261" s="147">
        <v>46260</v>
      </c>
      <c r="B261" s="14" t="s">
        <v>800</v>
      </c>
      <c r="C261" s="15">
        <v>-29200</v>
      </c>
      <c r="D261" s="17" t="s">
        <v>138</v>
      </c>
      <c r="E261" s="14" t="s">
        <v>800</v>
      </c>
      <c r="F261" s="18">
        <v>8</v>
      </c>
      <c r="G261" s="12" t="str">
        <f>IFERROR(VLOOKUP(D261,Data!$A:$B,2,0),"Revisar")</f>
        <v>Costo Ventas</v>
      </c>
      <c r="H261" s="20" t="s">
        <v>274</v>
      </c>
      <c r="I261" s="157" t="str">
        <f t="array" ref="I261">_xlfn.XLOOKUP($H261,Data!$E:$E,Data!$F:$F,"Revisar",0)</f>
        <v>AXIS</v>
      </c>
      <c r="J261" s="157" t="str">
        <f t="array" ref="J261">_xlfn.XLOOKUP($H261,Data!$E:$E,Data!$G:$G,"Revisar",0)</f>
        <v>Catering ESS</v>
      </c>
      <c r="K261" s="20" t="s">
        <v>30</v>
      </c>
      <c r="L261" s="18">
        <v>8</v>
      </c>
      <c r="M261" s="161"/>
      <c r="N261" s="14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 ht="15" customHeight="1" x14ac:dyDescent="0.3">
      <c r="A262" s="147">
        <v>46260</v>
      </c>
      <c r="B262" s="14" t="s">
        <v>807</v>
      </c>
      <c r="C262" s="15">
        <v>-9600</v>
      </c>
      <c r="D262" s="17" t="s">
        <v>138</v>
      </c>
      <c r="E262" s="14" t="s">
        <v>807</v>
      </c>
      <c r="F262" s="18">
        <v>8</v>
      </c>
      <c r="G262" s="12" t="str">
        <f>IFERROR(VLOOKUP(D262,Data!$A:$B,2,0),"Revisar")</f>
        <v>Costo Ventas</v>
      </c>
      <c r="H262" s="18" t="s">
        <v>274</v>
      </c>
      <c r="I262" s="157" t="str">
        <f t="array" ref="I262">_xlfn.XLOOKUP($H262,Data!$E:$E,Data!$F:$F,"Revisar",0)</f>
        <v>AXIS</v>
      </c>
      <c r="J262" s="157" t="str">
        <f t="array" ref="J262">_xlfn.XLOOKUP($H262,Data!$E:$E,Data!$G:$G,"Revisar",0)</f>
        <v>Catering ESS</v>
      </c>
      <c r="K262" s="20" t="s">
        <v>143</v>
      </c>
      <c r="L262" s="18">
        <v>8</v>
      </c>
      <c r="M262" s="20" t="s">
        <v>560</v>
      </c>
      <c r="N262" s="14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 ht="15" customHeight="1" x14ac:dyDescent="0.3">
      <c r="A263" s="147">
        <v>46260</v>
      </c>
      <c r="B263" s="14" t="s">
        <v>810</v>
      </c>
      <c r="C263" s="15">
        <v>-198300</v>
      </c>
      <c r="D263" s="17" t="s">
        <v>138</v>
      </c>
      <c r="E263" s="14" t="s">
        <v>810</v>
      </c>
      <c r="F263" s="18">
        <v>8</v>
      </c>
      <c r="G263" s="12" t="str">
        <f>IFERROR(VLOOKUP(D263,Data!$A:$B,2,0),"Revisar")</f>
        <v>Costo Ventas</v>
      </c>
      <c r="H263" s="20" t="s">
        <v>294</v>
      </c>
      <c r="I263" s="157" t="str">
        <f t="array" ref="I263">_xlfn.XLOOKUP($H263,Data!$E:$E,Data!$F:$F,"Revisar",0)</f>
        <v>AXIS</v>
      </c>
      <c r="J263" s="157" t="str">
        <f t="array" ref="J263">_xlfn.XLOOKUP($H263,Data!$E:$E,Data!$G:$G,"Revisar",0)</f>
        <v>Adicionales Mezanine ESS+</v>
      </c>
      <c r="K263" s="20" t="s">
        <v>30</v>
      </c>
      <c r="L263" s="18">
        <v>8</v>
      </c>
      <c r="M263" s="28" t="s">
        <v>575</v>
      </c>
      <c r="N263" s="14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 ht="15" customHeight="1" x14ac:dyDescent="0.3">
      <c r="A264" s="147">
        <v>46260</v>
      </c>
      <c r="B264" s="14" t="s">
        <v>338</v>
      </c>
      <c r="C264" s="15">
        <v>-3248.4</v>
      </c>
      <c r="D264" s="17" t="s">
        <v>339</v>
      </c>
      <c r="E264" s="14" t="s">
        <v>338</v>
      </c>
      <c r="F264" s="18">
        <v>8</v>
      </c>
      <c r="G264" s="12" t="str">
        <f>IFERROR(VLOOKUP(D264,Data!$A:$B,2,0),"Revisar")</f>
        <v>Gastos Variables</v>
      </c>
      <c r="H264" s="20" t="s">
        <v>24</v>
      </c>
      <c r="I264" s="157" t="str">
        <f t="array" ref="I264">_xlfn.XLOOKUP($H264,Data!$E:$E,Data!$F:$F,"Revisar",0)</f>
        <v>NA</v>
      </c>
      <c r="J264" s="157" t="str">
        <f t="array" ref="J264">_xlfn.XLOOKUP($H264,Data!$E:$E,Data!$G:$G,"Revisar",0)</f>
        <v>NA</v>
      </c>
      <c r="K264" s="20" t="s">
        <v>24</v>
      </c>
      <c r="L264" s="18">
        <v>8</v>
      </c>
      <c r="M264" s="20"/>
      <c r="N264" s="14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 ht="15" customHeight="1" x14ac:dyDescent="0.3">
      <c r="A265" s="147">
        <v>46260</v>
      </c>
      <c r="B265" s="14" t="s">
        <v>108</v>
      </c>
      <c r="C265" s="15">
        <v>-540000</v>
      </c>
      <c r="D265" s="17" t="s">
        <v>138</v>
      </c>
      <c r="E265" s="14" t="s">
        <v>839</v>
      </c>
      <c r="F265" s="18">
        <v>8</v>
      </c>
      <c r="G265" s="12" t="str">
        <f>IFERROR(VLOOKUP(D265,Data!$A:$B,2,0),"Revisar")</f>
        <v>Costo Ventas</v>
      </c>
      <c r="H265" s="20" t="s">
        <v>294</v>
      </c>
      <c r="I265" s="157" t="str">
        <f t="array" ref="I265">_xlfn.XLOOKUP($H265,Data!$E:$E,Data!$F:$F,"Revisar",0)</f>
        <v>AXIS</v>
      </c>
      <c r="J265" s="157" t="str">
        <f t="array" ref="J265">_xlfn.XLOOKUP($H265,Data!$E:$E,Data!$G:$G,"Revisar",0)</f>
        <v>Adicionales Mezanine ESS+</v>
      </c>
      <c r="K265" s="20" t="s">
        <v>143</v>
      </c>
      <c r="L265" s="18">
        <v>8</v>
      </c>
      <c r="M265" s="161"/>
      <c r="N265" s="14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 ht="15" customHeight="1" x14ac:dyDescent="0.3">
      <c r="A266" s="147">
        <v>46261</v>
      </c>
      <c r="B266" s="14" t="s">
        <v>31</v>
      </c>
      <c r="C266" s="15">
        <v>157.21</v>
      </c>
      <c r="D266" s="17" t="s">
        <v>32</v>
      </c>
      <c r="E266" s="14" t="s">
        <v>31</v>
      </c>
      <c r="F266" s="18">
        <v>8</v>
      </c>
      <c r="G266" s="12" t="str">
        <f>IFERROR(VLOOKUP(D266,Data!$A:$B,2,0),"Revisar")</f>
        <v>Gastos Variables</v>
      </c>
      <c r="H266" s="20" t="s">
        <v>24</v>
      </c>
      <c r="I266" s="157" t="str">
        <f t="array" ref="I266">_xlfn.XLOOKUP($H266,Data!$E:$E,Data!$F:$F,"Revisar",0)</f>
        <v>NA</v>
      </c>
      <c r="J266" s="157" t="str">
        <f t="array" ref="J266">_xlfn.XLOOKUP($H266,Data!$E:$E,Data!$G:$G,"Revisar",0)</f>
        <v>NA</v>
      </c>
      <c r="K266" s="20" t="s">
        <v>24</v>
      </c>
      <c r="L266" s="18">
        <v>8</v>
      </c>
      <c r="M266" s="20"/>
      <c r="N266" s="14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 ht="15" customHeight="1" x14ac:dyDescent="0.3">
      <c r="A267" s="147">
        <v>46261</v>
      </c>
      <c r="B267" s="14" t="s">
        <v>814</v>
      </c>
      <c r="C267" s="15">
        <v>-101611</v>
      </c>
      <c r="D267" s="17" t="s">
        <v>138</v>
      </c>
      <c r="E267" s="14" t="s">
        <v>814</v>
      </c>
      <c r="F267" s="18">
        <v>8</v>
      </c>
      <c r="G267" s="12" t="str">
        <f>IFERROR(VLOOKUP(D267,Data!$A:$B,2,0),"Revisar")</f>
        <v>Costo Ventas</v>
      </c>
      <c r="H267" s="20" t="s">
        <v>203</v>
      </c>
      <c r="I267" s="157" t="str">
        <f t="array" ref="I267">_xlfn.XLOOKUP($H267,Data!$E:$E,Data!$F:$F,"Revisar",0)</f>
        <v>AXIS</v>
      </c>
      <c r="J267" s="157" t="str">
        <f t="array" ref="J267">_xlfn.XLOOKUP($H267,Data!$E:$E,Data!$G:$G,"Revisar",0)</f>
        <v>Merch y transporte para Cena feria de seguridad</v>
      </c>
      <c r="K267" s="20" t="s">
        <v>30</v>
      </c>
      <c r="L267" s="18">
        <v>8</v>
      </c>
      <c r="M267" s="161"/>
      <c r="N267" s="14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 ht="15" customHeight="1" x14ac:dyDescent="0.3">
      <c r="A268" s="147">
        <v>46261</v>
      </c>
      <c r="B268" s="14" t="s">
        <v>800</v>
      </c>
      <c r="C268" s="15">
        <v>-35000</v>
      </c>
      <c r="D268" s="17" t="s">
        <v>138</v>
      </c>
      <c r="E268" s="14" t="s">
        <v>800</v>
      </c>
      <c r="F268" s="18">
        <v>8</v>
      </c>
      <c r="G268" s="12" t="str">
        <f>IFERROR(VLOOKUP(D268,Data!$A:$B,2,0),"Revisar")</f>
        <v>Costo Ventas</v>
      </c>
      <c r="H268" s="20" t="s">
        <v>274</v>
      </c>
      <c r="I268" s="157" t="str">
        <f t="array" ref="I268">_xlfn.XLOOKUP($H268,Data!$E:$E,Data!$F:$F,"Revisar",0)</f>
        <v>AXIS</v>
      </c>
      <c r="J268" s="157" t="str">
        <f t="array" ref="J268">_xlfn.XLOOKUP($H268,Data!$E:$E,Data!$G:$G,"Revisar",0)</f>
        <v>Catering ESS</v>
      </c>
      <c r="K268" s="20" t="s">
        <v>30</v>
      </c>
      <c r="L268" s="18">
        <v>8</v>
      </c>
      <c r="M268" s="161"/>
      <c r="N268" s="14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 ht="15" customHeight="1" x14ac:dyDescent="0.3">
      <c r="A269" s="147">
        <v>46261</v>
      </c>
      <c r="B269" s="14" t="s">
        <v>815</v>
      </c>
      <c r="C269" s="15">
        <v>-80400</v>
      </c>
      <c r="D269" s="17" t="s">
        <v>138</v>
      </c>
      <c r="E269" s="14" t="s">
        <v>815</v>
      </c>
      <c r="F269" s="18">
        <v>8</v>
      </c>
      <c r="G269" s="12" t="str">
        <f>IFERROR(VLOOKUP(D269,Data!$A:$B,2,0),"Revisar")</f>
        <v>Costo Ventas</v>
      </c>
      <c r="H269" s="20" t="s">
        <v>274</v>
      </c>
      <c r="I269" s="157" t="str">
        <f t="array" ref="I269">_xlfn.XLOOKUP($H269,Data!$E:$E,Data!$F:$F,"Revisar",0)</f>
        <v>AXIS</v>
      </c>
      <c r="J269" s="157" t="str">
        <f t="array" ref="J269">_xlfn.XLOOKUP($H269,Data!$E:$E,Data!$G:$G,"Revisar",0)</f>
        <v>Catering ESS</v>
      </c>
      <c r="K269" s="20" t="s">
        <v>30</v>
      </c>
      <c r="L269" s="18">
        <v>8</v>
      </c>
      <c r="M269" s="20" t="s">
        <v>555</v>
      </c>
      <c r="N269" s="14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 ht="15" customHeight="1" x14ac:dyDescent="0.3">
      <c r="A270" s="147">
        <v>46261</v>
      </c>
      <c r="B270" s="14" t="s">
        <v>815</v>
      </c>
      <c r="C270" s="15">
        <v>-49000</v>
      </c>
      <c r="D270" s="17" t="s">
        <v>138</v>
      </c>
      <c r="E270" s="14" t="s">
        <v>815</v>
      </c>
      <c r="F270" s="18">
        <v>8</v>
      </c>
      <c r="G270" s="12" t="str">
        <f>IFERROR(VLOOKUP(D270,Data!$A:$B,2,0),"Revisar")</f>
        <v>Costo Ventas</v>
      </c>
      <c r="H270" s="20" t="s">
        <v>274</v>
      </c>
      <c r="I270" s="157" t="str">
        <f t="array" ref="I270">_xlfn.XLOOKUP($H270,Data!$E:$E,Data!$F:$F,"Revisar",0)</f>
        <v>AXIS</v>
      </c>
      <c r="J270" s="157" t="str">
        <f t="array" ref="J270">_xlfn.XLOOKUP($H270,Data!$E:$E,Data!$G:$G,"Revisar",0)</f>
        <v>Catering ESS</v>
      </c>
      <c r="K270" s="20" t="s">
        <v>30</v>
      </c>
      <c r="L270" s="18">
        <v>8</v>
      </c>
      <c r="M270" s="18" t="s">
        <v>577</v>
      </c>
      <c r="N270" s="14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 ht="15" customHeight="1" x14ac:dyDescent="0.3">
      <c r="A271" s="147">
        <v>46261</v>
      </c>
      <c r="B271" s="14" t="s">
        <v>807</v>
      </c>
      <c r="C271" s="15">
        <v>-32100</v>
      </c>
      <c r="D271" s="17" t="s">
        <v>138</v>
      </c>
      <c r="E271" s="14" t="s">
        <v>807</v>
      </c>
      <c r="F271" s="18">
        <v>8</v>
      </c>
      <c r="G271" s="12" t="str">
        <f>IFERROR(VLOOKUP(D271,Data!$A:$B,2,0),"Revisar")</f>
        <v>Costo Ventas</v>
      </c>
      <c r="H271" s="20" t="s">
        <v>274</v>
      </c>
      <c r="I271" s="157" t="str">
        <f t="array" ref="I271">_xlfn.XLOOKUP($H271,Data!$E:$E,Data!$F:$F,"Revisar",0)</f>
        <v>AXIS</v>
      </c>
      <c r="J271" s="157" t="str">
        <f t="array" ref="J271">_xlfn.XLOOKUP($H271,Data!$E:$E,Data!$G:$G,"Revisar",0)</f>
        <v>Catering ESS</v>
      </c>
      <c r="K271" s="20" t="s">
        <v>30</v>
      </c>
      <c r="L271" s="18">
        <v>8</v>
      </c>
      <c r="M271" s="161"/>
      <c r="N271" s="14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 ht="15" customHeight="1" x14ac:dyDescent="0.3">
      <c r="A272" s="147">
        <v>46261</v>
      </c>
      <c r="B272" s="14" t="s">
        <v>816</v>
      </c>
      <c r="C272" s="15">
        <v>-47200</v>
      </c>
      <c r="D272" s="17" t="s">
        <v>138</v>
      </c>
      <c r="E272" s="14" t="s">
        <v>816</v>
      </c>
      <c r="F272" s="18">
        <v>8</v>
      </c>
      <c r="G272" s="12" t="str">
        <f>IFERROR(VLOOKUP(D272,Data!$A:$B,2,0),"Revisar")</f>
        <v>Costo Ventas</v>
      </c>
      <c r="H272" s="20" t="s">
        <v>203</v>
      </c>
      <c r="I272" s="157" t="str">
        <f t="array" ref="I272">_xlfn.XLOOKUP($H272,Data!$E:$E,Data!$F:$F,"Revisar",0)</f>
        <v>AXIS</v>
      </c>
      <c r="J272" s="157" t="str">
        <f t="array" ref="J272">_xlfn.XLOOKUP($H272,Data!$E:$E,Data!$G:$G,"Revisar",0)</f>
        <v>Merch y transporte para Cena feria de seguridad</v>
      </c>
      <c r="K272" s="20" t="s">
        <v>30</v>
      </c>
      <c r="L272" s="18">
        <v>8</v>
      </c>
      <c r="M272" s="161"/>
      <c r="N272" s="14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 ht="15" customHeight="1" x14ac:dyDescent="0.3">
      <c r="A273" s="147">
        <v>46261</v>
      </c>
      <c r="B273" s="14" t="s">
        <v>338</v>
      </c>
      <c r="C273" s="15">
        <v>-1381.24</v>
      </c>
      <c r="D273" s="17" t="s">
        <v>339</v>
      </c>
      <c r="E273" s="14" t="s">
        <v>338</v>
      </c>
      <c r="F273" s="18">
        <v>8</v>
      </c>
      <c r="G273" s="12" t="str">
        <f>IFERROR(VLOOKUP(D273,Data!$A:$B,2,0),"Revisar")</f>
        <v>Gastos Variables</v>
      </c>
      <c r="H273" s="20" t="s">
        <v>24</v>
      </c>
      <c r="I273" s="157" t="str">
        <f t="array" ref="I273">_xlfn.XLOOKUP($H273,Data!$E:$E,Data!$F:$F,"Revisar",0)</f>
        <v>NA</v>
      </c>
      <c r="J273" s="157" t="str">
        <f t="array" ref="J273">_xlfn.XLOOKUP($H273,Data!$E:$E,Data!$G:$G,"Revisar",0)</f>
        <v>NA</v>
      </c>
      <c r="K273" s="20" t="s">
        <v>24</v>
      </c>
      <c r="L273" s="18">
        <v>8</v>
      </c>
      <c r="M273" s="20"/>
      <c r="N273" s="14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 ht="15" customHeight="1" x14ac:dyDescent="0.3">
      <c r="A274" s="147">
        <v>46262</v>
      </c>
      <c r="B274" s="14" t="s">
        <v>31</v>
      </c>
      <c r="C274" s="15">
        <v>146.65</v>
      </c>
      <c r="D274" s="17" t="s">
        <v>32</v>
      </c>
      <c r="E274" s="14" t="s">
        <v>31</v>
      </c>
      <c r="F274" s="18">
        <v>8</v>
      </c>
      <c r="G274" s="12" t="str">
        <f>IFERROR(VLOOKUP(D274,Data!$A:$B,2,0),"Revisar")</f>
        <v>Gastos Variables</v>
      </c>
      <c r="H274" s="20" t="s">
        <v>24</v>
      </c>
      <c r="I274" s="157" t="str">
        <f t="array" ref="I274">_xlfn.XLOOKUP($H274,Data!$E:$E,Data!$F:$F,"Revisar",0)</f>
        <v>NA</v>
      </c>
      <c r="J274" s="157" t="str">
        <f t="array" ref="J274">_xlfn.XLOOKUP($H274,Data!$E:$E,Data!$G:$G,"Revisar",0)</f>
        <v>NA</v>
      </c>
      <c r="K274" s="20" t="s">
        <v>24</v>
      </c>
      <c r="L274" s="18">
        <v>8</v>
      </c>
      <c r="M274" s="20"/>
      <c r="N274" s="14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 ht="15" customHeight="1" x14ac:dyDescent="0.3">
      <c r="A275" s="147">
        <v>46262</v>
      </c>
      <c r="B275" s="14" t="s">
        <v>800</v>
      </c>
      <c r="C275" s="15">
        <v>-35000</v>
      </c>
      <c r="D275" s="17" t="s">
        <v>138</v>
      </c>
      <c r="E275" s="14" t="s">
        <v>800</v>
      </c>
      <c r="F275" s="18">
        <v>8</v>
      </c>
      <c r="G275" s="12" t="str">
        <f>IFERROR(VLOOKUP(D275,Data!$A:$B,2,0),"Revisar")</f>
        <v>Costo Ventas</v>
      </c>
      <c r="H275" s="20" t="s">
        <v>274</v>
      </c>
      <c r="I275" s="157" t="str">
        <f t="array" ref="I275">_xlfn.XLOOKUP($H275,Data!$E:$E,Data!$F:$F,"Revisar",0)</f>
        <v>AXIS</v>
      </c>
      <c r="J275" s="157" t="str">
        <f t="array" ref="J275">_xlfn.XLOOKUP($H275,Data!$E:$E,Data!$G:$G,"Revisar",0)</f>
        <v>Catering ESS</v>
      </c>
      <c r="K275" s="20" t="s">
        <v>30</v>
      </c>
      <c r="L275" s="18">
        <v>8</v>
      </c>
      <c r="M275" s="20"/>
      <c r="N275" s="14" t="s">
        <v>778</v>
      </c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 ht="15" customHeight="1" x14ac:dyDescent="0.3">
      <c r="A276" s="147">
        <v>46262</v>
      </c>
      <c r="B276" s="14" t="s">
        <v>817</v>
      </c>
      <c r="C276" s="15">
        <v>-245383</v>
      </c>
      <c r="D276" s="17" t="s">
        <v>138</v>
      </c>
      <c r="E276" s="14" t="s">
        <v>817</v>
      </c>
      <c r="F276" s="18">
        <v>8</v>
      </c>
      <c r="G276" s="12" t="str">
        <f>IFERROR(VLOOKUP(D276,Data!$A:$B,2,0),"Revisar")</f>
        <v>Costo Ventas</v>
      </c>
      <c r="H276" s="20" t="s">
        <v>274</v>
      </c>
      <c r="I276" s="157" t="str">
        <f t="array" ref="I276">_xlfn.XLOOKUP($H276,Data!$E:$E,Data!$F:$F,"Revisar",0)</f>
        <v>AXIS</v>
      </c>
      <c r="J276" s="157" t="str">
        <f t="array" ref="J276">_xlfn.XLOOKUP($H276,Data!$E:$E,Data!$G:$G,"Revisar",0)</f>
        <v>Catering ESS</v>
      </c>
      <c r="K276" s="20" t="s">
        <v>143</v>
      </c>
      <c r="L276" s="18">
        <v>8</v>
      </c>
      <c r="M276" s="18" t="s">
        <v>581</v>
      </c>
      <c r="N276" s="14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 ht="15" customHeight="1" x14ac:dyDescent="0.3">
      <c r="A277" s="147">
        <v>46262</v>
      </c>
      <c r="B277" s="14" t="s">
        <v>818</v>
      </c>
      <c r="C277" s="15">
        <v>-3550890</v>
      </c>
      <c r="D277" s="17" t="s">
        <v>138</v>
      </c>
      <c r="E277" s="14" t="s">
        <v>818</v>
      </c>
      <c r="F277" s="18">
        <v>8</v>
      </c>
      <c r="G277" s="12" t="str">
        <f>IFERROR(VLOOKUP(D277,Data!$A:$B,2,0),"Revisar")</f>
        <v>Costo Ventas</v>
      </c>
      <c r="H277" s="20" t="s">
        <v>316</v>
      </c>
      <c r="I277" s="157" t="str">
        <f t="array" ref="I277">_xlfn.XLOOKUP($H277,Data!$E:$E,Data!$F:$F,"Revisar",0)</f>
        <v>ANIXTER</v>
      </c>
      <c r="J277" s="157" t="str">
        <f t="array" ref="J277">_xlfn.XLOOKUP($H277,Data!$E:$E,Data!$G:$G,"Revisar",0)</f>
        <v>Adicionales Almuerzo ESS+</v>
      </c>
      <c r="K277" s="20" t="s">
        <v>143</v>
      </c>
      <c r="L277" s="18">
        <v>8</v>
      </c>
      <c r="M277" s="163" t="s">
        <v>864</v>
      </c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 ht="15" customHeight="1" x14ac:dyDescent="0.3">
      <c r="A278" s="147">
        <v>46262</v>
      </c>
      <c r="B278" s="14" t="s">
        <v>807</v>
      </c>
      <c r="C278" s="15">
        <v>-7200</v>
      </c>
      <c r="D278" s="17" t="s">
        <v>70</v>
      </c>
      <c r="E278" s="14" t="s">
        <v>807</v>
      </c>
      <c r="F278" s="18">
        <v>8</v>
      </c>
      <c r="G278" s="12" t="str">
        <f>IFERROR(VLOOKUP(D278,Data!$A:$B,2,0),"Revisar")</f>
        <v>Costos Operacionales</v>
      </c>
      <c r="H278" s="20" t="s">
        <v>24</v>
      </c>
      <c r="I278" s="157" t="str">
        <f t="array" ref="I278">_xlfn.XLOOKUP($H278,Data!$E:$E,Data!$F:$F,"Revisar",0)</f>
        <v>NA</v>
      </c>
      <c r="J278" s="157" t="str">
        <f t="array" ref="J278">_xlfn.XLOOKUP($H278,Data!$E:$E,Data!$G:$G,"Revisar",0)</f>
        <v>NA</v>
      </c>
      <c r="K278" s="20" t="s">
        <v>30</v>
      </c>
      <c r="L278" s="18">
        <v>8</v>
      </c>
      <c r="M278" s="161"/>
      <c r="N278" s="14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 ht="15" customHeight="1" x14ac:dyDescent="0.3">
      <c r="A279" s="147">
        <v>46262</v>
      </c>
      <c r="B279" s="14" t="s">
        <v>338</v>
      </c>
      <c r="C279" s="15">
        <v>-15353.89</v>
      </c>
      <c r="D279" s="17" t="s">
        <v>339</v>
      </c>
      <c r="E279" s="14" t="s">
        <v>338</v>
      </c>
      <c r="F279" s="18">
        <v>8</v>
      </c>
      <c r="G279" s="12" t="str">
        <f>IFERROR(VLOOKUP(D279,Data!$A:$B,2,0),"Revisar")</f>
        <v>Gastos Variables</v>
      </c>
      <c r="H279" s="20" t="s">
        <v>24</v>
      </c>
      <c r="I279" s="157" t="str">
        <f t="array" ref="I279">_xlfn.XLOOKUP($H279,Data!$E:$E,Data!$F:$F,"Revisar",0)</f>
        <v>NA</v>
      </c>
      <c r="J279" s="157" t="str">
        <f t="array" ref="J279">_xlfn.XLOOKUP($H279,Data!$E:$E,Data!$G:$G,"Revisar",0)</f>
        <v>NA</v>
      </c>
      <c r="K279" s="20" t="s">
        <v>24</v>
      </c>
      <c r="L279" s="18">
        <v>8</v>
      </c>
      <c r="M279" s="20"/>
      <c r="N279" s="14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 ht="15" customHeight="1" x14ac:dyDescent="0.3">
      <c r="A280" s="147">
        <v>46263</v>
      </c>
      <c r="B280" s="14" t="s">
        <v>338</v>
      </c>
      <c r="C280" s="15">
        <v>-3189.44</v>
      </c>
      <c r="D280" s="17" t="s">
        <v>339</v>
      </c>
      <c r="E280" s="14" t="s">
        <v>338</v>
      </c>
      <c r="F280" s="18">
        <v>8</v>
      </c>
      <c r="G280" s="12" t="str">
        <f>IFERROR(VLOOKUP(D280,Data!$A:$B,2,0),"Revisar")</f>
        <v>Gastos Variables</v>
      </c>
      <c r="H280" s="20" t="s">
        <v>24</v>
      </c>
      <c r="I280" s="157" t="str">
        <f t="array" ref="I280">_xlfn.XLOOKUP($H280,Data!$E:$E,Data!$F:$F,"Revisar",0)</f>
        <v>NA</v>
      </c>
      <c r="J280" s="157" t="str">
        <f t="array" ref="J280">_xlfn.XLOOKUP($H280,Data!$E:$E,Data!$G:$G,"Revisar",0)</f>
        <v>NA</v>
      </c>
      <c r="K280" s="20" t="s">
        <v>24</v>
      </c>
      <c r="L280" s="18">
        <v>8</v>
      </c>
      <c r="M280" s="20"/>
      <c r="N280" s="14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 ht="15" customHeight="1" x14ac:dyDescent="0.3">
      <c r="A281" s="59">
        <v>46263</v>
      </c>
      <c r="B281" s="60" t="s">
        <v>108</v>
      </c>
      <c r="C281" s="61">
        <v>-251268.5</v>
      </c>
      <c r="D281" s="62" t="s">
        <v>138</v>
      </c>
      <c r="E281" s="60" t="s">
        <v>108</v>
      </c>
      <c r="F281" s="63">
        <v>8</v>
      </c>
      <c r="G281" s="64" t="str">
        <f>IFERROR(VLOOKUP(D281,Data!$A:$B,2,0),"Revisar")</f>
        <v>Costo Ventas</v>
      </c>
      <c r="H281" s="65" t="s">
        <v>316</v>
      </c>
      <c r="I281" s="159" t="str">
        <f t="array" ref="I281">_xlfn.XLOOKUP($H281,Data!$E:$E,Data!$F:$F,"Revisar",0)</f>
        <v>ANIXTER</v>
      </c>
      <c r="J281" s="159" t="str">
        <f t="array" ref="J281">_xlfn.XLOOKUP($H281,Data!$E:$E,Data!$G:$G,"Revisar",0)</f>
        <v>Adicionales Almuerzo ESS+</v>
      </c>
      <c r="K281" s="65" t="s">
        <v>143</v>
      </c>
      <c r="L281" s="63">
        <v>8</v>
      </c>
      <c r="M281" s="63" t="s">
        <v>568</v>
      </c>
      <c r="N281" s="14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 ht="15" customHeight="1" x14ac:dyDescent="0.3">
      <c r="A282" s="59">
        <v>46263</v>
      </c>
      <c r="B282" s="60" t="s">
        <v>108</v>
      </c>
      <c r="C282" s="61">
        <v>-42840</v>
      </c>
      <c r="D282" s="62" t="s">
        <v>138</v>
      </c>
      <c r="E282" s="60" t="s">
        <v>108</v>
      </c>
      <c r="F282" s="63">
        <v>8</v>
      </c>
      <c r="G282" s="64" t="str">
        <f>IFERROR(VLOOKUP(D282,Data!$A:$B,2,0),"Revisar")</f>
        <v>Costo Ventas</v>
      </c>
      <c r="H282" s="63" t="s">
        <v>259</v>
      </c>
      <c r="I282" s="159" t="str">
        <f t="array" ref="I282">_xlfn.XLOOKUP($H282,Data!$E:$E,Data!$F:$F,"Revisar",0)</f>
        <v>Commscope</v>
      </c>
      <c r="J282" s="159" t="str">
        <f t="array" ref="J282">_xlfn.XLOOKUP($H282,Data!$E:$E,Data!$G:$G,"Revisar",0)</f>
        <v>Maletas VIP</v>
      </c>
      <c r="K282" s="65" t="s">
        <v>143</v>
      </c>
      <c r="L282" s="63">
        <v>8</v>
      </c>
      <c r="M282" s="63" t="s">
        <v>566</v>
      </c>
      <c r="N282" s="14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 ht="15" customHeight="1" x14ac:dyDescent="0.3">
      <c r="A283" s="59">
        <v>46263</v>
      </c>
      <c r="B283" s="60" t="s">
        <v>108</v>
      </c>
      <c r="C283" s="61">
        <v>-440300</v>
      </c>
      <c r="D283" s="62" t="s">
        <v>138</v>
      </c>
      <c r="E283" s="60" t="s">
        <v>108</v>
      </c>
      <c r="F283" s="63">
        <v>8</v>
      </c>
      <c r="G283" s="64" t="str">
        <f>IFERROR(VLOOKUP(D283,Data!$A:$B,2,0),"Revisar")</f>
        <v>Costo Ventas</v>
      </c>
      <c r="H283" s="65" t="s">
        <v>294</v>
      </c>
      <c r="I283" s="159" t="str">
        <f t="array" ref="I283">_xlfn.XLOOKUP($H283,Data!$E:$E,Data!$F:$F,"Revisar",0)</f>
        <v>AXIS</v>
      </c>
      <c r="J283" s="159" t="str">
        <f t="array" ref="J283">_xlfn.XLOOKUP($H283,Data!$E:$E,Data!$G:$G,"Revisar",0)</f>
        <v>Adicionales Mezanine ESS+</v>
      </c>
      <c r="K283" s="65" t="s">
        <v>143</v>
      </c>
      <c r="L283" s="63">
        <v>8</v>
      </c>
      <c r="M283" s="63" t="s">
        <v>563</v>
      </c>
      <c r="N283" s="14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 ht="15" customHeight="1" x14ac:dyDescent="0.3">
      <c r="A284" s="59">
        <v>46263</v>
      </c>
      <c r="B284" s="60" t="s">
        <v>108</v>
      </c>
      <c r="C284" s="61">
        <v>-62953.5</v>
      </c>
      <c r="D284" s="62" t="s">
        <v>138</v>
      </c>
      <c r="E284" s="60" t="s">
        <v>108</v>
      </c>
      <c r="F284" s="63">
        <v>8</v>
      </c>
      <c r="G284" s="64" t="str">
        <f>IFERROR(VLOOKUP(D284,Data!$A:$B,2,0),"Revisar")</f>
        <v>Costo Ventas</v>
      </c>
      <c r="H284" s="65" t="s">
        <v>203</v>
      </c>
      <c r="I284" s="159" t="str">
        <f t="array" ref="I284">_xlfn.XLOOKUP($H284,Data!$E:$E,Data!$F:$F,"Revisar",0)</f>
        <v>AXIS</v>
      </c>
      <c r="J284" s="159" t="str">
        <f t="array" ref="J284">_xlfn.XLOOKUP($H284,Data!$E:$E,Data!$G:$G,"Revisar",0)</f>
        <v>Merch y transporte para Cena feria de seguridad</v>
      </c>
      <c r="K284" s="65" t="s">
        <v>143</v>
      </c>
      <c r="L284" s="63">
        <v>8</v>
      </c>
      <c r="M284" s="63" t="s">
        <v>545</v>
      </c>
      <c r="N284" s="14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ht="15" customHeight="1" x14ac:dyDescent="0.3">
      <c r="A285" s="147">
        <v>46265</v>
      </c>
      <c r="B285" s="14" t="s">
        <v>819</v>
      </c>
      <c r="C285" s="15">
        <v>23293485.27</v>
      </c>
      <c r="D285" s="17" t="s">
        <v>188</v>
      </c>
      <c r="E285" s="14" t="s">
        <v>819</v>
      </c>
      <c r="F285" s="18">
        <v>8</v>
      </c>
      <c r="G285" s="12" t="str">
        <f>IFERROR(VLOOKUP(D285,Data!$A:$B,2,0),"Revisar")</f>
        <v>Ingresos</v>
      </c>
      <c r="H285" s="20" t="s">
        <v>207</v>
      </c>
      <c r="I285" s="157" t="str">
        <f t="array" ref="I285">_xlfn.XLOOKUP($H285,Data!$E:$E,Data!$F:$F,"Revisar",0)</f>
        <v>ANIXTER</v>
      </c>
      <c r="J285" s="157" t="str">
        <f t="array" ref="J285">_xlfn.XLOOKUP($H285,Data!$E:$E,Data!$G:$G,"Revisar",0)</f>
        <v xml:space="preserve">Evento BoB Datacenter Day - Bogotá </v>
      </c>
      <c r="K285" s="20" t="s">
        <v>143</v>
      </c>
      <c r="L285" s="18">
        <v>8</v>
      </c>
      <c r="M285" s="18" t="s">
        <v>206</v>
      </c>
      <c r="N285" s="14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ht="15" customHeight="1" x14ac:dyDescent="0.3">
      <c r="A286" s="147">
        <v>46265</v>
      </c>
      <c r="B286" s="14" t="s">
        <v>108</v>
      </c>
      <c r="C286" s="15">
        <v>-52444</v>
      </c>
      <c r="D286" s="17" t="s">
        <v>138</v>
      </c>
      <c r="E286" s="14" t="s">
        <v>108</v>
      </c>
      <c r="F286" s="18">
        <v>8</v>
      </c>
      <c r="G286" s="12" t="str">
        <f>IFERROR(VLOOKUP(D286,Data!$A:$B,2,0),"Revisar")</f>
        <v>Costo Ventas</v>
      </c>
      <c r="H286" s="20" t="s">
        <v>268</v>
      </c>
      <c r="I286" s="157" t="str">
        <f t="array" ref="I286">_xlfn.XLOOKUP($H286,Data!$E:$E,Data!$F:$F,"Revisar",0)</f>
        <v>ANIXTER</v>
      </c>
      <c r="J286" s="157" t="str">
        <f t="array" ref="J286">_xlfn.XLOOKUP($H286,Data!$E:$E,Data!$G:$G,"Revisar",0)</f>
        <v>Almuerzo Evento Corferias ESS+</v>
      </c>
      <c r="K286" s="20" t="s">
        <v>143</v>
      </c>
      <c r="L286" s="18">
        <v>8</v>
      </c>
      <c r="M286" s="163" t="s">
        <v>864</v>
      </c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t="15" customHeight="1" x14ac:dyDescent="0.3">
      <c r="A287" s="147">
        <v>46264</v>
      </c>
      <c r="B287" s="14" t="s">
        <v>31</v>
      </c>
      <c r="C287" s="15">
        <v>288.92</v>
      </c>
      <c r="D287" s="17" t="s">
        <v>32</v>
      </c>
      <c r="E287" s="14" t="s">
        <v>31</v>
      </c>
      <c r="F287" s="18">
        <v>8</v>
      </c>
      <c r="G287" s="12" t="str">
        <f>IFERROR(VLOOKUP(D287,Data!$A:$B,2,0),"Revisar")</f>
        <v>Gastos Variables</v>
      </c>
      <c r="H287" s="20" t="s">
        <v>24</v>
      </c>
      <c r="I287" s="157" t="str">
        <f t="array" ref="I287">_xlfn.XLOOKUP($H287,Data!$E:$E,Data!$F:$F,"Revisar",0)</f>
        <v>NA</v>
      </c>
      <c r="J287" s="157" t="str">
        <f t="array" ref="J287">_xlfn.XLOOKUP($H287,Data!$E:$E,Data!$G:$G,"Revisar",0)</f>
        <v>NA</v>
      </c>
      <c r="K287" s="20" t="s">
        <v>24</v>
      </c>
      <c r="L287" s="18">
        <v>8</v>
      </c>
      <c r="M287" s="20"/>
      <c r="N287" s="14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ht="15" customHeight="1" x14ac:dyDescent="0.3">
      <c r="A288" s="147">
        <v>46265</v>
      </c>
      <c r="B288" s="14" t="s">
        <v>31</v>
      </c>
      <c r="C288" s="15">
        <v>208.13</v>
      </c>
      <c r="D288" s="17" t="s">
        <v>32</v>
      </c>
      <c r="E288" s="14" t="s">
        <v>31</v>
      </c>
      <c r="F288" s="18">
        <v>8</v>
      </c>
      <c r="G288" s="12" t="str">
        <f>IFERROR(VLOOKUP(D288,Data!$A:$B,2,0),"Revisar")</f>
        <v>Gastos Variables</v>
      </c>
      <c r="H288" s="20" t="s">
        <v>24</v>
      </c>
      <c r="I288" s="157" t="str">
        <f t="array" ref="I288">_xlfn.XLOOKUP($H288,Data!$E:$E,Data!$F:$F,"Revisar",0)</f>
        <v>NA</v>
      </c>
      <c r="J288" s="157" t="str">
        <f t="array" ref="J288">_xlfn.XLOOKUP($H288,Data!$E:$E,Data!$G:$G,"Revisar",0)</f>
        <v>NA</v>
      </c>
      <c r="K288" s="20" t="s">
        <v>24</v>
      </c>
      <c r="L288" s="18">
        <v>8</v>
      </c>
      <c r="M288" s="20"/>
      <c r="N288" s="14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ht="15" customHeight="1" x14ac:dyDescent="0.3">
      <c r="A289" s="147">
        <v>46265</v>
      </c>
      <c r="B289" s="14" t="s">
        <v>338</v>
      </c>
      <c r="C289" s="15">
        <v>-209.77</v>
      </c>
      <c r="D289" s="17" t="s">
        <v>339</v>
      </c>
      <c r="E289" s="14" t="s">
        <v>338</v>
      </c>
      <c r="F289" s="18">
        <v>8</v>
      </c>
      <c r="G289" s="12" t="str">
        <f>IFERROR(VLOOKUP(D289,Data!$A:$B,2,0),"Revisar")</f>
        <v>Gastos Variables</v>
      </c>
      <c r="H289" s="20" t="s">
        <v>24</v>
      </c>
      <c r="I289" s="157" t="str">
        <f t="array" ref="I289">_xlfn.XLOOKUP($H289,Data!$E:$E,Data!$F:$F,"Revisar",0)</f>
        <v>NA</v>
      </c>
      <c r="J289" s="157" t="str">
        <f t="array" ref="J289">_xlfn.XLOOKUP($H289,Data!$E:$E,Data!$G:$G,"Revisar",0)</f>
        <v>NA</v>
      </c>
      <c r="K289" s="20" t="s">
        <v>24</v>
      </c>
      <c r="L289" s="18">
        <v>8</v>
      </c>
      <c r="M289" s="20"/>
      <c r="N289" s="14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ht="15" customHeight="1" x14ac:dyDescent="0.3">
      <c r="A290" s="147">
        <v>46266</v>
      </c>
      <c r="B290" s="14" t="s">
        <v>89</v>
      </c>
      <c r="C290" s="15">
        <v>-1442.1</v>
      </c>
      <c r="D290" s="17" t="s">
        <v>90</v>
      </c>
      <c r="E290" s="14" t="s">
        <v>89</v>
      </c>
      <c r="F290" s="18">
        <v>9</v>
      </c>
      <c r="G290" s="12" t="str">
        <f>IFERROR(VLOOKUP(D290,Data!$A:$B,2,0),"Revisar")</f>
        <v>Imp x Pagar - IVA</v>
      </c>
      <c r="H290" s="20" t="s">
        <v>24</v>
      </c>
      <c r="I290" s="157" t="str">
        <f t="array" ref="I290">_xlfn.XLOOKUP($H290,Data!$E:$E,Data!$F:$F,"Revisar",0)</f>
        <v>NA</v>
      </c>
      <c r="J290" s="157" t="str">
        <f t="array" ref="J290">_xlfn.XLOOKUP($H290,Data!$E:$E,Data!$G:$G,"Revisar",0)</f>
        <v>NA</v>
      </c>
      <c r="K290" s="20" t="s">
        <v>24</v>
      </c>
      <c r="L290" s="18">
        <v>9</v>
      </c>
      <c r="M290" s="20"/>
      <c r="N290" s="14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ht="15" customHeight="1" x14ac:dyDescent="0.3">
      <c r="A291" s="147">
        <v>46266</v>
      </c>
      <c r="B291" s="14" t="s">
        <v>502</v>
      </c>
      <c r="C291" s="15">
        <v>-210964.99</v>
      </c>
      <c r="D291" s="17" t="s">
        <v>298</v>
      </c>
      <c r="E291" s="14" t="s">
        <v>502</v>
      </c>
      <c r="F291" s="18">
        <v>9</v>
      </c>
      <c r="G291" s="12" t="str">
        <f>IFERROR(VLOOKUP(D291,Data!$A:$B,2,0),"Revisar")</f>
        <v>Costos Operacionales</v>
      </c>
      <c r="H291" s="20" t="s">
        <v>24</v>
      </c>
      <c r="I291" s="157" t="str">
        <f t="array" ref="I291">_xlfn.XLOOKUP($H291,Data!$E:$E,Data!$F:$F,"Revisar",0)</f>
        <v>NA</v>
      </c>
      <c r="J291" s="157" t="str">
        <f t="array" ref="J291">_xlfn.XLOOKUP($H291,Data!$E:$E,Data!$G:$G,"Revisar",0)</f>
        <v>NA</v>
      </c>
      <c r="K291" s="20" t="s">
        <v>143</v>
      </c>
      <c r="L291" s="18">
        <v>9</v>
      </c>
      <c r="M291" s="20"/>
      <c r="N291" s="14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ht="15" customHeight="1" x14ac:dyDescent="0.3">
      <c r="A292" s="147">
        <v>46266</v>
      </c>
      <c r="B292" s="14" t="s">
        <v>77</v>
      </c>
      <c r="C292" s="15">
        <v>-7590</v>
      </c>
      <c r="D292" s="17" t="s">
        <v>78</v>
      </c>
      <c r="E292" s="14" t="s">
        <v>77</v>
      </c>
      <c r="F292" s="18">
        <v>9</v>
      </c>
      <c r="G292" s="12" t="str">
        <f>IFERROR(VLOOKUP(D292,Data!$A:$B,2,0),"Revisar")</f>
        <v>Gastos Variables</v>
      </c>
      <c r="H292" s="20" t="s">
        <v>24</v>
      </c>
      <c r="I292" s="157" t="str">
        <f t="array" ref="I292">_xlfn.XLOOKUP($H292,Data!$E:$E,Data!$F:$F,"Revisar",0)</f>
        <v>NA</v>
      </c>
      <c r="J292" s="157" t="str">
        <f t="array" ref="J292">_xlfn.XLOOKUP($H292,Data!$E:$E,Data!$G:$G,"Revisar",0)</f>
        <v>NA</v>
      </c>
      <c r="K292" s="20" t="s">
        <v>24</v>
      </c>
      <c r="L292" s="18">
        <v>9</v>
      </c>
      <c r="M292" s="20"/>
      <c r="N292" s="14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ht="15" customHeight="1" x14ac:dyDescent="0.3">
      <c r="A293" s="147">
        <v>46266</v>
      </c>
      <c r="B293" s="14" t="s">
        <v>84</v>
      </c>
      <c r="C293" s="15">
        <v>-10000000</v>
      </c>
      <c r="D293" s="17" t="s">
        <v>138</v>
      </c>
      <c r="E293" s="14" t="s">
        <v>828</v>
      </c>
      <c r="F293" s="18">
        <v>9</v>
      </c>
      <c r="G293" s="12" t="str">
        <f>IFERROR(VLOOKUP(D293,Data!$A:$B,2,0),"Revisar")</f>
        <v>Costo Ventas</v>
      </c>
      <c r="H293" s="20" t="s">
        <v>274</v>
      </c>
      <c r="I293" s="157" t="str">
        <f t="array" ref="I293">_xlfn.XLOOKUP($H293,Data!$E:$E,Data!$F:$F,"Revisar",0)</f>
        <v>AXIS</v>
      </c>
      <c r="J293" s="157" t="str">
        <f t="array" ref="J293">_xlfn.XLOOKUP($H293,Data!$E:$E,Data!$G:$G,"Revisar",0)</f>
        <v>Catering ESS</v>
      </c>
      <c r="K293" s="20" t="s">
        <v>143</v>
      </c>
      <c r="L293" s="18">
        <v>9</v>
      </c>
      <c r="M293" s="20" t="s">
        <v>586</v>
      </c>
      <c r="N293" s="14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ht="15" customHeight="1" x14ac:dyDescent="0.3">
      <c r="A294" s="147">
        <v>46266</v>
      </c>
      <c r="B294" s="14" t="s">
        <v>84</v>
      </c>
      <c r="C294" s="15">
        <v>-150000</v>
      </c>
      <c r="D294" s="17" t="s">
        <v>138</v>
      </c>
      <c r="E294" s="14" t="s">
        <v>820</v>
      </c>
      <c r="F294" s="18">
        <v>9</v>
      </c>
      <c r="G294" s="12" t="str">
        <f>IFERROR(VLOOKUP(D294,Data!$A:$B,2,0),"Revisar")</f>
        <v>Costo Ventas</v>
      </c>
      <c r="H294" s="20" t="s">
        <v>268</v>
      </c>
      <c r="I294" s="157" t="str">
        <f t="array" ref="I294">_xlfn.XLOOKUP($H294,Data!$E:$E,Data!$F:$F,"Revisar",0)</f>
        <v>ANIXTER</v>
      </c>
      <c r="J294" s="157" t="str">
        <f t="array" ref="J294">_xlfn.XLOOKUP($H294,Data!$E:$E,Data!$G:$G,"Revisar",0)</f>
        <v>Almuerzo Evento Corferias ESS+</v>
      </c>
      <c r="K294" s="20" t="s">
        <v>143</v>
      </c>
      <c r="L294" s="18">
        <v>9</v>
      </c>
      <c r="M294" s="20" t="s">
        <v>834</v>
      </c>
      <c r="N294" s="14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ht="15" customHeight="1" x14ac:dyDescent="0.3">
      <c r="A295" s="147">
        <v>46267</v>
      </c>
      <c r="B295" s="14" t="s">
        <v>634</v>
      </c>
      <c r="C295" s="15">
        <v>-4760000</v>
      </c>
      <c r="D295" s="17" t="s">
        <v>138</v>
      </c>
      <c r="E295" s="14" t="s">
        <v>821</v>
      </c>
      <c r="F295" s="18">
        <v>9</v>
      </c>
      <c r="G295" s="12" t="str">
        <f>IFERROR(VLOOKUP(D295,Data!$A:$B,2,0),"Revisar")</f>
        <v>Costo Ventas</v>
      </c>
      <c r="H295" s="20" t="s">
        <v>274</v>
      </c>
      <c r="I295" s="157" t="str">
        <f t="array" ref="I295">_xlfn.XLOOKUP($H295,Data!$E:$E,Data!$F:$F,"Revisar",0)</f>
        <v>AXIS</v>
      </c>
      <c r="J295" s="157" t="str">
        <f t="array" ref="J295">_xlfn.XLOOKUP($H295,Data!$E:$E,Data!$G:$G,"Revisar",0)</f>
        <v>Catering ESS</v>
      </c>
      <c r="K295" s="20" t="s">
        <v>143</v>
      </c>
      <c r="L295" s="18">
        <v>9</v>
      </c>
      <c r="M295" s="20" t="s">
        <v>548</v>
      </c>
      <c r="N295" s="14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ht="15" customHeight="1" x14ac:dyDescent="0.3">
      <c r="A296" s="59">
        <v>46267</v>
      </c>
      <c r="B296" s="60" t="s">
        <v>634</v>
      </c>
      <c r="C296" s="61">
        <v>-150000</v>
      </c>
      <c r="D296" s="62" t="s">
        <v>138</v>
      </c>
      <c r="E296" s="60" t="s">
        <v>822</v>
      </c>
      <c r="F296" s="63">
        <v>9</v>
      </c>
      <c r="G296" s="64" t="str">
        <f>IFERROR(VLOOKUP(D296,Data!$A:$B,2,0),"Revisar")</f>
        <v>Costo Ventas</v>
      </c>
      <c r="H296" s="65" t="s">
        <v>207</v>
      </c>
      <c r="I296" s="159" t="str">
        <f t="array" ref="I296">_xlfn.XLOOKUP($H296,Data!$E:$E,Data!$F:$F,"Revisar",0)</f>
        <v>ANIXTER</v>
      </c>
      <c r="J296" s="159" t="str">
        <f t="array" ref="J296">_xlfn.XLOOKUP($H296,Data!$E:$E,Data!$G:$G,"Revisar",0)</f>
        <v xml:space="preserve">Evento BoB Datacenter Day - Bogotá </v>
      </c>
      <c r="K296" s="65" t="s">
        <v>143</v>
      </c>
      <c r="L296" s="63">
        <v>9</v>
      </c>
      <c r="M296" s="161"/>
      <c r="N296" s="14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ht="15" customHeight="1" x14ac:dyDescent="0.3">
      <c r="A297" s="59">
        <v>46267</v>
      </c>
      <c r="B297" s="60" t="s">
        <v>634</v>
      </c>
      <c r="C297" s="61">
        <v>-150000</v>
      </c>
      <c r="D297" s="62" t="s">
        <v>138</v>
      </c>
      <c r="E297" s="60" t="s">
        <v>822</v>
      </c>
      <c r="F297" s="63">
        <v>9</v>
      </c>
      <c r="G297" s="64" t="str">
        <f>IFERROR(VLOOKUP(D297,Data!$A:$B,2,0),"Revisar")</f>
        <v>Costo Ventas</v>
      </c>
      <c r="H297" s="65" t="s">
        <v>274</v>
      </c>
      <c r="I297" s="159" t="str">
        <f t="array" ref="I297">_xlfn.XLOOKUP($H297,Data!$E:$E,Data!$F:$F,"Revisar",0)</f>
        <v>AXIS</v>
      </c>
      <c r="J297" s="159" t="str">
        <f t="array" ref="J297">_xlfn.XLOOKUP($H297,Data!$E:$E,Data!$G:$G,"Revisar",0)</f>
        <v>Catering ESS</v>
      </c>
      <c r="K297" s="65" t="s">
        <v>143</v>
      </c>
      <c r="L297" s="63">
        <v>9</v>
      </c>
      <c r="M297" s="161"/>
      <c r="N297" s="14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ht="15" customHeight="1" x14ac:dyDescent="0.3">
      <c r="A298" s="59">
        <v>46267</v>
      </c>
      <c r="B298" s="60" t="s">
        <v>634</v>
      </c>
      <c r="C298" s="61">
        <v>-300000</v>
      </c>
      <c r="D298" s="62" t="s">
        <v>138</v>
      </c>
      <c r="E298" s="60" t="s">
        <v>822</v>
      </c>
      <c r="F298" s="63">
        <v>9</v>
      </c>
      <c r="G298" s="64" t="str">
        <f>IFERROR(VLOOKUP(D298,Data!$A:$B,2,0),"Revisar")</f>
        <v>Costo Ventas</v>
      </c>
      <c r="H298" s="65" t="s">
        <v>294</v>
      </c>
      <c r="I298" s="159" t="str">
        <f t="array" ref="I298">_xlfn.XLOOKUP($H298,Data!$E:$E,Data!$F:$F,"Revisar",0)</f>
        <v>AXIS</v>
      </c>
      <c r="J298" s="159" t="str">
        <f t="array" ref="J298">_xlfn.XLOOKUP($H298,Data!$E:$E,Data!$G:$G,"Revisar",0)</f>
        <v>Adicionales Mezanine ESS+</v>
      </c>
      <c r="K298" s="65" t="s">
        <v>143</v>
      </c>
      <c r="L298" s="63">
        <v>9</v>
      </c>
      <c r="M298" s="161"/>
      <c r="N298" s="14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ht="15" customHeight="1" x14ac:dyDescent="0.3">
      <c r="A299" s="147">
        <v>46267</v>
      </c>
      <c r="B299" s="14" t="s">
        <v>77</v>
      </c>
      <c r="C299" s="15">
        <v>-9032.1</v>
      </c>
      <c r="D299" s="17" t="s">
        <v>78</v>
      </c>
      <c r="E299" s="14" t="s">
        <v>77</v>
      </c>
      <c r="F299" s="18">
        <v>9</v>
      </c>
      <c r="G299" s="12" t="str">
        <f>IFERROR(VLOOKUP(D299,Data!$A:$B,2,0),"Revisar")</f>
        <v>Gastos Variables</v>
      </c>
      <c r="H299" s="20" t="s">
        <v>24</v>
      </c>
      <c r="I299" s="157" t="str">
        <f t="array" ref="I299">_xlfn.XLOOKUP($H299,Data!$E:$E,Data!$F:$F,"Revisar",0)</f>
        <v>NA</v>
      </c>
      <c r="J299" s="157" t="str">
        <f t="array" ref="J299">_xlfn.XLOOKUP($H299,Data!$E:$E,Data!$G:$G,"Revisar",0)</f>
        <v>NA</v>
      </c>
      <c r="K299" s="20" t="s">
        <v>24</v>
      </c>
      <c r="L299" s="18">
        <v>9</v>
      </c>
      <c r="M299" s="20"/>
      <c r="N299" s="14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ht="15" customHeight="1" x14ac:dyDescent="0.3">
      <c r="A300" s="147">
        <v>46267</v>
      </c>
      <c r="B300" s="14" t="s">
        <v>77</v>
      </c>
      <c r="C300" s="15">
        <v>-9032.1</v>
      </c>
      <c r="D300" s="17" t="s">
        <v>78</v>
      </c>
      <c r="E300" s="14" t="s">
        <v>77</v>
      </c>
      <c r="F300" s="18">
        <v>9</v>
      </c>
      <c r="G300" s="12" t="str">
        <f>IFERROR(VLOOKUP(D300,Data!$A:$B,2,0),"Revisar")</f>
        <v>Gastos Variables</v>
      </c>
      <c r="H300" s="20" t="s">
        <v>24</v>
      </c>
      <c r="I300" s="157" t="str">
        <f t="array" ref="I300">_xlfn.XLOOKUP($H300,Data!$E:$E,Data!$F:$F,"Revisar",0)</f>
        <v>NA</v>
      </c>
      <c r="J300" s="157" t="str">
        <f t="array" ref="J300">_xlfn.XLOOKUP($H300,Data!$E:$E,Data!$G:$G,"Revisar",0)</f>
        <v>NA</v>
      </c>
      <c r="K300" s="20" t="s">
        <v>24</v>
      </c>
      <c r="L300" s="18">
        <v>9</v>
      </c>
      <c r="M300" s="20"/>
      <c r="N300" s="14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ht="15" customHeight="1" x14ac:dyDescent="0.3">
      <c r="A301" s="147">
        <v>46266</v>
      </c>
      <c r="B301" s="14" t="s">
        <v>31</v>
      </c>
      <c r="C301" s="15">
        <v>179.72</v>
      </c>
      <c r="D301" s="17" t="s">
        <v>32</v>
      </c>
      <c r="E301" s="14" t="s">
        <v>31</v>
      </c>
      <c r="F301" s="18">
        <v>9</v>
      </c>
      <c r="G301" s="12" t="str">
        <f>IFERROR(VLOOKUP(D301,Data!$A:$B,2,0),"Revisar")</f>
        <v>Gastos Variables</v>
      </c>
      <c r="H301" s="20" t="s">
        <v>24</v>
      </c>
      <c r="I301" s="157" t="str">
        <f t="array" ref="I301">_xlfn.XLOOKUP($H301,Data!$E:$E,Data!$F:$F,"Revisar",0)</f>
        <v>NA</v>
      </c>
      <c r="J301" s="157" t="str">
        <f t="array" ref="J301">_xlfn.XLOOKUP($H301,Data!$E:$E,Data!$G:$G,"Revisar",0)</f>
        <v>NA</v>
      </c>
      <c r="K301" s="20" t="s">
        <v>24</v>
      </c>
      <c r="L301" s="18">
        <v>9</v>
      </c>
      <c r="M301" s="20"/>
      <c r="N301" s="14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ht="15" customHeight="1" x14ac:dyDescent="0.3">
      <c r="A302" s="147">
        <v>46267</v>
      </c>
      <c r="B302" s="14" t="s">
        <v>31</v>
      </c>
      <c r="C302" s="15">
        <v>164.99</v>
      </c>
      <c r="D302" s="17" t="s">
        <v>32</v>
      </c>
      <c r="E302" s="14" t="s">
        <v>31</v>
      </c>
      <c r="F302" s="18">
        <v>9</v>
      </c>
      <c r="G302" s="12" t="str">
        <f>IFERROR(VLOOKUP(D302,Data!$A:$B,2,0),"Revisar")</f>
        <v>Gastos Variables</v>
      </c>
      <c r="H302" s="20" t="s">
        <v>24</v>
      </c>
      <c r="I302" s="157" t="str">
        <f t="array" ref="I302">_xlfn.XLOOKUP($H302,Data!$E:$E,Data!$F:$F,"Revisar",0)</f>
        <v>NA</v>
      </c>
      <c r="J302" s="157" t="str">
        <f t="array" ref="J302">_xlfn.XLOOKUP($H302,Data!$E:$E,Data!$G:$G,"Revisar",0)</f>
        <v>NA</v>
      </c>
      <c r="K302" s="20" t="s">
        <v>24</v>
      </c>
      <c r="L302" s="18">
        <v>9</v>
      </c>
      <c r="M302" s="20"/>
      <c r="N302" s="14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ht="15" customHeight="1" x14ac:dyDescent="0.3">
      <c r="A303" s="147">
        <v>46268</v>
      </c>
      <c r="B303" s="14" t="s">
        <v>31</v>
      </c>
      <c r="C303" s="15">
        <v>192.73</v>
      </c>
      <c r="D303" s="17" t="s">
        <v>32</v>
      </c>
      <c r="E303" s="14" t="s">
        <v>31</v>
      </c>
      <c r="F303" s="18">
        <v>9</v>
      </c>
      <c r="G303" s="12" t="str">
        <f>IFERROR(VLOOKUP(D303,Data!$A:$B,2,0),"Revisar")</f>
        <v>Gastos Variables</v>
      </c>
      <c r="H303" s="20" t="s">
        <v>24</v>
      </c>
      <c r="I303" s="157" t="str">
        <f t="array" ref="I303">_xlfn.XLOOKUP($H303,Data!$E:$E,Data!$F:$F,"Revisar",0)</f>
        <v>NA</v>
      </c>
      <c r="J303" s="157" t="str">
        <f t="array" ref="J303">_xlfn.XLOOKUP($H303,Data!$E:$E,Data!$G:$G,"Revisar",0)</f>
        <v>NA</v>
      </c>
      <c r="K303" s="20" t="s">
        <v>24</v>
      </c>
      <c r="L303" s="18">
        <v>9</v>
      </c>
      <c r="M303" s="20"/>
      <c r="N303" s="14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ht="15" customHeight="1" x14ac:dyDescent="0.3">
      <c r="A304" s="147">
        <v>46268</v>
      </c>
      <c r="B304" s="14" t="s">
        <v>223</v>
      </c>
      <c r="C304" s="15">
        <v>10126900</v>
      </c>
      <c r="D304" s="17" t="s">
        <v>188</v>
      </c>
      <c r="E304" s="14" t="s">
        <v>826</v>
      </c>
      <c r="F304" s="18">
        <v>9</v>
      </c>
      <c r="G304" s="12" t="str">
        <f>IFERROR(VLOOKUP(D304,Data!$A:$B,2,0),"Revisar")</f>
        <v>Ingresos</v>
      </c>
      <c r="H304" s="20" t="s">
        <v>782</v>
      </c>
      <c r="I304" s="157" t="str">
        <f t="array" ref="I304">_xlfn.XLOOKUP($H304,Data!$E:$E,Data!$F:$F,"Revisar",0)</f>
        <v>Konrad Adenauer Stiftung</v>
      </c>
      <c r="J304" s="157" t="str">
        <f t="array" ref="J304">_xlfn.XLOOKUP($H304,Data!$E:$E,Data!$G:$G,"Revisar",0)</f>
        <v>Morrales y letras KAS</v>
      </c>
      <c r="K304" s="20" t="s">
        <v>143</v>
      </c>
      <c r="L304" s="18">
        <v>9</v>
      </c>
      <c r="M304" s="20" t="s">
        <v>280</v>
      </c>
      <c r="N304" s="14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ht="15" customHeight="1" x14ac:dyDescent="0.3">
      <c r="A305" s="147">
        <v>46269</v>
      </c>
      <c r="B305" s="14" t="s">
        <v>89</v>
      </c>
      <c r="C305" s="15">
        <v>-1442.1</v>
      </c>
      <c r="D305" s="17" t="s">
        <v>90</v>
      </c>
      <c r="E305" s="14" t="s">
        <v>89</v>
      </c>
      <c r="F305" s="18">
        <v>9</v>
      </c>
      <c r="G305" s="12" t="str">
        <f>IFERROR(VLOOKUP(D305,Data!$A:$B,2,0),"Revisar")</f>
        <v>Imp x Pagar - IVA</v>
      </c>
      <c r="H305" s="20" t="s">
        <v>24</v>
      </c>
      <c r="I305" s="157" t="str">
        <f t="array" ref="I305">_xlfn.XLOOKUP($H305,Data!$E:$E,Data!$F:$F,"Revisar",0)</f>
        <v>NA</v>
      </c>
      <c r="J305" s="157" t="str">
        <f t="array" ref="J305">_xlfn.XLOOKUP($H305,Data!$E:$E,Data!$G:$G,"Revisar",0)</f>
        <v>NA</v>
      </c>
      <c r="K305" s="20" t="s">
        <v>24</v>
      </c>
      <c r="L305" s="18">
        <v>9</v>
      </c>
      <c r="M305" s="20"/>
      <c r="N305" s="14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ht="15" customHeight="1" x14ac:dyDescent="0.3">
      <c r="A306" s="147">
        <v>46269</v>
      </c>
      <c r="B306" s="14" t="s">
        <v>89</v>
      </c>
      <c r="C306" s="15">
        <v>-1442.1</v>
      </c>
      <c r="D306" s="17" t="s">
        <v>90</v>
      </c>
      <c r="E306" s="14" t="s">
        <v>89</v>
      </c>
      <c r="F306" s="18">
        <v>9</v>
      </c>
      <c r="G306" s="12" t="str">
        <f>IFERROR(VLOOKUP(D306,Data!$A:$B,2,0),"Revisar")</f>
        <v>Imp x Pagar - IVA</v>
      </c>
      <c r="H306" s="20" t="s">
        <v>24</v>
      </c>
      <c r="I306" s="157" t="str">
        <f t="array" ref="I306">_xlfn.XLOOKUP($H306,Data!$E:$E,Data!$F:$F,"Revisar",0)</f>
        <v>NA</v>
      </c>
      <c r="J306" s="157" t="str">
        <f t="array" ref="J306">_xlfn.XLOOKUP($H306,Data!$E:$E,Data!$G:$G,"Revisar",0)</f>
        <v>NA</v>
      </c>
      <c r="K306" s="20" t="s">
        <v>24</v>
      </c>
      <c r="L306" s="18">
        <v>9</v>
      </c>
      <c r="M306" s="20"/>
      <c r="N306" s="14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ht="15" customHeight="1" x14ac:dyDescent="0.3">
      <c r="A307" s="147">
        <v>46269</v>
      </c>
      <c r="B307" s="14" t="s">
        <v>338</v>
      </c>
      <c r="C307" s="15">
        <v>-91574.5</v>
      </c>
      <c r="D307" s="17" t="s">
        <v>339</v>
      </c>
      <c r="E307" s="14" t="s">
        <v>338</v>
      </c>
      <c r="F307" s="18">
        <v>9</v>
      </c>
      <c r="G307" s="12" t="str">
        <f>IFERROR(VLOOKUP(D307,Data!$A:$B,2,0),"Revisar")</f>
        <v>Gastos Variables</v>
      </c>
      <c r="H307" s="20" t="s">
        <v>24</v>
      </c>
      <c r="I307" s="157" t="str">
        <f t="array" ref="I307">_xlfn.XLOOKUP($H307,Data!$E:$E,Data!$F:$F,"Revisar",0)</f>
        <v>NA</v>
      </c>
      <c r="J307" s="157" t="str">
        <f t="array" ref="J307">_xlfn.XLOOKUP($H307,Data!$E:$E,Data!$G:$G,"Revisar",0)</f>
        <v>NA</v>
      </c>
      <c r="K307" s="20" t="s">
        <v>24</v>
      </c>
      <c r="L307" s="18">
        <v>9</v>
      </c>
      <c r="M307" s="20"/>
      <c r="N307" s="14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ht="15" customHeight="1" x14ac:dyDescent="0.3">
      <c r="A308" s="147">
        <v>46269</v>
      </c>
      <c r="B308" s="14" t="s">
        <v>823</v>
      </c>
      <c r="C308" s="15">
        <v>5679735</v>
      </c>
      <c r="D308" s="17" t="s">
        <v>188</v>
      </c>
      <c r="E308" s="154" t="s">
        <v>827</v>
      </c>
      <c r="F308" s="18">
        <v>9</v>
      </c>
      <c r="G308" s="12" t="str">
        <f>IFERROR(VLOOKUP(D308,Data!$A:$B,2,0),"Revisar")</f>
        <v>Ingresos</v>
      </c>
      <c r="H308" s="20" t="s">
        <v>214</v>
      </c>
      <c r="I308" s="157" t="str">
        <f t="array" ref="I308">_xlfn.XLOOKUP($H308,Data!$E:$E,Data!$F:$F,"Revisar",0)</f>
        <v>ANIXTER</v>
      </c>
      <c r="J308" s="157" t="str">
        <f t="array" ref="J308">_xlfn.XLOOKUP($H308,Data!$E:$E,Data!$G:$G,"Revisar",0)</f>
        <v>Tiquetes y alojamiento Pedro Rodriguez</v>
      </c>
      <c r="K308" s="20" t="s">
        <v>143</v>
      </c>
      <c r="L308" s="18">
        <v>9</v>
      </c>
      <c r="M308" s="20" t="s">
        <v>213</v>
      </c>
      <c r="N308" s="14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ht="15" customHeight="1" x14ac:dyDescent="0.3">
      <c r="A309" s="59">
        <v>46269</v>
      </c>
      <c r="B309" s="60" t="s">
        <v>187</v>
      </c>
      <c r="C309" s="61">
        <v>1785000</v>
      </c>
      <c r="D309" s="62" t="s">
        <v>188</v>
      </c>
      <c r="E309" s="60" t="s">
        <v>891</v>
      </c>
      <c r="F309" s="63">
        <v>9</v>
      </c>
      <c r="G309" s="64" t="str">
        <f>IFERROR(VLOOKUP(D309,Data!$A:$B,2,0),"Revisar")</f>
        <v>Ingresos</v>
      </c>
      <c r="H309" s="65" t="s">
        <v>243</v>
      </c>
      <c r="I309" s="159" t="str">
        <f t="array" ref="I309">_xlfn.XLOOKUP($H309,Data!$E:$E,Data!$F:$F,"Revisar",0)</f>
        <v>AXIS</v>
      </c>
      <c r="J309" s="159" t="str">
        <f t="array" ref="J309">_xlfn.XLOOKUP($H309,Data!$E:$E,Data!$G:$G,"Revisar",0)</f>
        <v>Tarjetas regalo AMAZON y Pantalla</v>
      </c>
      <c r="K309" s="65" t="s">
        <v>143</v>
      </c>
      <c r="L309" s="63">
        <v>9</v>
      </c>
      <c r="M309" s="20" t="s">
        <v>242</v>
      </c>
      <c r="N309" s="14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t="15" customHeight="1" x14ac:dyDescent="0.3">
      <c r="A310" s="59">
        <v>46269</v>
      </c>
      <c r="B310" s="60" t="s">
        <v>187</v>
      </c>
      <c r="C310" s="61">
        <v>2356200</v>
      </c>
      <c r="D310" s="62" t="s">
        <v>188</v>
      </c>
      <c r="E310" s="60" t="s">
        <v>892</v>
      </c>
      <c r="F310" s="63">
        <v>9</v>
      </c>
      <c r="G310" s="64" t="str">
        <f>IFERROR(VLOOKUP(D310,Data!$A:$B,2,0),"Revisar")</f>
        <v>Ingresos</v>
      </c>
      <c r="H310" s="65" t="s">
        <v>248</v>
      </c>
      <c r="I310" s="159" t="str">
        <f t="array" ref="I310">_xlfn.XLOOKUP($H310,Data!$E:$E,Data!$F:$F,"Revisar",0)</f>
        <v>AXIS</v>
      </c>
      <c r="J310" s="159" t="str">
        <f t="array" ref="J310">_xlfn.XLOOKUP($H310,Data!$E:$E,Data!$G:$G,"Revisar",0)</f>
        <v>Produccion gomas</v>
      </c>
      <c r="K310" s="65" t="s">
        <v>143</v>
      </c>
      <c r="L310" s="63">
        <v>9</v>
      </c>
      <c r="M310" s="20" t="s">
        <v>247</v>
      </c>
      <c r="N310" s="14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 ht="15" customHeight="1" x14ac:dyDescent="0.3">
      <c r="A311" s="147">
        <v>46269</v>
      </c>
      <c r="B311" s="14" t="s">
        <v>77</v>
      </c>
      <c r="C311" s="15">
        <v>-7590</v>
      </c>
      <c r="D311" s="17" t="s">
        <v>78</v>
      </c>
      <c r="E311" s="14" t="s">
        <v>77</v>
      </c>
      <c r="F311" s="18">
        <v>9</v>
      </c>
      <c r="G311" s="12" t="str">
        <f>IFERROR(VLOOKUP(D311,Data!$A:$B,2,0),"Revisar")</f>
        <v>Gastos Variables</v>
      </c>
      <c r="H311" s="20" t="s">
        <v>24</v>
      </c>
      <c r="I311" s="157" t="str">
        <f t="array" ref="I311">_xlfn.XLOOKUP($H311,Data!$E:$E,Data!$F:$F,"Revisar",0)</f>
        <v>NA</v>
      </c>
      <c r="J311" s="157" t="str">
        <f t="array" ref="J311">_xlfn.XLOOKUP($H311,Data!$E:$E,Data!$G:$G,"Revisar",0)</f>
        <v>NA</v>
      </c>
      <c r="K311" s="20" t="s">
        <v>24</v>
      </c>
      <c r="L311" s="18">
        <v>9</v>
      </c>
      <c r="M311" s="20"/>
      <c r="N311" s="14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 ht="15" customHeight="1" x14ac:dyDescent="0.3">
      <c r="A312" s="147">
        <v>46269</v>
      </c>
      <c r="B312" s="14" t="s">
        <v>77</v>
      </c>
      <c r="C312" s="15">
        <v>-7590</v>
      </c>
      <c r="D312" s="17" t="s">
        <v>78</v>
      </c>
      <c r="E312" s="14" t="s">
        <v>77</v>
      </c>
      <c r="F312" s="18">
        <v>9</v>
      </c>
      <c r="G312" s="12" t="str">
        <f>IFERROR(VLOOKUP(D312,Data!$A:$B,2,0),"Revisar")</f>
        <v>Gastos Variables</v>
      </c>
      <c r="H312" s="20" t="s">
        <v>24</v>
      </c>
      <c r="I312" s="157" t="str">
        <f t="array" ref="I312">_xlfn.XLOOKUP($H312,Data!$E:$E,Data!$F:$F,"Revisar",0)</f>
        <v>NA</v>
      </c>
      <c r="J312" s="157" t="str">
        <f t="array" ref="J312">_xlfn.XLOOKUP($H312,Data!$E:$E,Data!$G:$G,"Revisar",0)</f>
        <v>NA</v>
      </c>
      <c r="K312" s="20" t="s">
        <v>24</v>
      </c>
      <c r="L312" s="18">
        <v>9</v>
      </c>
      <c r="M312" s="20"/>
      <c r="N312" s="14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 ht="15" customHeight="1" x14ac:dyDescent="0.3">
      <c r="A313" s="147">
        <v>46269</v>
      </c>
      <c r="B313" s="14" t="s">
        <v>108</v>
      </c>
      <c r="C313" s="15">
        <v>-15000000</v>
      </c>
      <c r="D313" s="17" t="s">
        <v>138</v>
      </c>
      <c r="E313" s="14" t="s">
        <v>825</v>
      </c>
      <c r="F313" s="18">
        <v>9</v>
      </c>
      <c r="G313" s="12" t="str">
        <f>IFERROR(VLOOKUP(D313,Data!$A:$B,2,0),"Revisar")</f>
        <v>Costo Ventas</v>
      </c>
      <c r="H313" s="20" t="s">
        <v>161</v>
      </c>
      <c r="I313" s="157" t="str">
        <f t="array" ref="I313">_xlfn.XLOOKUP($H313,Data!$E:$E,Data!$F:$F,"Revisar",0)</f>
        <v>Kaspersky</v>
      </c>
      <c r="J313" s="157" t="str">
        <f t="array" ref="J313">_xlfn.XLOOKUP($H313,Data!$E:$E,Data!$G:$G,"Revisar",0)</f>
        <v>Bolsa Incentivos 2026</v>
      </c>
      <c r="K313" s="20" t="s">
        <v>143</v>
      </c>
      <c r="L313" s="18">
        <v>9</v>
      </c>
      <c r="M313" s="20" t="s">
        <v>475</v>
      </c>
      <c r="N313" s="14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ht="15" customHeight="1" x14ac:dyDescent="0.3">
      <c r="A314" s="147">
        <v>46269</v>
      </c>
      <c r="B314" s="14" t="s">
        <v>108</v>
      </c>
      <c r="C314" s="15">
        <v>-760000</v>
      </c>
      <c r="D314" s="17" t="s">
        <v>138</v>
      </c>
      <c r="E314" s="14" t="s">
        <v>824</v>
      </c>
      <c r="F314" s="18">
        <v>9</v>
      </c>
      <c r="G314" s="12" t="str">
        <f>IFERROR(VLOOKUP(D314,Data!$A:$B,2,0),"Revisar")</f>
        <v>Costo Ventas</v>
      </c>
      <c r="H314" s="20" t="s">
        <v>274</v>
      </c>
      <c r="I314" s="157" t="str">
        <f t="array" ref="I314">_xlfn.XLOOKUP($H314,Data!$E:$E,Data!$F:$F,"Revisar",0)</f>
        <v>AXIS</v>
      </c>
      <c r="J314" s="157" t="str">
        <f t="array" ref="J314">_xlfn.XLOOKUP($H314,Data!$E:$E,Data!$G:$G,"Revisar",0)</f>
        <v>Catering ESS</v>
      </c>
      <c r="K314" s="20" t="s">
        <v>143</v>
      </c>
      <c r="L314" s="18">
        <v>9</v>
      </c>
      <c r="M314" s="20"/>
      <c r="N314" s="14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ht="15" customHeight="1" x14ac:dyDescent="0.3">
      <c r="A315" s="147">
        <v>46269</v>
      </c>
      <c r="B315" s="14" t="s">
        <v>84</v>
      </c>
      <c r="C315" s="15">
        <v>-6961500</v>
      </c>
      <c r="D315" s="17" t="s">
        <v>138</v>
      </c>
      <c r="E315" s="14" t="s">
        <v>901</v>
      </c>
      <c r="F315" s="18">
        <v>9</v>
      </c>
      <c r="G315" s="12" t="str">
        <f>IFERROR(VLOOKUP(D315,Data!$A:$B,2,0),"Revisar")</f>
        <v>Costo Ventas</v>
      </c>
      <c r="H315" s="20" t="s">
        <v>784</v>
      </c>
      <c r="I315" s="157" t="str">
        <f t="array" ref="I315">_xlfn.XLOOKUP($H315,Data!$E:$E,Data!$F:$F,"Revisar",0)</f>
        <v>MOTOROLA</v>
      </c>
      <c r="J315" s="157" t="str">
        <f t="array" ref="J315">_xlfn.XLOOKUP($H315,Data!$E:$E,Data!$G:$G,"Revisar",0)</f>
        <v>Entrepartners BOGOTA</v>
      </c>
      <c r="K315" s="20" t="s">
        <v>143</v>
      </c>
      <c r="L315" s="18">
        <v>9</v>
      </c>
      <c r="M315" s="20" t="s">
        <v>865</v>
      </c>
      <c r="N315" s="14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ht="15" customHeight="1" x14ac:dyDescent="0.3">
      <c r="A316" s="59">
        <v>46269</v>
      </c>
      <c r="B316" s="60" t="s">
        <v>84</v>
      </c>
      <c r="C316" s="61">
        <v>-2201500</v>
      </c>
      <c r="D316" s="62" t="s">
        <v>138</v>
      </c>
      <c r="E316" s="60" t="s">
        <v>899</v>
      </c>
      <c r="F316" s="63">
        <v>9</v>
      </c>
      <c r="G316" s="64" t="str">
        <f>IFERROR(VLOOKUP(D316,Data!$A:$B,2,0),"Revisar")</f>
        <v>Costo Ventas</v>
      </c>
      <c r="H316" s="65" t="s">
        <v>274</v>
      </c>
      <c r="I316" s="159" t="str">
        <f t="array" ref="I316">_xlfn.XLOOKUP($H316,Data!$E:$E,Data!$F:$F,"Revisar",0)</f>
        <v>AXIS</v>
      </c>
      <c r="J316" s="159" t="str">
        <f t="array" ref="J316">_xlfn.XLOOKUP($H316,Data!$E:$E,Data!$G:$G,"Revisar",0)</f>
        <v>Catering ESS</v>
      </c>
      <c r="K316" s="65" t="s">
        <v>143</v>
      </c>
      <c r="L316" s="63">
        <v>9</v>
      </c>
      <c r="M316" s="20" t="s">
        <v>606</v>
      </c>
      <c r="N316" s="14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ht="15" customHeight="1" x14ac:dyDescent="0.3">
      <c r="A317" s="59">
        <v>46269</v>
      </c>
      <c r="B317" s="60" t="s">
        <v>84</v>
      </c>
      <c r="C317" s="61">
        <v>-535500</v>
      </c>
      <c r="D317" s="62" t="s">
        <v>138</v>
      </c>
      <c r="E317" s="60" t="s">
        <v>900</v>
      </c>
      <c r="F317" s="63">
        <v>9</v>
      </c>
      <c r="G317" s="64" t="str">
        <f>IFERROR(VLOOKUP(D317,Data!$A:$B,2,0),"Revisar")</f>
        <v>Costo Ventas</v>
      </c>
      <c r="H317" s="65" t="s">
        <v>294</v>
      </c>
      <c r="I317" s="159" t="str">
        <f t="array" ref="I317">_xlfn.XLOOKUP($H317,Data!$E:$E,Data!$F:$F,"Revisar",0)</f>
        <v>AXIS</v>
      </c>
      <c r="J317" s="159" t="str">
        <f t="array" ref="J317">_xlfn.XLOOKUP($H317,Data!$E:$E,Data!$G:$G,"Revisar",0)</f>
        <v>Adicionales Mezanine ESS+</v>
      </c>
      <c r="K317" s="65" t="s">
        <v>143</v>
      </c>
      <c r="L317" s="63">
        <v>9</v>
      </c>
      <c r="M317" s="20" t="s">
        <v>606</v>
      </c>
      <c r="N317" s="14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 ht="15" customHeight="1" x14ac:dyDescent="0.3">
      <c r="A318" s="13">
        <v>46272</v>
      </c>
      <c r="B318" s="14" t="s">
        <v>31</v>
      </c>
      <c r="C318" s="15">
        <v>598.36</v>
      </c>
      <c r="D318" s="17" t="s">
        <v>32</v>
      </c>
      <c r="E318" s="14" t="s">
        <v>31</v>
      </c>
      <c r="F318" s="18">
        <v>9</v>
      </c>
      <c r="G318" s="12" t="str">
        <f>IFERROR(VLOOKUP(D318,Data!$A:$B,2,0),"Revisar")</f>
        <v>Gastos Variables</v>
      </c>
      <c r="H318" s="20" t="s">
        <v>24</v>
      </c>
      <c r="I318" s="157" t="str">
        <f t="array" ref="I318">_xlfn.XLOOKUP($H318,Data!$E:$E,Data!$F:$F,"Revisar",0)</f>
        <v>NA</v>
      </c>
      <c r="J318" s="157" t="str">
        <f t="array" ref="J318">_xlfn.XLOOKUP($H318,Data!$E:$E,Data!$G:$G,"Revisar",0)</f>
        <v>NA</v>
      </c>
      <c r="K318" s="20" t="s">
        <v>24</v>
      </c>
      <c r="L318" s="18">
        <v>9</v>
      </c>
      <c r="M318" s="20"/>
      <c r="N318" s="14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ht="15" customHeight="1" x14ac:dyDescent="0.3">
      <c r="A319" s="13">
        <v>46273</v>
      </c>
      <c r="B319" s="14" t="s">
        <v>31</v>
      </c>
      <c r="C319" s="15">
        <v>148.33000000000001</v>
      </c>
      <c r="D319" s="17" t="s">
        <v>32</v>
      </c>
      <c r="E319" s="14" t="s">
        <v>31</v>
      </c>
      <c r="F319" s="18">
        <v>9</v>
      </c>
      <c r="G319" s="12" t="str">
        <f>IFERROR(VLOOKUP(D319,Data!$A:$B,2,0),"Revisar")</f>
        <v>Gastos Variables</v>
      </c>
      <c r="H319" s="20" t="s">
        <v>24</v>
      </c>
      <c r="I319" s="157" t="str">
        <f t="array" ref="I319">_xlfn.XLOOKUP($H319,Data!$E:$E,Data!$F:$F,"Revisar",0)</f>
        <v>NA</v>
      </c>
      <c r="J319" s="157" t="str">
        <f t="array" ref="J319">_xlfn.XLOOKUP($H319,Data!$E:$E,Data!$G:$G,"Revisar",0)</f>
        <v>NA</v>
      </c>
      <c r="K319" s="20" t="s">
        <v>24</v>
      </c>
      <c r="L319" s="18">
        <v>9</v>
      </c>
      <c r="M319" s="20"/>
      <c r="N319" s="14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ht="15" customHeight="1" x14ac:dyDescent="0.3">
      <c r="A320" s="13">
        <v>46273</v>
      </c>
      <c r="B320" s="14" t="s">
        <v>89</v>
      </c>
      <c r="C320" s="15">
        <v>-1442.1</v>
      </c>
      <c r="D320" s="17" t="s">
        <v>90</v>
      </c>
      <c r="E320" s="14" t="s">
        <v>89</v>
      </c>
      <c r="F320" s="18">
        <v>9</v>
      </c>
      <c r="G320" s="12" t="str">
        <f>IFERROR(VLOOKUP(D320,Data!$A:$B,2,0),"Revisar")</f>
        <v>Imp x Pagar - IVA</v>
      </c>
      <c r="H320" s="20" t="s">
        <v>24</v>
      </c>
      <c r="I320" s="157" t="str">
        <f t="array" ref="I320">_xlfn.XLOOKUP($H320,Data!$E:$E,Data!$F:$F,"Revisar",0)</f>
        <v>NA</v>
      </c>
      <c r="J320" s="157" t="str">
        <f t="array" ref="J320">_xlfn.XLOOKUP($H320,Data!$E:$E,Data!$G:$G,"Revisar",0)</f>
        <v>NA</v>
      </c>
      <c r="K320" s="20" t="s">
        <v>24</v>
      </c>
      <c r="L320" s="18">
        <v>9</v>
      </c>
      <c r="M320" s="20"/>
      <c r="N320" s="14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ht="15" customHeight="1" x14ac:dyDescent="0.3">
      <c r="A321" s="13">
        <v>46273</v>
      </c>
      <c r="B321" s="14" t="s">
        <v>338</v>
      </c>
      <c r="C321" s="15">
        <v>-1836.12</v>
      </c>
      <c r="D321" s="17" t="s">
        <v>339</v>
      </c>
      <c r="E321" s="14" t="s">
        <v>338</v>
      </c>
      <c r="F321" s="18">
        <v>9</v>
      </c>
      <c r="G321" s="12" t="str">
        <f>IFERROR(VLOOKUP(D321,Data!$A:$B,2,0),"Revisar")</f>
        <v>Gastos Variables</v>
      </c>
      <c r="H321" s="20" t="s">
        <v>24</v>
      </c>
      <c r="I321" s="157" t="str">
        <f t="array" ref="I321">_xlfn.XLOOKUP($H321,Data!$E:$E,Data!$F:$F,"Revisar",0)</f>
        <v>NA</v>
      </c>
      <c r="J321" s="157" t="str">
        <f t="array" ref="J321">_xlfn.XLOOKUP($H321,Data!$E:$E,Data!$G:$G,"Revisar",0)</f>
        <v>NA</v>
      </c>
      <c r="K321" s="20" t="s">
        <v>24</v>
      </c>
      <c r="L321" s="18">
        <v>9</v>
      </c>
      <c r="M321" s="20"/>
      <c r="N321" s="14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ht="15" customHeight="1" x14ac:dyDescent="0.3">
      <c r="A322" s="13">
        <v>46273</v>
      </c>
      <c r="B322" s="14" t="s">
        <v>77</v>
      </c>
      <c r="C322" s="15">
        <v>-7590</v>
      </c>
      <c r="D322" s="17" t="s">
        <v>78</v>
      </c>
      <c r="E322" s="14" t="s">
        <v>77</v>
      </c>
      <c r="F322" s="18">
        <v>9</v>
      </c>
      <c r="G322" s="12" t="str">
        <f>IFERROR(VLOOKUP(D322,Data!$A:$B,2,0),"Revisar")</f>
        <v>Gastos Variables</v>
      </c>
      <c r="H322" s="20" t="s">
        <v>24</v>
      </c>
      <c r="I322" s="157" t="str">
        <f t="array" ref="I322">_xlfn.XLOOKUP($H322,Data!$E:$E,Data!$F:$F,"Revisar",0)</f>
        <v>NA</v>
      </c>
      <c r="J322" s="157" t="str">
        <f t="array" ref="J322">_xlfn.XLOOKUP($H322,Data!$E:$E,Data!$G:$G,"Revisar",0)</f>
        <v>NA</v>
      </c>
      <c r="K322" s="20" t="s">
        <v>24</v>
      </c>
      <c r="L322" s="18">
        <v>9</v>
      </c>
      <c r="M322" s="20"/>
      <c r="N322" s="14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ht="15" customHeight="1" x14ac:dyDescent="0.3">
      <c r="A323" s="13">
        <v>46273</v>
      </c>
      <c r="B323" s="14" t="s">
        <v>84</v>
      </c>
      <c r="C323" s="15">
        <v>-450000</v>
      </c>
      <c r="D323" s="17" t="s">
        <v>138</v>
      </c>
      <c r="E323" s="14" t="s">
        <v>878</v>
      </c>
      <c r="F323" s="18">
        <v>9</v>
      </c>
      <c r="G323" s="12" t="str">
        <f>IFERROR(VLOOKUP(D323,Data!$A:$B,2,0),"Revisar")</f>
        <v>Costo Ventas</v>
      </c>
      <c r="H323" s="20" t="s">
        <v>294</v>
      </c>
      <c r="I323" s="157" t="str">
        <f t="array" ref="I323">_xlfn.XLOOKUP($H323,Data!$E:$E,Data!$F:$F,"Revisar",0)</f>
        <v>AXIS</v>
      </c>
      <c r="J323" s="157" t="str">
        <f t="array" ref="J323">_xlfn.XLOOKUP($H323,Data!$E:$E,Data!$G:$G,"Revisar",0)</f>
        <v>Adicionales Mezanine ESS+</v>
      </c>
      <c r="K323" s="20" t="s">
        <v>143</v>
      </c>
      <c r="L323" s="18">
        <v>9</v>
      </c>
      <c r="M323" s="20"/>
      <c r="N323" s="14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ht="15" customHeight="1" x14ac:dyDescent="0.3">
      <c r="A324" s="13">
        <v>46274</v>
      </c>
      <c r="B324" s="14" t="s">
        <v>31</v>
      </c>
      <c r="C324" s="15">
        <v>159.44999999999999</v>
      </c>
      <c r="D324" s="17" t="s">
        <v>32</v>
      </c>
      <c r="E324" s="14" t="s">
        <v>31</v>
      </c>
      <c r="F324" s="18">
        <v>9</v>
      </c>
      <c r="G324" s="12" t="str">
        <f>IFERROR(VLOOKUP(D324,Data!$A:$B,2,0),"Revisar")</f>
        <v>Gastos Variables</v>
      </c>
      <c r="H324" s="20" t="s">
        <v>24</v>
      </c>
      <c r="I324" s="157" t="str">
        <f t="array" ref="I324">_xlfn.XLOOKUP($H324,Data!$E:$E,Data!$F:$F,"Revisar",0)</f>
        <v>NA</v>
      </c>
      <c r="J324" s="157" t="str">
        <f t="array" ref="J324">_xlfn.XLOOKUP($H324,Data!$E:$E,Data!$G:$G,"Revisar",0)</f>
        <v>NA</v>
      </c>
      <c r="K324" s="20" t="s">
        <v>24</v>
      </c>
      <c r="L324" s="18">
        <v>9</v>
      </c>
      <c r="M324" s="20"/>
      <c r="N324" s="14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ht="15" customHeight="1" x14ac:dyDescent="0.3">
      <c r="A325" s="13">
        <v>46274</v>
      </c>
      <c r="B325" s="14" t="s">
        <v>765</v>
      </c>
      <c r="C325" s="15">
        <v>1521409.36</v>
      </c>
      <c r="D325" s="17" t="s">
        <v>188</v>
      </c>
      <c r="E325" s="14" t="s">
        <v>889</v>
      </c>
      <c r="F325" s="18">
        <v>9</v>
      </c>
      <c r="G325" s="12" t="str">
        <f>IFERROR(VLOOKUP(D325,Data!$A:$B,2,0),"Revisar")</f>
        <v>Ingresos</v>
      </c>
      <c r="H325" s="20" t="s">
        <v>259</v>
      </c>
      <c r="I325" s="157" t="str">
        <f t="array" ref="I325">_xlfn.XLOOKUP($H325,Data!$E:$E,Data!$F:$F,"Revisar",0)</f>
        <v>Commscope</v>
      </c>
      <c r="J325" s="157" t="str">
        <f t="array" ref="J325">_xlfn.XLOOKUP($H325,Data!$E:$E,Data!$G:$G,"Revisar",0)</f>
        <v>Maletas VIP</v>
      </c>
      <c r="K325" s="20" t="s">
        <v>143</v>
      </c>
      <c r="L325" s="18">
        <v>9</v>
      </c>
      <c r="M325" s="20" t="s">
        <v>258</v>
      </c>
      <c r="N325" s="14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ht="15" customHeight="1" x14ac:dyDescent="0.3">
      <c r="A326" s="13">
        <v>46274</v>
      </c>
      <c r="B326" s="14" t="s">
        <v>765</v>
      </c>
      <c r="C326" s="15">
        <v>2538706.81</v>
      </c>
      <c r="D326" s="17" t="s">
        <v>188</v>
      </c>
      <c r="E326" s="14" t="s">
        <v>890</v>
      </c>
      <c r="F326" s="18">
        <v>9</v>
      </c>
      <c r="G326" s="12" t="str">
        <f>IFERROR(VLOOKUP(D326,Data!$A:$B,2,0),"Revisar")</f>
        <v>Ingresos</v>
      </c>
      <c r="H326" s="20" t="s">
        <v>235</v>
      </c>
      <c r="I326" s="157" t="str">
        <f t="array" ref="I326">_xlfn.XLOOKUP($H326,Data!$E:$E,Data!$F:$F,"Revisar",0)</f>
        <v>Commscope</v>
      </c>
      <c r="J326" s="157" t="str">
        <f t="array" ref="J326">_xlfn.XLOOKUP($H326,Data!$E:$E,Data!$G:$G,"Revisar",0)</f>
        <v>Brochures COMMSCOPE</v>
      </c>
      <c r="K326" s="20" t="s">
        <v>143</v>
      </c>
      <c r="L326" s="18">
        <v>9</v>
      </c>
      <c r="M326" s="20" t="s">
        <v>234</v>
      </c>
      <c r="N326" s="14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ht="15" customHeight="1" x14ac:dyDescent="0.3">
      <c r="A327" s="13">
        <v>46275</v>
      </c>
      <c r="B327" s="14" t="s">
        <v>31</v>
      </c>
      <c r="C327" s="15">
        <v>156.87</v>
      </c>
      <c r="D327" s="17" t="s">
        <v>32</v>
      </c>
      <c r="E327" s="14" t="s">
        <v>31</v>
      </c>
      <c r="F327" s="18">
        <v>9</v>
      </c>
      <c r="G327" s="12" t="str">
        <f>IFERROR(VLOOKUP(D327,Data!$A:$B,2,0),"Revisar")</f>
        <v>Gastos Variables</v>
      </c>
      <c r="H327" s="20" t="s">
        <v>24</v>
      </c>
      <c r="I327" s="157" t="str">
        <f t="array" ref="I327">_xlfn.XLOOKUP($H327,Data!$E:$E,Data!$F:$F,"Revisar",0)</f>
        <v>NA</v>
      </c>
      <c r="J327" s="157" t="str">
        <f t="array" ref="J327">_xlfn.XLOOKUP($H327,Data!$E:$E,Data!$G:$G,"Revisar",0)</f>
        <v>NA</v>
      </c>
      <c r="K327" s="20" t="s">
        <v>24</v>
      </c>
      <c r="L327" s="18">
        <v>9</v>
      </c>
      <c r="M327" s="20"/>
      <c r="N327" s="14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ht="15" customHeight="1" x14ac:dyDescent="0.3">
      <c r="A328" s="13">
        <v>46275</v>
      </c>
      <c r="B328" s="14" t="s">
        <v>840</v>
      </c>
      <c r="C328" s="15">
        <v>-18050</v>
      </c>
      <c r="D328" s="17" t="s">
        <v>55</v>
      </c>
      <c r="E328" s="14" t="s">
        <v>840</v>
      </c>
      <c r="F328" s="18">
        <v>9</v>
      </c>
      <c r="G328" s="12" t="str">
        <f>IFERROR(VLOOKUP(D328,Data!$A:$B,2,0),"Revisar")</f>
        <v>Costos Fijos</v>
      </c>
      <c r="H328" s="20" t="s">
        <v>24</v>
      </c>
      <c r="I328" s="157" t="str">
        <f t="array" ref="I328">_xlfn.XLOOKUP($H328,Data!$E:$E,Data!$F:$F,"Revisar",0)</f>
        <v>NA</v>
      </c>
      <c r="J328" s="157" t="str">
        <f t="array" ref="J328">_xlfn.XLOOKUP($H328,Data!$E:$E,Data!$G:$G,"Revisar",0)</f>
        <v>NA</v>
      </c>
      <c r="K328" s="20" t="s">
        <v>24</v>
      </c>
      <c r="L328" s="18">
        <v>9</v>
      </c>
      <c r="M328" s="20"/>
      <c r="N328" s="14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ht="15" customHeight="1" x14ac:dyDescent="0.3">
      <c r="A329" s="13">
        <v>46275</v>
      </c>
      <c r="B329" s="14" t="s">
        <v>841</v>
      </c>
      <c r="C329" s="15">
        <v>-24000</v>
      </c>
      <c r="D329" s="17" t="s">
        <v>138</v>
      </c>
      <c r="E329" s="14" t="s">
        <v>893</v>
      </c>
      <c r="F329" s="18">
        <v>9</v>
      </c>
      <c r="G329" s="12" t="str">
        <f>IFERROR(VLOOKUP(D329,Data!$A:$B,2,0),"Revisar")</f>
        <v>Costo Ventas</v>
      </c>
      <c r="H329" s="20" t="s">
        <v>784</v>
      </c>
      <c r="I329" s="157" t="str">
        <f t="array" ref="I329">_xlfn.XLOOKUP($H329,Data!$E:$E,Data!$F:$F,"Revisar",0)</f>
        <v>MOTOROLA</v>
      </c>
      <c r="J329" s="157" t="str">
        <f t="array" ref="J329">_xlfn.XLOOKUP($H329,Data!$E:$E,Data!$G:$G,"Revisar",0)</f>
        <v>Entrepartners BOGOTA</v>
      </c>
      <c r="K329" s="20" t="s">
        <v>30</v>
      </c>
      <c r="L329" s="18">
        <v>9</v>
      </c>
      <c r="M329" s="20" t="s">
        <v>842</v>
      </c>
      <c r="N329" s="14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ht="15" customHeight="1" x14ac:dyDescent="0.3">
      <c r="A330" s="13">
        <v>46275</v>
      </c>
      <c r="B330" s="14" t="s">
        <v>338</v>
      </c>
      <c r="C330" s="15">
        <v>-3750.1</v>
      </c>
      <c r="D330" s="17" t="s">
        <v>339</v>
      </c>
      <c r="E330" s="14" t="s">
        <v>338</v>
      </c>
      <c r="F330" s="18">
        <v>9</v>
      </c>
      <c r="G330" s="12" t="str">
        <f>IFERROR(VLOOKUP(D330,Data!$A:$B,2,0),"Revisar")</f>
        <v>Gastos Variables</v>
      </c>
      <c r="H330" s="20" t="s">
        <v>24</v>
      </c>
      <c r="I330" s="157" t="str">
        <f t="array" ref="I330">_xlfn.XLOOKUP($H330,Data!$E:$E,Data!$F:$F,"Revisar",0)</f>
        <v>NA</v>
      </c>
      <c r="J330" s="157" t="str">
        <f t="array" ref="J330">_xlfn.XLOOKUP($H330,Data!$E:$E,Data!$G:$G,"Revisar",0)</f>
        <v>NA</v>
      </c>
      <c r="K330" s="20" t="s">
        <v>24</v>
      </c>
      <c r="L330" s="18">
        <v>9</v>
      </c>
      <c r="M330" s="20"/>
      <c r="N330" s="14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ht="15" customHeight="1" x14ac:dyDescent="0.3">
      <c r="A331" s="59">
        <v>46275</v>
      </c>
      <c r="B331" s="60" t="s">
        <v>108</v>
      </c>
      <c r="C331" s="61">
        <v>-613445</v>
      </c>
      <c r="D331" s="62" t="s">
        <v>138</v>
      </c>
      <c r="E331" s="60" t="s">
        <v>904</v>
      </c>
      <c r="F331" s="63">
        <v>9</v>
      </c>
      <c r="G331" s="64" t="str">
        <f>IFERROR(VLOOKUP(D331,Data!$A:$B,2,0),"Revisar")</f>
        <v>Costo Ventas</v>
      </c>
      <c r="H331" s="65" t="s">
        <v>784</v>
      </c>
      <c r="I331" s="159" t="str">
        <f t="array" ref="I331">_xlfn.XLOOKUP($H331,Data!$E:$E,Data!$F:$F,"Revisar",0)</f>
        <v>MOTOROLA</v>
      </c>
      <c r="J331" s="159" t="str">
        <f t="array" ref="J331">_xlfn.XLOOKUP($H331,Data!$E:$E,Data!$G:$G,"Revisar",0)</f>
        <v>Entrepartners BOGOTA</v>
      </c>
      <c r="K331" s="65" t="s">
        <v>143</v>
      </c>
      <c r="L331" s="63">
        <v>9</v>
      </c>
      <c r="M331" s="20" t="s">
        <v>868</v>
      </c>
      <c r="N331" s="14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ht="15" customHeight="1" x14ac:dyDescent="0.3">
      <c r="A332" s="59">
        <v>46275</v>
      </c>
      <c r="B332" s="60" t="s">
        <v>108</v>
      </c>
      <c r="C332" s="61">
        <v>-141015</v>
      </c>
      <c r="D332" s="62" t="s">
        <v>138</v>
      </c>
      <c r="E332" s="60" t="s">
        <v>905</v>
      </c>
      <c r="F332" s="63">
        <v>9</v>
      </c>
      <c r="G332" s="64" t="str">
        <f>IFERROR(VLOOKUP(D332,Data!$A:$B,2,0),"Revisar")</f>
        <v>Costo Ventas</v>
      </c>
      <c r="H332" s="65" t="s">
        <v>882</v>
      </c>
      <c r="I332" s="159" t="str">
        <f t="array" ref="I332">_xlfn.XLOOKUP($H332,Data!$E:$E,Data!$F:$F,"Revisar",0)</f>
        <v>MOTOROLA</v>
      </c>
      <c r="J332" s="159" t="str">
        <f t="array" ref="J332">_xlfn.XLOOKUP($H332,Data!$E:$E,Data!$G:$G,"Revisar",0)</f>
        <v>Entrepartners CALI</v>
      </c>
      <c r="K332" s="65" t="s">
        <v>143</v>
      </c>
      <c r="L332" s="63">
        <v>9</v>
      </c>
      <c r="M332" s="20" t="s">
        <v>869</v>
      </c>
      <c r="N332" s="14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ht="15" customHeight="1" x14ac:dyDescent="0.3">
      <c r="A333" s="59">
        <v>46275</v>
      </c>
      <c r="B333" s="60" t="s">
        <v>108</v>
      </c>
      <c r="C333" s="61">
        <v>-141015</v>
      </c>
      <c r="D333" s="62" t="s">
        <v>138</v>
      </c>
      <c r="E333" s="60" t="s">
        <v>906</v>
      </c>
      <c r="F333" s="63">
        <v>9</v>
      </c>
      <c r="G333" s="64" t="str">
        <f>IFERROR(VLOOKUP(D333,Data!$A:$B,2,0),"Revisar")</f>
        <v>Costo Ventas</v>
      </c>
      <c r="H333" s="65" t="s">
        <v>883</v>
      </c>
      <c r="I333" s="159" t="str">
        <f t="array" ref="I333">_xlfn.XLOOKUP($H333,Data!$E:$E,Data!$F:$F,"Revisar",0)</f>
        <v>MOTOROLA</v>
      </c>
      <c r="J333" s="159" t="str">
        <f t="array" ref="J333">_xlfn.XLOOKUP($H333,Data!$E:$E,Data!$G:$G,"Revisar",0)</f>
        <v>Entrepartners MEDELLIN</v>
      </c>
      <c r="K333" s="65" t="s">
        <v>143</v>
      </c>
      <c r="L333" s="63">
        <v>9</v>
      </c>
      <c r="M333" s="20" t="s">
        <v>869</v>
      </c>
      <c r="N333" s="14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ht="15" customHeight="1" x14ac:dyDescent="0.3">
      <c r="A334" s="13">
        <v>46276</v>
      </c>
      <c r="B334" s="14" t="s">
        <v>31</v>
      </c>
      <c r="C334" s="15">
        <v>264.66000000000003</v>
      </c>
      <c r="D334" s="17" t="s">
        <v>32</v>
      </c>
      <c r="E334" s="14" t="s">
        <v>31</v>
      </c>
      <c r="F334" s="18">
        <v>9</v>
      </c>
      <c r="G334" s="12" t="str">
        <f>IFERROR(VLOOKUP(D334,Data!$A:$B,2,0),"Revisar")</f>
        <v>Gastos Variables</v>
      </c>
      <c r="H334" s="20" t="s">
        <v>24</v>
      </c>
      <c r="I334" s="157" t="str">
        <f t="array" ref="I334">_xlfn.XLOOKUP($H334,Data!$E:$E,Data!$F:$F,"Revisar",0)</f>
        <v>NA</v>
      </c>
      <c r="J334" s="157" t="str">
        <f t="array" ref="J334">_xlfn.XLOOKUP($H334,Data!$E:$E,Data!$G:$G,"Revisar",0)</f>
        <v>NA</v>
      </c>
      <c r="K334" s="20" t="s">
        <v>24</v>
      </c>
      <c r="L334" s="18">
        <v>9</v>
      </c>
      <c r="M334" s="20"/>
      <c r="N334" s="14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ht="15" customHeight="1" x14ac:dyDescent="0.3">
      <c r="A335" s="13">
        <v>46276</v>
      </c>
      <c r="B335" s="14" t="s">
        <v>187</v>
      </c>
      <c r="C335" s="15">
        <v>39343373</v>
      </c>
      <c r="D335" s="17" t="s">
        <v>188</v>
      </c>
      <c r="E335" s="14" t="s">
        <v>187</v>
      </c>
      <c r="F335" s="18">
        <v>9</v>
      </c>
      <c r="G335" s="12" t="str">
        <f>IFERROR(VLOOKUP(D335,Data!$A:$B,2,0),"Revisar")</f>
        <v>Ingresos</v>
      </c>
      <c r="H335" s="20" t="s">
        <v>274</v>
      </c>
      <c r="I335" s="157" t="str">
        <f t="array" ref="I335">_xlfn.XLOOKUP($H335,Data!$E:$E,Data!$F:$F,"Revisar",0)</f>
        <v>AXIS</v>
      </c>
      <c r="J335" s="157" t="str">
        <f t="array" ref="J335">_xlfn.XLOOKUP($H335,Data!$E:$E,Data!$G:$G,"Revisar",0)</f>
        <v>Catering ESS</v>
      </c>
      <c r="K335" s="20" t="s">
        <v>143</v>
      </c>
      <c r="L335" s="18">
        <v>9</v>
      </c>
      <c r="M335" s="20" t="s">
        <v>273</v>
      </c>
      <c r="N335" s="14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ht="15" customHeight="1" x14ac:dyDescent="0.3">
      <c r="A336" s="13">
        <v>46277</v>
      </c>
      <c r="B336" s="14" t="s">
        <v>31</v>
      </c>
      <c r="C336" s="15">
        <v>264.04000000000002</v>
      </c>
      <c r="D336" s="17" t="s">
        <v>32</v>
      </c>
      <c r="E336" s="14" t="s">
        <v>31</v>
      </c>
      <c r="F336" s="18">
        <v>9</v>
      </c>
      <c r="G336" s="12" t="str">
        <f>IFERROR(VLOOKUP(D336,Data!$A:$B,2,0),"Revisar")</f>
        <v>Gastos Variables</v>
      </c>
      <c r="H336" s="20" t="s">
        <v>24</v>
      </c>
      <c r="I336" s="157" t="str">
        <f t="array" ref="I336">_xlfn.XLOOKUP($H336,Data!$E:$E,Data!$F:$F,"Revisar",0)</f>
        <v>NA</v>
      </c>
      <c r="J336" s="157" t="str">
        <f t="array" ref="J336">_xlfn.XLOOKUP($H336,Data!$E:$E,Data!$G:$G,"Revisar",0)</f>
        <v>NA</v>
      </c>
      <c r="K336" s="20" t="s">
        <v>24</v>
      </c>
      <c r="L336" s="18">
        <v>9</v>
      </c>
      <c r="M336" s="20"/>
      <c r="N336" s="14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ht="15" customHeight="1" x14ac:dyDescent="0.3">
      <c r="A337" s="13">
        <v>46277</v>
      </c>
      <c r="B337" s="14" t="s">
        <v>697</v>
      </c>
      <c r="C337" s="15">
        <v>-226210</v>
      </c>
      <c r="D337" s="17" t="s">
        <v>138</v>
      </c>
      <c r="E337" s="14" t="s">
        <v>894</v>
      </c>
      <c r="F337" s="18">
        <v>9</v>
      </c>
      <c r="G337" s="12" t="str">
        <f>IFERROR(VLOOKUP(D337,Data!$A:$B,2,0),"Revisar")</f>
        <v>Costo Ventas</v>
      </c>
      <c r="H337" s="20" t="s">
        <v>784</v>
      </c>
      <c r="I337" s="157" t="str">
        <f t="array" ref="I337">_xlfn.XLOOKUP($H337,Data!$E:$E,Data!$F:$F,"Revisar",0)</f>
        <v>MOTOROLA</v>
      </c>
      <c r="J337" s="157" t="str">
        <f t="array" ref="J337">_xlfn.XLOOKUP($H337,Data!$E:$E,Data!$G:$G,"Revisar",0)</f>
        <v>Entrepartners BOGOTA</v>
      </c>
      <c r="K337" s="20" t="s">
        <v>30</v>
      </c>
      <c r="L337" s="18">
        <v>9</v>
      </c>
      <c r="M337" s="20" t="s">
        <v>843</v>
      </c>
      <c r="N337" s="14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ht="15" customHeight="1" x14ac:dyDescent="0.3">
      <c r="A338" s="13">
        <v>46277</v>
      </c>
      <c r="B338" s="14" t="s">
        <v>338</v>
      </c>
      <c r="C338" s="15">
        <v>-904.84</v>
      </c>
      <c r="D338" s="17" t="s">
        <v>339</v>
      </c>
      <c r="E338" s="14" t="s">
        <v>338</v>
      </c>
      <c r="F338" s="18">
        <v>9</v>
      </c>
      <c r="G338" s="12" t="str">
        <f>IFERROR(VLOOKUP(D338,Data!$A:$B,2,0),"Revisar")</f>
        <v>Gastos Variables</v>
      </c>
      <c r="H338" s="20" t="s">
        <v>24</v>
      </c>
      <c r="I338" s="157" t="str">
        <f t="array" ref="I338">_xlfn.XLOOKUP($H338,Data!$E:$E,Data!$F:$F,"Revisar",0)</f>
        <v>NA</v>
      </c>
      <c r="J338" s="157" t="str">
        <f t="array" ref="J338">_xlfn.XLOOKUP($H338,Data!$E:$E,Data!$G:$G,"Revisar",0)</f>
        <v>NA</v>
      </c>
      <c r="K338" s="20" t="s">
        <v>24</v>
      </c>
      <c r="L338" s="18">
        <v>9</v>
      </c>
      <c r="M338" s="20"/>
      <c r="N338" s="14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ht="15" customHeight="1" x14ac:dyDescent="0.3">
      <c r="A339" s="13">
        <v>46278</v>
      </c>
      <c r="B339" s="14" t="s">
        <v>338</v>
      </c>
      <c r="C339" s="15">
        <v>-47036.800000000003</v>
      </c>
      <c r="D339" s="17" t="s">
        <v>339</v>
      </c>
      <c r="E339" s="14" t="s">
        <v>338</v>
      </c>
      <c r="F339" s="18">
        <v>9</v>
      </c>
      <c r="G339" s="12" t="str">
        <f>IFERROR(VLOOKUP(D339,Data!$A:$B,2,0),"Revisar")</f>
        <v>Gastos Variables</v>
      </c>
      <c r="H339" s="20" t="s">
        <v>24</v>
      </c>
      <c r="I339" s="157" t="str">
        <f t="array" ref="I339">_xlfn.XLOOKUP($H339,Data!$E:$E,Data!$F:$F,"Revisar",0)</f>
        <v>NA</v>
      </c>
      <c r="J339" s="157" t="str">
        <f t="array" ref="J339">_xlfn.XLOOKUP($H339,Data!$E:$E,Data!$G:$G,"Revisar",0)</f>
        <v>NA</v>
      </c>
      <c r="K339" s="20" t="s">
        <v>24</v>
      </c>
      <c r="L339" s="18">
        <v>9</v>
      </c>
      <c r="M339" s="20"/>
      <c r="N339" s="14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ht="15" customHeight="1" x14ac:dyDescent="0.3">
      <c r="A340" s="13">
        <v>46278</v>
      </c>
      <c r="B340" s="14" t="s">
        <v>108</v>
      </c>
      <c r="C340" s="15">
        <v>-9609200</v>
      </c>
      <c r="D340" s="17" t="s">
        <v>138</v>
      </c>
      <c r="E340" s="14" t="s">
        <v>879</v>
      </c>
      <c r="F340" s="18">
        <v>9</v>
      </c>
      <c r="G340" s="12" t="str">
        <f>IFERROR(VLOOKUP(D340,Data!$A:$B,2,0),"Revisar")</f>
        <v>Costo Ventas</v>
      </c>
      <c r="H340" s="20" t="s">
        <v>161</v>
      </c>
      <c r="I340" s="157" t="str">
        <f t="array" ref="I340">_xlfn.XLOOKUP($H340,Data!$E:$E,Data!$F:$F,"Revisar",0)</f>
        <v>Kaspersky</v>
      </c>
      <c r="J340" s="157" t="str">
        <f t="array" ref="J340">_xlfn.XLOOKUP($H340,Data!$E:$E,Data!$G:$G,"Revisar",0)</f>
        <v>Bolsa Incentivos 2026</v>
      </c>
      <c r="K340" s="20" t="s">
        <v>143</v>
      </c>
      <c r="L340" s="18">
        <v>9</v>
      </c>
      <c r="M340" s="20" t="s">
        <v>475</v>
      </c>
      <c r="N340" s="14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ht="15" customHeight="1" x14ac:dyDescent="0.3">
      <c r="A341" s="13">
        <v>46278</v>
      </c>
      <c r="B341" s="14" t="s">
        <v>108</v>
      </c>
      <c r="C341" s="15">
        <v>-2150000</v>
      </c>
      <c r="D341" s="17" t="s">
        <v>85</v>
      </c>
      <c r="E341" s="14" t="s">
        <v>880</v>
      </c>
      <c r="F341" s="18">
        <v>9</v>
      </c>
      <c r="G341" s="12" t="str">
        <f>IFERROR(VLOOKUP(D341,Data!$A:$B,2,0),"Revisar")</f>
        <v>Costos Operacionales</v>
      </c>
      <c r="H341" s="20" t="s">
        <v>24</v>
      </c>
      <c r="I341" s="157" t="str">
        <f t="array" ref="I341">_xlfn.XLOOKUP($H341,Data!$E:$E,Data!$F:$F,"Revisar",0)</f>
        <v>NA</v>
      </c>
      <c r="J341" s="157" t="str">
        <f t="array" ref="J341">_xlfn.XLOOKUP($H341,Data!$E:$E,Data!$G:$G,"Revisar",0)</f>
        <v>NA</v>
      </c>
      <c r="K341" s="20" t="s">
        <v>143</v>
      </c>
      <c r="L341" s="18">
        <v>9</v>
      </c>
      <c r="M341" s="20" t="s">
        <v>872</v>
      </c>
      <c r="N341" s="14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ht="15" customHeight="1" x14ac:dyDescent="0.3">
      <c r="A342" s="13">
        <v>46279</v>
      </c>
      <c r="B342" s="14" t="s">
        <v>600</v>
      </c>
      <c r="C342" s="15">
        <v>-18131000</v>
      </c>
      <c r="D342" s="17" t="s">
        <v>361</v>
      </c>
      <c r="E342" s="14" t="s">
        <v>600</v>
      </c>
      <c r="F342" s="18">
        <v>9</v>
      </c>
      <c r="G342" s="12" t="str">
        <f>IFERROR(VLOOKUP(D342,Data!$A:$B,2,0),"Revisar")</f>
        <v>Impuestos</v>
      </c>
      <c r="H342" s="20" t="s">
        <v>24</v>
      </c>
      <c r="I342" s="157" t="str">
        <f t="array" ref="I342">_xlfn.XLOOKUP($H342,Data!$E:$E,Data!$F:$F,"Revisar",0)</f>
        <v>NA</v>
      </c>
      <c r="J342" s="157" t="str">
        <f t="array" ref="J342">_xlfn.XLOOKUP($H342,Data!$E:$E,Data!$G:$G,"Revisar",0)</f>
        <v>NA</v>
      </c>
      <c r="K342" s="20" t="s">
        <v>24</v>
      </c>
      <c r="L342" s="18">
        <v>9</v>
      </c>
      <c r="M342" s="20"/>
      <c r="N342" s="14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ht="15" customHeight="1" x14ac:dyDescent="0.3">
      <c r="A343" s="13">
        <v>46279</v>
      </c>
      <c r="B343" s="14" t="s">
        <v>108</v>
      </c>
      <c r="C343" s="15">
        <v>-600000</v>
      </c>
      <c r="D343" s="17" t="s">
        <v>138</v>
      </c>
      <c r="E343" s="14" t="s">
        <v>895</v>
      </c>
      <c r="F343" s="18">
        <v>9</v>
      </c>
      <c r="G343" s="12" t="str">
        <f>IFERROR(VLOOKUP(D343,Data!$A:$B,2,0),"Revisar")</f>
        <v>Costo Ventas</v>
      </c>
      <c r="H343" s="20" t="s">
        <v>167</v>
      </c>
      <c r="I343" s="157" t="str">
        <f t="array" ref="I343">_xlfn.XLOOKUP($H343,Data!$E:$E,Data!$F:$F,"Revisar",0)</f>
        <v>AXIS</v>
      </c>
      <c r="J343" s="157" t="str">
        <f t="array" ref="J343">_xlfn.XLOOKUP($H343,Data!$E:$E,Data!$G:$G,"Revisar",0)</f>
        <v>Camisetas Academy</v>
      </c>
      <c r="K343" s="20" t="s">
        <v>143</v>
      </c>
      <c r="L343" s="18">
        <v>9</v>
      </c>
      <c r="M343" s="20" t="s">
        <v>279</v>
      </c>
      <c r="N343" s="14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ht="15" customHeight="1" x14ac:dyDescent="0.3">
      <c r="A344" s="13">
        <v>46278</v>
      </c>
      <c r="B344" s="14" t="s">
        <v>31</v>
      </c>
      <c r="C344" s="15">
        <v>231.7</v>
      </c>
      <c r="D344" s="17" t="s">
        <v>32</v>
      </c>
      <c r="E344" s="14" t="s">
        <v>31</v>
      </c>
      <c r="F344" s="18">
        <v>9</v>
      </c>
      <c r="G344" s="12" t="str">
        <f>IFERROR(VLOOKUP(D344,Data!$A:$B,2,0),"Revisar")</f>
        <v>Gastos Variables</v>
      </c>
      <c r="H344" s="20" t="s">
        <v>24</v>
      </c>
      <c r="I344" s="157" t="str">
        <f t="array" ref="I344">_xlfn.XLOOKUP($H344,Data!$E:$E,Data!$F:$F,"Revisar",0)</f>
        <v>NA</v>
      </c>
      <c r="J344" s="157" t="str">
        <f t="array" ref="J344">_xlfn.XLOOKUP($H344,Data!$E:$E,Data!$G:$G,"Revisar",0)</f>
        <v>NA</v>
      </c>
      <c r="K344" s="20" t="s">
        <v>24</v>
      </c>
      <c r="L344" s="18">
        <v>9</v>
      </c>
      <c r="M344" s="20"/>
      <c r="N344" s="14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ht="15" customHeight="1" x14ac:dyDescent="0.3">
      <c r="A345" s="13">
        <v>46278</v>
      </c>
      <c r="B345" s="14" t="s">
        <v>31</v>
      </c>
      <c r="C345" s="15">
        <v>180.17</v>
      </c>
      <c r="D345" s="17" t="s">
        <v>32</v>
      </c>
      <c r="E345" s="14" t="s">
        <v>31</v>
      </c>
      <c r="F345" s="18">
        <v>9</v>
      </c>
      <c r="G345" s="12" t="str">
        <f>IFERROR(VLOOKUP(D345,Data!$A:$B,2,0),"Revisar")</f>
        <v>Gastos Variables</v>
      </c>
      <c r="H345" s="20" t="s">
        <v>24</v>
      </c>
      <c r="I345" s="157" t="str">
        <f t="array" ref="I345">_xlfn.XLOOKUP($H345,Data!$E:$E,Data!$F:$F,"Revisar",0)</f>
        <v>NA</v>
      </c>
      <c r="J345" s="157" t="str">
        <f t="array" ref="J345">_xlfn.XLOOKUP($H345,Data!$E:$E,Data!$G:$G,"Revisar",0)</f>
        <v>NA</v>
      </c>
      <c r="K345" s="20" t="s">
        <v>24</v>
      </c>
      <c r="L345" s="18">
        <v>9</v>
      </c>
      <c r="M345" s="20"/>
      <c r="N345" s="14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ht="15" customHeight="1" x14ac:dyDescent="0.3">
      <c r="A346" s="13">
        <v>46278</v>
      </c>
      <c r="B346" s="14" t="s">
        <v>338</v>
      </c>
      <c r="C346" s="15">
        <v>-74924</v>
      </c>
      <c r="D346" s="17" t="s">
        <v>339</v>
      </c>
      <c r="E346" s="14" t="s">
        <v>338</v>
      </c>
      <c r="F346" s="18">
        <v>9</v>
      </c>
      <c r="G346" s="12" t="str">
        <f>IFERROR(VLOOKUP(D346,Data!$A:$B,2,0),"Revisar")</f>
        <v>Gastos Variables</v>
      </c>
      <c r="H346" s="20" t="s">
        <v>24</v>
      </c>
      <c r="I346" s="157" t="str">
        <f t="array" ref="I346">_xlfn.XLOOKUP($H346,Data!$E:$E,Data!$F:$F,"Revisar",0)</f>
        <v>NA</v>
      </c>
      <c r="J346" s="157" t="str">
        <f t="array" ref="J346">_xlfn.XLOOKUP($H346,Data!$E:$E,Data!$G:$G,"Revisar",0)</f>
        <v>NA</v>
      </c>
      <c r="K346" s="20" t="s">
        <v>24</v>
      </c>
      <c r="L346" s="18">
        <v>9</v>
      </c>
      <c r="M346" s="20"/>
      <c r="N346" s="14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ht="15" customHeight="1" x14ac:dyDescent="0.3">
      <c r="A347" s="13">
        <v>46278</v>
      </c>
      <c r="B347" s="14" t="s">
        <v>338</v>
      </c>
      <c r="C347" s="15">
        <v>-21754.799999999999</v>
      </c>
      <c r="D347" s="17" t="s">
        <v>339</v>
      </c>
      <c r="E347" s="14" t="s">
        <v>338</v>
      </c>
      <c r="F347" s="18">
        <v>9</v>
      </c>
      <c r="G347" s="12" t="str">
        <f>IFERROR(VLOOKUP(D347,Data!$A:$B,2,0),"Revisar")</f>
        <v>Gastos Variables</v>
      </c>
      <c r="H347" s="20" t="s">
        <v>24</v>
      </c>
      <c r="I347" s="157" t="str">
        <f t="array" ref="I347">_xlfn.XLOOKUP($H347,Data!$E:$E,Data!$F:$F,"Revisar",0)</f>
        <v>NA</v>
      </c>
      <c r="J347" s="157" t="str">
        <f t="array" ref="J347">_xlfn.XLOOKUP($H347,Data!$E:$E,Data!$G:$G,"Revisar",0)</f>
        <v>NA</v>
      </c>
      <c r="K347" s="20" t="s">
        <v>24</v>
      </c>
      <c r="L347" s="18">
        <v>9</v>
      </c>
      <c r="M347" s="20"/>
      <c r="N347" s="14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ht="15" customHeight="1" x14ac:dyDescent="0.3">
      <c r="A348" s="13">
        <v>46278</v>
      </c>
      <c r="B348" s="14" t="s">
        <v>108</v>
      </c>
      <c r="C348" s="15">
        <v>-2125000</v>
      </c>
      <c r="D348" s="17" t="s">
        <v>138</v>
      </c>
      <c r="E348" s="14" t="s">
        <v>888</v>
      </c>
      <c r="F348" s="18">
        <v>9</v>
      </c>
      <c r="G348" s="12" t="str">
        <f>IFERROR(VLOOKUP(D348,Data!$A:$B,2,0),"Revisar")</f>
        <v>Costo Ventas</v>
      </c>
      <c r="H348" s="20" t="s">
        <v>883</v>
      </c>
      <c r="I348" s="157" t="str">
        <f t="array" ref="I348">_xlfn.XLOOKUP($H348,Data!$E:$E,Data!$F:$F,"Revisar",0)</f>
        <v>MOTOROLA</v>
      </c>
      <c r="J348" s="157" t="str">
        <f t="array" ref="J348">_xlfn.XLOOKUP($H348,Data!$E:$E,Data!$G:$G,"Revisar",0)</f>
        <v>Entrepartners MEDELLIN</v>
      </c>
      <c r="K348" s="20" t="s">
        <v>143</v>
      </c>
      <c r="L348" s="18">
        <v>9</v>
      </c>
      <c r="M348" s="20" t="s">
        <v>1049</v>
      </c>
      <c r="N348" s="14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ht="15" customHeight="1" x14ac:dyDescent="0.3">
      <c r="A349" s="13">
        <v>46278</v>
      </c>
      <c r="B349" s="14" t="s">
        <v>108</v>
      </c>
      <c r="C349" s="15">
        <v>-1463700</v>
      </c>
      <c r="D349" s="17" t="s">
        <v>138</v>
      </c>
      <c r="E349" s="14" t="s">
        <v>896</v>
      </c>
      <c r="F349" s="18">
        <v>9</v>
      </c>
      <c r="G349" s="12" t="str">
        <f>IFERROR(VLOOKUP(D349,Data!$A:$B,2,0),"Revisar")</f>
        <v>Costo Ventas</v>
      </c>
      <c r="H349" s="20" t="s">
        <v>235</v>
      </c>
      <c r="I349" s="157" t="str">
        <f t="array" ref="I349">_xlfn.XLOOKUP($H349,Data!$E:$E,Data!$F:$F,"Revisar",0)</f>
        <v>Commscope</v>
      </c>
      <c r="J349" s="157" t="str">
        <f t="array" ref="J349">_xlfn.XLOOKUP($H349,Data!$E:$E,Data!$G:$G,"Revisar",0)</f>
        <v>Brochures COMMSCOPE</v>
      </c>
      <c r="K349" s="20" t="s">
        <v>143</v>
      </c>
      <c r="L349" s="18">
        <v>9</v>
      </c>
      <c r="M349" s="20" t="s">
        <v>514</v>
      </c>
      <c r="N349" s="14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ht="15" customHeight="1" x14ac:dyDescent="0.3">
      <c r="A350" s="13">
        <v>46278</v>
      </c>
      <c r="B350" s="14" t="s">
        <v>108</v>
      </c>
      <c r="C350" s="15">
        <v>-1000000</v>
      </c>
      <c r="D350" s="17" t="s">
        <v>138</v>
      </c>
      <c r="E350" s="14" t="s">
        <v>887</v>
      </c>
      <c r="F350" s="18">
        <v>9</v>
      </c>
      <c r="G350" s="12" t="str">
        <f>IFERROR(VLOOKUP(D350,Data!$A:$B,2,0),"Revisar")</f>
        <v>Costo Ventas</v>
      </c>
      <c r="H350" s="20" t="s">
        <v>763</v>
      </c>
      <c r="I350" s="157" t="str">
        <f t="array" ref="I350">_xlfn.XLOOKUP($H350,Data!$E:$E,Data!$F:$F,"Revisar",0)</f>
        <v>Kaspersky</v>
      </c>
      <c r="J350" s="157" t="str">
        <f t="array" ref="J350">_xlfn.XLOOKUP($H350,Data!$E:$E,Data!$G:$G,"Revisar",0)</f>
        <v>Actividades Kaspersky Sep</v>
      </c>
      <c r="K350" s="20" t="s">
        <v>143</v>
      </c>
      <c r="L350" s="18">
        <v>9</v>
      </c>
      <c r="M350" s="20" t="s">
        <v>974</v>
      </c>
      <c r="N350" s="14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 ht="15" customHeight="1" x14ac:dyDescent="0.3">
      <c r="A351" s="13">
        <v>46278</v>
      </c>
      <c r="B351" s="14" t="s">
        <v>108</v>
      </c>
      <c r="C351" s="15">
        <v>-850000</v>
      </c>
      <c r="D351" s="17" t="s">
        <v>138</v>
      </c>
      <c r="E351" s="14" t="s">
        <v>886</v>
      </c>
      <c r="F351" s="18">
        <v>9</v>
      </c>
      <c r="G351" s="12" t="str">
        <f>IFERROR(VLOOKUP(D351,Data!$A:$B,2,0),"Revisar")</f>
        <v>Costo Ventas</v>
      </c>
      <c r="H351" s="20" t="s">
        <v>763</v>
      </c>
      <c r="I351" s="157" t="str">
        <f t="array" ref="I351">_xlfn.XLOOKUP($H351,Data!$E:$E,Data!$F:$F,"Revisar",0)</f>
        <v>Kaspersky</v>
      </c>
      <c r="J351" s="157" t="str">
        <f t="array" ref="J351">_xlfn.XLOOKUP($H351,Data!$E:$E,Data!$G:$G,"Revisar",0)</f>
        <v>Actividades Kaspersky Sep</v>
      </c>
      <c r="K351" s="20" t="s">
        <v>143</v>
      </c>
      <c r="L351" s="18">
        <v>9</v>
      </c>
      <c r="M351" s="20" t="s">
        <v>975</v>
      </c>
      <c r="N351" s="14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ht="15" customHeight="1" x14ac:dyDescent="0.3">
      <c r="A352" s="13">
        <v>46281</v>
      </c>
      <c r="B352" s="14" t="s">
        <v>108</v>
      </c>
      <c r="C352" s="15">
        <v>-9189036</v>
      </c>
      <c r="D352" s="17" t="s">
        <v>138</v>
      </c>
      <c r="E352" s="14" t="s">
        <v>898</v>
      </c>
      <c r="F352" s="18">
        <v>9</v>
      </c>
      <c r="G352" s="12" t="str">
        <f>IFERROR(VLOOKUP(D352,Data!$A:$B,2,0),"Revisar")</f>
        <v>Costo Ventas</v>
      </c>
      <c r="H352" s="20" t="s">
        <v>274</v>
      </c>
      <c r="I352" s="157" t="str">
        <f t="array" ref="I352">_xlfn.XLOOKUP($H352,Data!$E:$E,Data!$F:$F,"Revisar",0)</f>
        <v>AXIS</v>
      </c>
      <c r="J352" s="157" t="str">
        <f t="array" ref="J352">_xlfn.XLOOKUP($H352,Data!$E:$E,Data!$G:$G,"Revisar",0)</f>
        <v>Catering ESS</v>
      </c>
      <c r="K352" s="20" t="s">
        <v>143</v>
      </c>
      <c r="L352" s="18">
        <v>9</v>
      </c>
      <c r="M352" s="20" t="s">
        <v>586</v>
      </c>
      <c r="N352" s="14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 ht="15" customHeight="1" x14ac:dyDescent="0.3">
      <c r="A353" s="13">
        <v>46282</v>
      </c>
      <c r="B353" s="14" t="s">
        <v>84</v>
      </c>
      <c r="C353" s="15">
        <v>-3480750</v>
      </c>
      <c r="D353" s="17" t="s">
        <v>138</v>
      </c>
      <c r="E353" s="14" t="s">
        <v>902</v>
      </c>
      <c r="F353" s="18">
        <v>9</v>
      </c>
      <c r="G353" s="12" t="str">
        <f>IFERROR(VLOOKUP(D353,Data!$A:$B,2,0),"Revisar")</f>
        <v>Costo Ventas</v>
      </c>
      <c r="H353" s="20" t="s">
        <v>784</v>
      </c>
      <c r="I353" s="157" t="str">
        <f t="array" ref="I353">_xlfn.XLOOKUP($H353,Data!$E:$E,Data!$F:$F,"Revisar",0)</f>
        <v>MOTOROLA</v>
      </c>
      <c r="J353" s="157" t="str">
        <f t="array" ref="J353">_xlfn.XLOOKUP($H353,Data!$E:$E,Data!$G:$G,"Revisar",0)</f>
        <v>Entrepartners BOGOTA</v>
      </c>
      <c r="K353" s="20" t="s">
        <v>143</v>
      </c>
      <c r="L353" s="18">
        <v>9</v>
      </c>
      <c r="M353" s="20" t="s">
        <v>865</v>
      </c>
      <c r="N353" s="14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ht="15" customHeight="1" x14ac:dyDescent="0.3">
      <c r="A354" s="13">
        <v>46281</v>
      </c>
      <c r="B354" s="14" t="s">
        <v>31</v>
      </c>
      <c r="C354" s="15">
        <v>330.43</v>
      </c>
      <c r="D354" s="17" t="s">
        <v>32</v>
      </c>
      <c r="E354" s="14" t="s">
        <v>32</v>
      </c>
      <c r="F354" s="18">
        <v>9</v>
      </c>
      <c r="G354" s="12" t="str">
        <f>IFERROR(VLOOKUP(D354,Data!$A:$B,2,0),"Revisar")</f>
        <v>Gastos Variables</v>
      </c>
      <c r="H354" s="20" t="s">
        <v>24</v>
      </c>
      <c r="I354" s="157" t="str">
        <f t="array" ref="I354">_xlfn.XLOOKUP($H354,Data!$E:$E,Data!$F:$F,"Revisar",0)</f>
        <v>NA</v>
      </c>
      <c r="J354" s="157" t="str">
        <f t="array" ref="J354">_xlfn.XLOOKUP($H354,Data!$E:$E,Data!$G:$G,"Revisar",0)</f>
        <v>NA</v>
      </c>
      <c r="K354" s="20" t="s">
        <v>24</v>
      </c>
      <c r="L354" s="18">
        <v>9</v>
      </c>
      <c r="M354" s="20"/>
      <c r="N354" s="14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ht="15" customHeight="1" x14ac:dyDescent="0.3">
      <c r="A355" s="13">
        <v>46282</v>
      </c>
      <c r="B355" s="14" t="s">
        <v>31</v>
      </c>
      <c r="C355" s="15">
        <v>65.13</v>
      </c>
      <c r="D355" s="17" t="s">
        <v>32</v>
      </c>
      <c r="E355" s="14" t="s">
        <v>32</v>
      </c>
      <c r="F355" s="18">
        <v>9</v>
      </c>
      <c r="G355" s="12" t="str">
        <f>IFERROR(VLOOKUP(D355,Data!$A:$B,2,0),"Revisar")</f>
        <v>Gastos Variables</v>
      </c>
      <c r="H355" s="20" t="s">
        <v>24</v>
      </c>
      <c r="I355" s="157" t="str">
        <f t="array" ref="I355">_xlfn.XLOOKUP($H355,Data!$E:$E,Data!$F:$F,"Revisar",0)</f>
        <v>NA</v>
      </c>
      <c r="J355" s="157" t="str">
        <f t="array" ref="J355">_xlfn.XLOOKUP($H355,Data!$E:$E,Data!$G:$G,"Revisar",0)</f>
        <v>NA</v>
      </c>
      <c r="K355" s="20" t="s">
        <v>24</v>
      </c>
      <c r="L355" s="18">
        <v>9</v>
      </c>
      <c r="M355" s="20"/>
      <c r="N355" s="14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ht="15" customHeight="1" x14ac:dyDescent="0.3">
      <c r="A356" s="13">
        <v>46282</v>
      </c>
      <c r="B356" s="14" t="s">
        <v>338</v>
      </c>
      <c r="C356" s="15">
        <v>-50819.199999999997</v>
      </c>
      <c r="D356" s="17" t="s">
        <v>339</v>
      </c>
      <c r="E356" s="14" t="s">
        <v>339</v>
      </c>
      <c r="F356" s="18">
        <v>9</v>
      </c>
      <c r="G356" s="12" t="str">
        <f>IFERROR(VLOOKUP(D356,Data!$A:$B,2,0),"Revisar")</f>
        <v>Gastos Variables</v>
      </c>
      <c r="H356" s="20" t="s">
        <v>24</v>
      </c>
      <c r="I356" s="157" t="str">
        <f t="array" ref="I356">_xlfn.XLOOKUP($H356,Data!$E:$E,Data!$F:$F,"Revisar",0)</f>
        <v>NA</v>
      </c>
      <c r="J356" s="157" t="str">
        <f t="array" ref="J356">_xlfn.XLOOKUP($H356,Data!$E:$E,Data!$G:$G,"Revisar",0)</f>
        <v>NA</v>
      </c>
      <c r="K356" s="20" t="s">
        <v>24</v>
      </c>
      <c r="L356" s="18">
        <v>9</v>
      </c>
      <c r="M356" s="20"/>
      <c r="N356" s="14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ht="15" customHeight="1" x14ac:dyDescent="0.3">
      <c r="A357" s="13">
        <v>46282</v>
      </c>
      <c r="B357" s="14" t="s">
        <v>907</v>
      </c>
      <c r="C357" s="15">
        <v>-16950</v>
      </c>
      <c r="D357" s="17" t="s">
        <v>138</v>
      </c>
      <c r="E357" s="14" t="s">
        <v>908</v>
      </c>
      <c r="F357" s="18">
        <v>9</v>
      </c>
      <c r="G357" s="12" t="str">
        <f>IFERROR(VLOOKUP(D357,Data!$A:$B,2,0),"Revisar")</f>
        <v>Costo Ventas</v>
      </c>
      <c r="H357" s="20" t="s">
        <v>782</v>
      </c>
      <c r="I357" s="157" t="str">
        <f t="array" ref="I357">_xlfn.XLOOKUP($H357,Data!$E:$E,Data!$F:$F,"Revisar",0)</f>
        <v>Konrad Adenauer Stiftung</v>
      </c>
      <c r="J357" s="157" t="str">
        <f t="array" ref="J357">_xlfn.XLOOKUP($H357,Data!$E:$E,Data!$G:$G,"Revisar",0)</f>
        <v>Morrales y letras KAS</v>
      </c>
      <c r="K357" s="20" t="s">
        <v>24</v>
      </c>
      <c r="L357" s="18">
        <v>9</v>
      </c>
      <c r="M357" s="20"/>
      <c r="N357" s="14" t="s">
        <v>936</v>
      </c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ht="15" customHeight="1" x14ac:dyDescent="0.3">
      <c r="A358" s="13">
        <v>46282</v>
      </c>
      <c r="B358" s="14" t="s">
        <v>77</v>
      </c>
      <c r="C358" s="15">
        <v>-7590</v>
      </c>
      <c r="D358" s="17" t="s">
        <v>78</v>
      </c>
      <c r="E358" s="14" t="s">
        <v>909</v>
      </c>
      <c r="F358" s="18">
        <v>9</v>
      </c>
      <c r="G358" s="12" t="str">
        <f>IFERROR(VLOOKUP(D358,Data!$A:$B,2,0),"Revisar")</f>
        <v>Gastos Variables</v>
      </c>
      <c r="H358" s="20" t="s">
        <v>24</v>
      </c>
      <c r="I358" s="157" t="str">
        <f t="array" ref="I358">_xlfn.XLOOKUP($H358,Data!$E:$E,Data!$F:$F,"Revisar",0)</f>
        <v>NA</v>
      </c>
      <c r="J358" s="157" t="str">
        <f t="array" ref="J358">_xlfn.XLOOKUP($H358,Data!$E:$E,Data!$G:$G,"Revisar",0)</f>
        <v>NA</v>
      </c>
      <c r="K358" s="20" t="s">
        <v>24</v>
      </c>
      <c r="L358" s="18">
        <v>9</v>
      </c>
      <c r="M358" s="20"/>
      <c r="N358" s="14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ht="15" customHeight="1" x14ac:dyDescent="0.3">
      <c r="A359" s="13">
        <v>46282</v>
      </c>
      <c r="B359" s="14" t="s">
        <v>77</v>
      </c>
      <c r="C359" s="15">
        <v>-7590</v>
      </c>
      <c r="D359" s="17" t="s">
        <v>78</v>
      </c>
      <c r="E359" s="14" t="s">
        <v>909</v>
      </c>
      <c r="F359" s="18">
        <v>9</v>
      </c>
      <c r="G359" s="12" t="str">
        <f>IFERROR(VLOOKUP(D359,Data!$A:$B,2,0),"Revisar")</f>
        <v>Gastos Variables</v>
      </c>
      <c r="H359" s="20" t="s">
        <v>24</v>
      </c>
      <c r="I359" s="157" t="str">
        <f t="array" ref="I359">_xlfn.XLOOKUP($H359,Data!$E:$E,Data!$F:$F,"Revisar",0)</f>
        <v>NA</v>
      </c>
      <c r="J359" s="157" t="str">
        <f t="array" ref="J359">_xlfn.XLOOKUP($H359,Data!$E:$E,Data!$G:$G,"Revisar",0)</f>
        <v>NA</v>
      </c>
      <c r="K359" s="20" t="s">
        <v>24</v>
      </c>
      <c r="L359" s="18">
        <v>9</v>
      </c>
      <c r="M359" s="20"/>
      <c r="N359" s="14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ht="15" customHeight="1" x14ac:dyDescent="0.3">
      <c r="A360" s="13">
        <v>46282</v>
      </c>
      <c r="B360" s="14" t="s">
        <v>89</v>
      </c>
      <c r="C360" s="15">
        <v>-1442.1</v>
      </c>
      <c r="D360" s="17" t="s">
        <v>78</v>
      </c>
      <c r="E360" s="14" t="s">
        <v>910</v>
      </c>
      <c r="F360" s="18">
        <v>9</v>
      </c>
      <c r="G360" s="12" t="str">
        <f>IFERROR(VLOOKUP(D360,Data!$A:$B,2,0),"Revisar")</f>
        <v>Gastos Variables</v>
      </c>
      <c r="H360" s="20" t="s">
        <v>24</v>
      </c>
      <c r="I360" s="157" t="str">
        <f t="array" ref="I360">_xlfn.XLOOKUP($H360,Data!$E:$E,Data!$F:$F,"Revisar",0)</f>
        <v>NA</v>
      </c>
      <c r="J360" s="157" t="str">
        <f t="array" ref="J360">_xlfn.XLOOKUP($H360,Data!$E:$E,Data!$G:$G,"Revisar",0)</f>
        <v>NA</v>
      </c>
      <c r="K360" s="20" t="s">
        <v>24</v>
      </c>
      <c r="L360" s="18">
        <v>9</v>
      </c>
      <c r="M360" s="20"/>
      <c r="N360" s="14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ht="15" customHeight="1" x14ac:dyDescent="0.3">
      <c r="A361" s="13">
        <v>46282</v>
      </c>
      <c r="B361" s="14" t="s">
        <v>89</v>
      </c>
      <c r="C361" s="15">
        <v>-1442.1</v>
      </c>
      <c r="D361" s="17" t="s">
        <v>78</v>
      </c>
      <c r="E361" s="14" t="s">
        <v>910</v>
      </c>
      <c r="F361" s="18">
        <v>9</v>
      </c>
      <c r="G361" s="12" t="str">
        <f>IFERROR(VLOOKUP(D361,Data!$A:$B,2,0),"Revisar")</f>
        <v>Gastos Variables</v>
      </c>
      <c r="H361" s="20" t="s">
        <v>24</v>
      </c>
      <c r="I361" s="157" t="str">
        <f t="array" ref="I361">_xlfn.XLOOKUP($H361,Data!$E:$E,Data!$F:$F,"Revisar",0)</f>
        <v>NA</v>
      </c>
      <c r="J361" s="157" t="str">
        <f t="array" ref="J361">_xlfn.XLOOKUP($H361,Data!$E:$E,Data!$G:$G,"Revisar",0)</f>
        <v>NA</v>
      </c>
      <c r="K361" s="20" t="s">
        <v>24</v>
      </c>
      <c r="L361" s="18">
        <v>9</v>
      </c>
      <c r="M361" s="20"/>
      <c r="N361" s="14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ht="15" customHeight="1" x14ac:dyDescent="0.3">
      <c r="A362" s="13">
        <v>46283</v>
      </c>
      <c r="B362" s="14" t="s">
        <v>911</v>
      </c>
      <c r="C362" s="15">
        <v>-491470</v>
      </c>
      <c r="D362" s="17" t="s">
        <v>138</v>
      </c>
      <c r="E362" s="14" t="s">
        <v>912</v>
      </c>
      <c r="F362" s="18">
        <v>9</v>
      </c>
      <c r="G362" s="12" t="str">
        <f>IFERROR(VLOOKUP(D362,Data!$A:$B,2,0),"Revisar")</f>
        <v>Costo Ventas</v>
      </c>
      <c r="H362" s="20" t="s">
        <v>882</v>
      </c>
      <c r="I362" s="157" t="str">
        <f t="array" ref="I362">_xlfn.XLOOKUP($H362,Data!$E:$E,Data!$F:$F,"Revisar",0)</f>
        <v>MOTOROLA</v>
      </c>
      <c r="J362" s="157" t="str">
        <f t="array" ref="J362">_xlfn.XLOOKUP($H362,Data!$E:$E,Data!$G:$G,"Revisar",0)</f>
        <v>Entrepartners CALI</v>
      </c>
      <c r="K362" s="20" t="s">
        <v>143</v>
      </c>
      <c r="L362" s="18">
        <v>9</v>
      </c>
      <c r="M362" s="20"/>
      <c r="N362" s="14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ht="15" customHeight="1" x14ac:dyDescent="0.3">
      <c r="A363" s="13">
        <v>46283</v>
      </c>
      <c r="B363" s="14" t="s">
        <v>911</v>
      </c>
      <c r="C363" s="15">
        <v>-486520</v>
      </c>
      <c r="D363" s="17" t="s">
        <v>138</v>
      </c>
      <c r="E363" s="14" t="s">
        <v>912</v>
      </c>
      <c r="F363" s="18">
        <v>9</v>
      </c>
      <c r="G363" s="12" t="str">
        <f>IFERROR(VLOOKUP(D363,Data!$A:$B,2,0),"Revisar")</f>
        <v>Costo Ventas</v>
      </c>
      <c r="H363" s="20" t="s">
        <v>883</v>
      </c>
      <c r="I363" s="157" t="str">
        <f t="array" ref="I363">_xlfn.XLOOKUP($H363,Data!$E:$E,Data!$F:$F,"Revisar",0)</f>
        <v>MOTOROLA</v>
      </c>
      <c r="J363" s="157" t="str">
        <f t="array" ref="J363">_xlfn.XLOOKUP($H363,Data!$E:$E,Data!$G:$G,"Revisar",0)</f>
        <v>Entrepartners MEDELLIN</v>
      </c>
      <c r="K363" s="20" t="s">
        <v>143</v>
      </c>
      <c r="L363" s="18">
        <v>9</v>
      </c>
      <c r="M363" s="20"/>
      <c r="N363" s="14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ht="15" customHeight="1" x14ac:dyDescent="0.3">
      <c r="A364" s="13">
        <v>46283</v>
      </c>
      <c r="B364" s="14" t="s">
        <v>338</v>
      </c>
      <c r="C364" s="15">
        <v>-3911.96</v>
      </c>
      <c r="D364" s="17" t="s">
        <v>339</v>
      </c>
      <c r="E364" s="14" t="s">
        <v>339</v>
      </c>
      <c r="F364" s="18">
        <v>9</v>
      </c>
      <c r="G364" s="12" t="str">
        <f>IFERROR(VLOOKUP(D364,Data!$A:$B,2,0),"Revisar")</f>
        <v>Gastos Variables</v>
      </c>
      <c r="H364" s="20" t="s">
        <v>24</v>
      </c>
      <c r="I364" s="157" t="str">
        <f t="array" ref="I364">_xlfn.XLOOKUP($H364,Data!$E:$E,Data!$F:$F,"Revisar",0)</f>
        <v>NA</v>
      </c>
      <c r="J364" s="157" t="str">
        <f t="array" ref="J364">_xlfn.XLOOKUP($H364,Data!$E:$E,Data!$G:$G,"Revisar",0)</f>
        <v>NA</v>
      </c>
      <c r="K364" s="20" t="s">
        <v>24</v>
      </c>
      <c r="L364" s="18">
        <v>9</v>
      </c>
      <c r="M364" s="20"/>
      <c r="N364" s="14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ht="15" customHeight="1" x14ac:dyDescent="0.3">
      <c r="A365" s="13">
        <v>46285</v>
      </c>
      <c r="B365" s="14" t="s">
        <v>31</v>
      </c>
      <c r="C365" s="15">
        <v>191.37</v>
      </c>
      <c r="D365" s="17" t="s">
        <v>32</v>
      </c>
      <c r="E365" s="14" t="s">
        <v>32</v>
      </c>
      <c r="F365" s="18">
        <v>9</v>
      </c>
      <c r="G365" s="12" t="str">
        <f>IFERROR(VLOOKUP(D365,Data!$A:$B,2,0),"Revisar")</f>
        <v>Gastos Variables</v>
      </c>
      <c r="H365" s="20" t="s">
        <v>24</v>
      </c>
      <c r="I365" s="157" t="str">
        <f t="array" ref="I365">_xlfn.XLOOKUP($H365,Data!$E:$E,Data!$F:$F,"Revisar",0)</f>
        <v>NA</v>
      </c>
      <c r="J365" s="157" t="str">
        <f t="array" ref="J365">_xlfn.XLOOKUP($H365,Data!$E:$E,Data!$G:$G,"Revisar",0)</f>
        <v>NA</v>
      </c>
      <c r="K365" s="20" t="s">
        <v>24</v>
      </c>
      <c r="L365" s="18">
        <v>9</v>
      </c>
      <c r="M365" s="20"/>
      <c r="N365" s="14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ht="15" customHeight="1" x14ac:dyDescent="0.3">
      <c r="A366" s="13">
        <v>46286</v>
      </c>
      <c r="B366" s="14" t="s">
        <v>108</v>
      </c>
      <c r="C366" s="15">
        <v>-3300000</v>
      </c>
      <c r="D366" s="17" t="s">
        <v>138</v>
      </c>
      <c r="E366" s="14" t="s">
        <v>935</v>
      </c>
      <c r="F366" s="18">
        <v>9</v>
      </c>
      <c r="G366" s="12" t="str">
        <f>IFERROR(VLOOKUP(D366,Data!$A:$B,2,0),"Revisar")</f>
        <v>Costo Ventas</v>
      </c>
      <c r="H366" s="20" t="s">
        <v>882</v>
      </c>
      <c r="I366" s="157" t="str">
        <f t="array" ref="I366">_xlfn.XLOOKUP($H366,Data!$E:$E,Data!$F:$F,"Revisar",0)</f>
        <v>MOTOROLA</v>
      </c>
      <c r="J366" s="157" t="str">
        <f t="array" ref="J366">_xlfn.XLOOKUP($H366,Data!$E:$E,Data!$G:$G,"Revisar",0)</f>
        <v>Entrepartners CALI</v>
      </c>
      <c r="K366" s="20" t="s">
        <v>143</v>
      </c>
      <c r="L366" s="18">
        <v>9</v>
      </c>
      <c r="M366" s="20" t="s">
        <v>976</v>
      </c>
      <c r="N366" s="14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ht="15" customHeight="1" x14ac:dyDescent="0.3">
      <c r="A367" s="13">
        <v>46286</v>
      </c>
      <c r="B367" s="14" t="s">
        <v>913</v>
      </c>
      <c r="C367" s="15">
        <v>-874650</v>
      </c>
      <c r="D367" s="17" t="s">
        <v>138</v>
      </c>
      <c r="E367" s="14" t="s">
        <v>934</v>
      </c>
      <c r="F367" s="18">
        <v>9</v>
      </c>
      <c r="G367" s="12" t="str">
        <f>IFERROR(VLOOKUP(D367,Data!$A:$B,2,0),"Revisar")</f>
        <v>Costo Ventas</v>
      </c>
      <c r="H367" s="20" t="s">
        <v>763</v>
      </c>
      <c r="I367" s="157" t="str">
        <f t="array" ref="I367">_xlfn.XLOOKUP($H367,Data!$E:$E,Data!$F:$F,"Revisar",0)</f>
        <v>Kaspersky</v>
      </c>
      <c r="J367" s="157" t="str">
        <f t="array" ref="J367">_xlfn.XLOOKUP($H367,Data!$E:$E,Data!$G:$G,"Revisar",0)</f>
        <v>Actividades Kaspersky Sep</v>
      </c>
      <c r="K367" s="20" t="s">
        <v>143</v>
      </c>
      <c r="L367" s="18">
        <v>9</v>
      </c>
      <c r="M367" s="20" t="s">
        <v>919</v>
      </c>
      <c r="N367" s="14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ht="15" customHeight="1" x14ac:dyDescent="0.3">
      <c r="A368" s="59">
        <v>46286</v>
      </c>
      <c r="B368" s="60" t="s">
        <v>914</v>
      </c>
      <c r="C368" s="61">
        <v>-600000</v>
      </c>
      <c r="D368" s="62" t="s">
        <v>138</v>
      </c>
      <c r="E368" s="60" t="s">
        <v>1031</v>
      </c>
      <c r="F368" s="63">
        <v>9</v>
      </c>
      <c r="G368" s="64" t="str">
        <f>IFERROR(VLOOKUP(D368,Data!$A:$B,2,0),"Revisar")</f>
        <v>Costo Ventas</v>
      </c>
      <c r="H368" s="65" t="s">
        <v>763</v>
      </c>
      <c r="I368" s="159" t="str">
        <f t="array" ref="I368">_xlfn.XLOOKUP($H368,Data!$E:$E,Data!$F:$F,"Revisar",0)</f>
        <v>Kaspersky</v>
      </c>
      <c r="J368" s="159" t="str">
        <f t="array" ref="J368">_xlfn.XLOOKUP($H368,Data!$E:$E,Data!$G:$G,"Revisar",0)</f>
        <v>Actividades Kaspersky Sep</v>
      </c>
      <c r="K368" s="65" t="s">
        <v>143</v>
      </c>
      <c r="L368" s="63">
        <v>9</v>
      </c>
      <c r="M368" s="20" t="s">
        <v>1005</v>
      </c>
      <c r="N368" s="14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ht="15" customHeight="1" x14ac:dyDescent="0.3">
      <c r="A369" s="59">
        <v>46286</v>
      </c>
      <c r="B369" s="60" t="s">
        <v>914</v>
      </c>
      <c r="C369" s="61">
        <v>-237638</v>
      </c>
      <c r="D369" s="62" t="s">
        <v>138</v>
      </c>
      <c r="E369" s="60" t="s">
        <v>1031</v>
      </c>
      <c r="F369" s="63">
        <v>9</v>
      </c>
      <c r="G369" s="64" t="str">
        <f>IFERROR(VLOOKUP(D369,Data!$A:$B,2,0),"Revisar")</f>
        <v>Costo Ventas</v>
      </c>
      <c r="H369" s="65" t="s">
        <v>763</v>
      </c>
      <c r="I369" s="159" t="str">
        <f t="array" ref="I369">_xlfn.XLOOKUP($H369,Data!$E:$E,Data!$F:$F,"Revisar",0)</f>
        <v>Kaspersky</v>
      </c>
      <c r="J369" s="159" t="str">
        <f t="array" ref="J369">_xlfn.XLOOKUP($H369,Data!$E:$E,Data!$G:$G,"Revisar",0)</f>
        <v>Actividades Kaspersky Sep</v>
      </c>
      <c r="K369" s="65" t="s">
        <v>143</v>
      </c>
      <c r="L369" s="63">
        <v>9</v>
      </c>
      <c r="M369" s="20" t="s">
        <v>973</v>
      </c>
      <c r="N369" s="14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ht="15" customHeight="1" x14ac:dyDescent="0.3">
      <c r="A370" s="13">
        <v>46286</v>
      </c>
      <c r="B370" s="14" t="s">
        <v>915</v>
      </c>
      <c r="C370" s="15">
        <v>-190649.25</v>
      </c>
      <c r="D370" s="17" t="s">
        <v>138</v>
      </c>
      <c r="E370" s="14" t="s">
        <v>916</v>
      </c>
      <c r="F370" s="18">
        <v>9</v>
      </c>
      <c r="G370" s="12" t="str">
        <f>IFERROR(VLOOKUP(D370,Data!$A:$B,2,0),"Revisar")</f>
        <v>Costo Ventas</v>
      </c>
      <c r="H370" s="20" t="s">
        <v>883</v>
      </c>
      <c r="I370" s="157" t="str">
        <f t="array" ref="I370">_xlfn.XLOOKUP($H370,Data!$E:$E,Data!$F:$F,"Revisar",0)</f>
        <v>MOTOROLA</v>
      </c>
      <c r="J370" s="157" t="str">
        <f t="array" ref="J370">_xlfn.XLOOKUP($H370,Data!$E:$E,Data!$G:$G,"Revisar",0)</f>
        <v>Entrepartners MEDELLIN</v>
      </c>
      <c r="K370" s="20" t="s">
        <v>30</v>
      </c>
      <c r="L370" s="18">
        <v>9</v>
      </c>
      <c r="M370" s="20"/>
      <c r="N370" s="14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ht="15" customHeight="1" x14ac:dyDescent="0.3">
      <c r="A371" s="13">
        <v>46286</v>
      </c>
      <c r="B371" s="14" t="s">
        <v>917</v>
      </c>
      <c r="C371" s="15">
        <v>-112326.92</v>
      </c>
      <c r="D371" s="17" t="s">
        <v>138</v>
      </c>
      <c r="E371" s="14" t="s">
        <v>916</v>
      </c>
      <c r="F371" s="18">
        <v>9</v>
      </c>
      <c r="G371" s="12" t="str">
        <f>IFERROR(VLOOKUP(D371,Data!$A:$B,2,0),"Revisar")</f>
        <v>Costo Ventas</v>
      </c>
      <c r="H371" s="20" t="s">
        <v>882</v>
      </c>
      <c r="I371" s="157" t="str">
        <f t="array" ref="I371">_xlfn.XLOOKUP($H371,Data!$E:$E,Data!$F:$F,"Revisar",0)</f>
        <v>MOTOROLA</v>
      </c>
      <c r="J371" s="157" t="str">
        <f t="array" ref="J371">_xlfn.XLOOKUP($H371,Data!$E:$E,Data!$G:$G,"Revisar",0)</f>
        <v>Entrepartners CALI</v>
      </c>
      <c r="K371" s="20" t="s">
        <v>30</v>
      </c>
      <c r="L371" s="18">
        <v>9</v>
      </c>
      <c r="M371" s="20"/>
      <c r="N371" s="14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ht="15" customHeight="1" x14ac:dyDescent="0.3">
      <c r="A372" s="13">
        <v>46286</v>
      </c>
      <c r="B372" s="14" t="s">
        <v>338</v>
      </c>
      <c r="C372" s="15">
        <v>-21261.05</v>
      </c>
      <c r="D372" s="17" t="s">
        <v>339</v>
      </c>
      <c r="E372" s="14" t="s">
        <v>339</v>
      </c>
      <c r="F372" s="18">
        <v>9</v>
      </c>
      <c r="G372" s="12" t="str">
        <f>IFERROR(VLOOKUP(D372,Data!$A:$B,2,0),"Revisar")</f>
        <v>Gastos Variables</v>
      </c>
      <c r="H372" s="20" t="s">
        <v>24</v>
      </c>
      <c r="I372" s="157" t="str">
        <f t="array" ref="I372">_xlfn.XLOOKUP($H372,Data!$E:$E,Data!$F:$F,"Revisar",0)</f>
        <v>NA</v>
      </c>
      <c r="J372" s="157" t="str">
        <f t="array" ref="J372">_xlfn.XLOOKUP($H372,Data!$E:$E,Data!$G:$G,"Revisar",0)</f>
        <v>NA</v>
      </c>
      <c r="K372" s="20" t="s">
        <v>24</v>
      </c>
      <c r="L372" s="18">
        <v>9</v>
      </c>
      <c r="M372" s="20"/>
      <c r="N372" s="14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ht="15" customHeight="1" x14ac:dyDescent="0.3">
      <c r="A373" s="13">
        <v>46286</v>
      </c>
      <c r="B373" s="14" t="s">
        <v>31</v>
      </c>
      <c r="C373" s="15">
        <v>56.48</v>
      </c>
      <c r="D373" s="17" t="s">
        <v>32</v>
      </c>
      <c r="E373" s="14" t="s">
        <v>32</v>
      </c>
      <c r="F373" s="18">
        <v>9</v>
      </c>
      <c r="G373" s="12" t="str">
        <f>IFERROR(VLOOKUP(D373,Data!$A:$B,2,0),"Revisar")</f>
        <v>Gastos Variables</v>
      </c>
      <c r="H373" s="20" t="s">
        <v>24</v>
      </c>
      <c r="I373" s="157" t="str">
        <f t="array" ref="I373">_xlfn.XLOOKUP($H373,Data!$E:$E,Data!$F:$F,"Revisar",0)</f>
        <v>NA</v>
      </c>
      <c r="J373" s="157" t="str">
        <f t="array" ref="J373">_xlfn.XLOOKUP($H373,Data!$E:$E,Data!$G:$G,"Revisar",0)</f>
        <v>NA</v>
      </c>
      <c r="K373" s="20" t="s">
        <v>24</v>
      </c>
      <c r="L373" s="18">
        <v>9</v>
      </c>
      <c r="M373" s="20"/>
      <c r="N373" s="14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ht="15" customHeight="1" x14ac:dyDescent="0.3">
      <c r="A374" s="59">
        <v>46287</v>
      </c>
      <c r="B374" s="60" t="s">
        <v>108</v>
      </c>
      <c r="C374" s="61">
        <v>-833000</v>
      </c>
      <c r="D374" s="62" t="s">
        <v>138</v>
      </c>
      <c r="E374" s="60" t="s">
        <v>941</v>
      </c>
      <c r="F374" s="63">
        <v>9</v>
      </c>
      <c r="G374" s="64" t="str">
        <f>IFERROR(VLOOKUP(D374,Data!$A:$B,2,0),"Revisar")</f>
        <v>Costo Ventas</v>
      </c>
      <c r="H374" s="65" t="s">
        <v>937</v>
      </c>
      <c r="I374" s="159" t="str">
        <f t="array" ref="I374">_xlfn.XLOOKUP($H374,Data!$E:$E,Data!$F:$F,"Revisar",0)</f>
        <v>INNOVAITORS</v>
      </c>
      <c r="J374" s="159" t="str">
        <f t="array" ref="J374">_xlfn.XLOOKUP($H374,Data!$E:$E,Data!$G:$G,"Revisar",0)</f>
        <v>Kits Octubre</v>
      </c>
      <c r="K374" s="65" t="s">
        <v>143</v>
      </c>
      <c r="L374" s="63">
        <v>9</v>
      </c>
      <c r="M374" s="20" t="s">
        <v>920</v>
      </c>
      <c r="N374" s="14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ht="15" customHeight="1" x14ac:dyDescent="0.3">
      <c r="A375" s="59">
        <v>46287</v>
      </c>
      <c r="B375" s="60" t="s">
        <v>108</v>
      </c>
      <c r="C375" s="61">
        <v>-75565</v>
      </c>
      <c r="D375" s="62" t="s">
        <v>138</v>
      </c>
      <c r="E375" s="60" t="s">
        <v>942</v>
      </c>
      <c r="F375" s="63">
        <v>9</v>
      </c>
      <c r="G375" s="64" t="str">
        <f>IFERROR(VLOOKUP(D375,Data!$A:$B,2,0),"Revisar")</f>
        <v>Costo Ventas</v>
      </c>
      <c r="H375" s="65" t="s">
        <v>763</v>
      </c>
      <c r="I375" s="159" t="str">
        <f t="array" ref="I375">_xlfn.XLOOKUP($H375,Data!$E:$E,Data!$F:$F,"Revisar",0)</f>
        <v>Kaspersky</v>
      </c>
      <c r="J375" s="159" t="str">
        <f t="array" ref="J375">_xlfn.XLOOKUP($H375,Data!$E:$E,Data!$G:$G,"Revisar",0)</f>
        <v>Actividades Kaspersky Sep</v>
      </c>
      <c r="K375" s="65" t="s">
        <v>143</v>
      </c>
      <c r="L375" s="63">
        <v>9</v>
      </c>
      <c r="M375" s="20" t="s">
        <v>944</v>
      </c>
      <c r="N375" s="14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ht="15" customHeight="1" x14ac:dyDescent="0.3">
      <c r="A376" s="13">
        <v>46287</v>
      </c>
      <c r="B376" s="14" t="s">
        <v>84</v>
      </c>
      <c r="C376" s="15">
        <v>-700000</v>
      </c>
      <c r="D376" s="17" t="s">
        <v>138</v>
      </c>
      <c r="E376" s="14" t="s">
        <v>949</v>
      </c>
      <c r="F376" s="18">
        <v>9</v>
      </c>
      <c r="G376" s="12" t="str">
        <f>IFERROR(VLOOKUP(D376,Data!$A:$B,2,0),"Revisar")</f>
        <v>Costo Ventas</v>
      </c>
      <c r="H376" s="20" t="s">
        <v>763</v>
      </c>
      <c r="I376" s="157" t="str">
        <f t="array" ref="I376">_xlfn.XLOOKUP($H376,Data!$E:$E,Data!$F:$F,"Revisar",0)</f>
        <v>Kaspersky</v>
      </c>
      <c r="J376" s="157" t="str">
        <f t="array" ref="J376">_xlfn.XLOOKUP($H376,Data!$E:$E,Data!$G:$G,"Revisar",0)</f>
        <v>Actividades Kaspersky Sep</v>
      </c>
      <c r="K376" s="20" t="s">
        <v>143</v>
      </c>
      <c r="L376" s="18">
        <v>9</v>
      </c>
      <c r="M376" s="20" t="s">
        <v>977</v>
      </c>
      <c r="N376" s="14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ht="15" customHeight="1" x14ac:dyDescent="0.3">
      <c r="A377" s="13">
        <v>46287</v>
      </c>
      <c r="B377" s="14" t="s">
        <v>943</v>
      </c>
      <c r="C377" s="15">
        <v>-547030</v>
      </c>
      <c r="D377" s="17" t="s">
        <v>138</v>
      </c>
      <c r="E377" s="14" t="s">
        <v>947</v>
      </c>
      <c r="F377" s="18">
        <v>9</v>
      </c>
      <c r="G377" s="12" t="str">
        <f>IFERROR(VLOOKUP(D377,Data!$A:$B,2,0),"Revisar")</f>
        <v>Costo Ventas</v>
      </c>
      <c r="H377" s="20" t="s">
        <v>882</v>
      </c>
      <c r="I377" s="157" t="str">
        <f t="array" ref="I377">_xlfn.XLOOKUP($H377,Data!$E:$E,Data!$F:$F,"Revisar",0)</f>
        <v>MOTOROLA</v>
      </c>
      <c r="J377" s="157" t="str">
        <f t="array" ref="J377">_xlfn.XLOOKUP($H377,Data!$E:$E,Data!$G:$G,"Revisar",0)</f>
        <v>Entrepartners CALI</v>
      </c>
      <c r="K377" s="20" t="s">
        <v>143</v>
      </c>
      <c r="L377" s="18">
        <v>9</v>
      </c>
      <c r="M377" s="20" t="s">
        <v>976</v>
      </c>
      <c r="N377" s="14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ht="15" customHeight="1" x14ac:dyDescent="0.3">
      <c r="A378" s="13">
        <v>46287</v>
      </c>
      <c r="B378" s="14" t="s">
        <v>943</v>
      </c>
      <c r="C378" s="15">
        <v>-318300</v>
      </c>
      <c r="D378" s="17" t="s">
        <v>138</v>
      </c>
      <c r="E378" s="14" t="s">
        <v>947</v>
      </c>
      <c r="F378" s="18">
        <v>9</v>
      </c>
      <c r="G378" s="12" t="str">
        <f>IFERROR(VLOOKUP(D378,Data!$A:$B,2,0),"Revisar")</f>
        <v>Costo Ventas</v>
      </c>
      <c r="H378" s="20" t="s">
        <v>882</v>
      </c>
      <c r="I378" s="157" t="str">
        <f t="array" ref="I378">_xlfn.XLOOKUP($H378,Data!$E:$E,Data!$F:$F,"Revisar",0)</f>
        <v>MOTOROLA</v>
      </c>
      <c r="J378" s="157" t="str">
        <f t="array" ref="J378">_xlfn.XLOOKUP($H378,Data!$E:$E,Data!$G:$G,"Revisar",0)</f>
        <v>Entrepartners CALI</v>
      </c>
      <c r="K378" s="20" t="s">
        <v>143</v>
      </c>
      <c r="L378" s="18">
        <v>9</v>
      </c>
      <c r="M378" s="20"/>
      <c r="N378" s="14" t="s">
        <v>1150</v>
      </c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ht="15" customHeight="1" x14ac:dyDescent="0.3">
      <c r="A379" s="13">
        <v>46287</v>
      </c>
      <c r="B379" s="14" t="s">
        <v>77</v>
      </c>
      <c r="C379" s="15">
        <v>-7590</v>
      </c>
      <c r="D379" s="17" t="s">
        <v>78</v>
      </c>
      <c r="E379" s="14" t="s">
        <v>909</v>
      </c>
      <c r="F379" s="18">
        <v>9</v>
      </c>
      <c r="G379" s="12" t="str">
        <f>IFERROR(VLOOKUP(D379,Data!$A:$B,2,0),"Revisar")</f>
        <v>Gastos Variables</v>
      </c>
      <c r="H379" s="20" t="s">
        <v>24</v>
      </c>
      <c r="I379" s="157" t="str">
        <f t="array" ref="I379">_xlfn.XLOOKUP($H379,Data!$E:$E,Data!$F:$F,"Revisar",0)</f>
        <v>NA</v>
      </c>
      <c r="J379" s="157" t="str">
        <f t="array" ref="J379">_xlfn.XLOOKUP($H379,Data!$E:$E,Data!$G:$G,"Revisar",0)</f>
        <v>NA</v>
      </c>
      <c r="K379" s="20" t="s">
        <v>24</v>
      </c>
      <c r="L379" s="18">
        <v>9</v>
      </c>
      <c r="M379" s="20"/>
      <c r="N379" s="14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ht="15" customHeight="1" x14ac:dyDescent="0.3">
      <c r="A380" s="13">
        <v>46287</v>
      </c>
      <c r="B380" s="14" t="s">
        <v>89</v>
      </c>
      <c r="C380" s="15">
        <v>-1442.1</v>
      </c>
      <c r="D380" s="17" t="s">
        <v>78</v>
      </c>
      <c r="E380" s="14" t="s">
        <v>910</v>
      </c>
      <c r="F380" s="18">
        <v>9</v>
      </c>
      <c r="G380" s="12" t="str">
        <f>IFERROR(VLOOKUP(D380,Data!$A:$B,2,0),"Revisar")</f>
        <v>Gastos Variables</v>
      </c>
      <c r="H380" s="20" t="s">
        <v>24</v>
      </c>
      <c r="I380" s="157" t="str">
        <f t="array" ref="I380">_xlfn.XLOOKUP($H380,Data!$E:$E,Data!$F:$F,"Revisar",0)</f>
        <v>NA</v>
      </c>
      <c r="J380" s="157" t="str">
        <f t="array" ref="J380">_xlfn.XLOOKUP($H380,Data!$E:$E,Data!$G:$G,"Revisar",0)</f>
        <v>NA</v>
      </c>
      <c r="K380" s="20" t="s">
        <v>24</v>
      </c>
      <c r="L380" s="18">
        <v>9</v>
      </c>
      <c r="M380" s="20"/>
      <c r="N380" s="14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ht="15" customHeight="1" x14ac:dyDescent="0.3">
      <c r="A381" s="13">
        <v>46287</v>
      </c>
      <c r="B381" s="14" t="s">
        <v>338</v>
      </c>
      <c r="C381" s="15">
        <v>-9931.7000000000007</v>
      </c>
      <c r="D381" s="17" t="s">
        <v>339</v>
      </c>
      <c r="E381" s="14" t="s">
        <v>339</v>
      </c>
      <c r="F381" s="18">
        <v>9</v>
      </c>
      <c r="G381" s="12" t="str">
        <f>IFERROR(VLOOKUP(D381,Data!$A:$B,2,0),"Revisar")</f>
        <v>Gastos Variables</v>
      </c>
      <c r="H381" s="20" t="s">
        <v>24</v>
      </c>
      <c r="I381" s="157" t="str">
        <f t="array" ref="I381">_xlfn.XLOOKUP($H381,Data!$E:$E,Data!$F:$F,"Revisar",0)</f>
        <v>NA</v>
      </c>
      <c r="J381" s="157" t="str">
        <f t="array" ref="J381">_xlfn.XLOOKUP($H381,Data!$E:$E,Data!$G:$G,"Revisar",0)</f>
        <v>NA</v>
      </c>
      <c r="K381" s="20" t="s">
        <v>24</v>
      </c>
      <c r="L381" s="18">
        <v>9</v>
      </c>
      <c r="M381" s="20"/>
      <c r="N381" s="14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ht="15" customHeight="1" x14ac:dyDescent="0.3">
      <c r="A382" s="13">
        <v>46287</v>
      </c>
      <c r="B382" s="14" t="s">
        <v>31</v>
      </c>
      <c r="C382" s="15">
        <v>53.06</v>
      </c>
      <c r="D382" s="17" t="s">
        <v>32</v>
      </c>
      <c r="E382" s="14" t="s">
        <v>32</v>
      </c>
      <c r="F382" s="18">
        <v>9</v>
      </c>
      <c r="G382" s="12" t="str">
        <f>IFERROR(VLOOKUP(D382,Data!$A:$B,2,0),"Revisar")</f>
        <v>Gastos Variables</v>
      </c>
      <c r="H382" s="20" t="s">
        <v>24</v>
      </c>
      <c r="I382" s="157" t="str">
        <f t="array" ref="I382">_xlfn.XLOOKUP($H382,Data!$E:$E,Data!$F:$F,"Revisar",0)</f>
        <v>NA</v>
      </c>
      <c r="J382" s="157" t="str">
        <f t="array" ref="J382">_xlfn.XLOOKUP($H382,Data!$E:$E,Data!$G:$G,"Revisar",0)</f>
        <v>NA</v>
      </c>
      <c r="K382" s="20" t="s">
        <v>24</v>
      </c>
      <c r="L382" s="18">
        <v>9</v>
      </c>
      <c r="M382" s="20"/>
      <c r="N382" s="14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ht="15" customHeight="1" x14ac:dyDescent="0.3">
      <c r="A383" s="13">
        <v>46288</v>
      </c>
      <c r="B383" s="14" t="s">
        <v>953</v>
      </c>
      <c r="C383" s="15">
        <v>-5073000</v>
      </c>
      <c r="D383" s="17" t="s">
        <v>138</v>
      </c>
      <c r="E383" s="14" t="s">
        <v>966</v>
      </c>
      <c r="F383" s="18">
        <v>9</v>
      </c>
      <c r="G383" s="12" t="str">
        <f>IFERROR(VLOOKUP(D383,Data!$A:$B,2,0),"Revisar")</f>
        <v>Costo Ventas</v>
      </c>
      <c r="H383" s="20" t="s">
        <v>883</v>
      </c>
      <c r="I383" s="157" t="str">
        <f t="array" ref="I383">_xlfn.XLOOKUP($H383,Data!$E:$E,Data!$F:$F,"Revisar",0)</f>
        <v>MOTOROLA</v>
      </c>
      <c r="J383" s="157" t="str">
        <f t="array" ref="J383">_xlfn.XLOOKUP($H383,Data!$E:$E,Data!$G:$G,"Revisar",0)</f>
        <v>Entrepartners MEDELLIN</v>
      </c>
      <c r="K383" s="20" t="s">
        <v>143</v>
      </c>
      <c r="L383" s="18">
        <v>9</v>
      </c>
      <c r="M383" s="20" t="s">
        <v>1049</v>
      </c>
      <c r="N383" s="14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ht="15" customHeight="1" x14ac:dyDescent="0.3">
      <c r="A384" s="13">
        <v>46288</v>
      </c>
      <c r="B384" s="14" t="s">
        <v>954</v>
      </c>
      <c r="C384" s="15">
        <v>-48000</v>
      </c>
      <c r="D384" s="17" t="s">
        <v>138</v>
      </c>
      <c r="E384" s="14" t="s">
        <v>1013</v>
      </c>
      <c r="F384" s="18">
        <v>9</v>
      </c>
      <c r="G384" s="12" t="str">
        <f>IFERROR(VLOOKUP(D384,Data!$A:$B,2,0),"Revisar")</f>
        <v>Costo Ventas</v>
      </c>
      <c r="H384" s="20" t="s">
        <v>883</v>
      </c>
      <c r="I384" s="157" t="str">
        <f t="array" ref="I384">_xlfn.XLOOKUP($H384,Data!$E:$E,Data!$F:$F,"Revisar",0)</f>
        <v>MOTOROLA</v>
      </c>
      <c r="J384" s="157" t="str">
        <f t="array" ref="J384">_xlfn.XLOOKUP($H384,Data!$E:$E,Data!$G:$G,"Revisar",0)</f>
        <v>Entrepartners MEDELLIN</v>
      </c>
      <c r="K384" s="20" t="s">
        <v>30</v>
      </c>
      <c r="L384" s="18">
        <v>9</v>
      </c>
      <c r="M384" s="20"/>
      <c r="N384" s="14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ht="15" customHeight="1" x14ac:dyDescent="0.3">
      <c r="A385" s="13">
        <v>46288</v>
      </c>
      <c r="B385" s="14" t="s">
        <v>954</v>
      </c>
      <c r="C385" s="15">
        <v>-29750</v>
      </c>
      <c r="D385" s="17" t="s">
        <v>138</v>
      </c>
      <c r="E385" s="14" t="s">
        <v>1014</v>
      </c>
      <c r="F385" s="18">
        <v>9</v>
      </c>
      <c r="G385" s="12" t="str">
        <f>IFERROR(VLOOKUP(D385,Data!$A:$B,2,0),"Revisar")</f>
        <v>Costo Ventas</v>
      </c>
      <c r="H385" s="20" t="s">
        <v>883</v>
      </c>
      <c r="I385" s="157" t="str">
        <f t="array" ref="I385">_xlfn.XLOOKUP($H385,Data!$E:$E,Data!$F:$F,"Revisar",0)</f>
        <v>MOTOROLA</v>
      </c>
      <c r="J385" s="157" t="str">
        <f t="array" ref="J385">_xlfn.XLOOKUP($H385,Data!$E:$E,Data!$G:$G,"Revisar",0)</f>
        <v>Entrepartners MEDELLIN</v>
      </c>
      <c r="K385" s="20" t="s">
        <v>30</v>
      </c>
      <c r="L385" s="18">
        <v>9</v>
      </c>
      <c r="M385" s="20"/>
      <c r="N385" s="14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ht="15" customHeight="1" x14ac:dyDescent="0.3">
      <c r="A386" s="13">
        <v>46288</v>
      </c>
      <c r="B386" s="14" t="s">
        <v>338</v>
      </c>
      <c r="C386" s="15">
        <v>-20603</v>
      </c>
      <c r="D386" s="17" t="s">
        <v>339</v>
      </c>
      <c r="E386" s="14" t="s">
        <v>339</v>
      </c>
      <c r="F386" s="18">
        <v>9</v>
      </c>
      <c r="G386" s="12" t="str">
        <f>IFERROR(VLOOKUP(D386,Data!$A:$B,2,0),"Revisar")</f>
        <v>Gastos Variables</v>
      </c>
      <c r="H386" s="20" t="s">
        <v>24</v>
      </c>
      <c r="I386" s="157" t="str">
        <f t="array" ref="I386">_xlfn.XLOOKUP($H386,Data!$E:$E,Data!$F:$F,"Revisar",0)</f>
        <v>NA</v>
      </c>
      <c r="J386" s="157" t="str">
        <f t="array" ref="J386">_xlfn.XLOOKUP($H386,Data!$E:$E,Data!$G:$G,"Revisar",0)</f>
        <v>NA</v>
      </c>
      <c r="K386" s="20" t="s">
        <v>24</v>
      </c>
      <c r="L386" s="18">
        <v>9</v>
      </c>
      <c r="M386" s="20"/>
      <c r="N386" s="14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ht="15" customHeight="1" x14ac:dyDescent="0.3">
      <c r="A387" s="13">
        <v>46288</v>
      </c>
      <c r="B387" s="14" t="s">
        <v>31</v>
      </c>
      <c r="C387" s="15">
        <v>45.98</v>
      </c>
      <c r="D387" s="17" t="s">
        <v>32</v>
      </c>
      <c r="E387" s="14" t="s">
        <v>32</v>
      </c>
      <c r="F387" s="18">
        <v>9</v>
      </c>
      <c r="G387" s="12" t="str">
        <f>IFERROR(VLOOKUP(D387,Data!$A:$B,2,0),"Revisar")</f>
        <v>Gastos Variables</v>
      </c>
      <c r="H387" s="20" t="s">
        <v>24</v>
      </c>
      <c r="I387" s="157" t="str">
        <f t="array" ref="I387">_xlfn.XLOOKUP($H387,Data!$E:$E,Data!$F:$F,"Revisar",0)</f>
        <v>NA</v>
      </c>
      <c r="J387" s="157" t="str">
        <f t="array" ref="J387">_xlfn.XLOOKUP($H387,Data!$E:$E,Data!$G:$G,"Revisar",0)</f>
        <v>NA</v>
      </c>
      <c r="K387" s="20" t="s">
        <v>24</v>
      </c>
      <c r="L387" s="18">
        <v>9</v>
      </c>
      <c r="M387" s="20"/>
      <c r="N387" s="14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ht="15" customHeight="1" x14ac:dyDescent="0.3">
      <c r="A388" s="13">
        <v>46289</v>
      </c>
      <c r="B388" s="14" t="s">
        <v>955</v>
      </c>
      <c r="C388" s="15">
        <v>-10185099</v>
      </c>
      <c r="D388" s="17" t="s">
        <v>138</v>
      </c>
      <c r="E388" s="14" t="s">
        <v>1015</v>
      </c>
      <c r="F388" s="18">
        <v>9</v>
      </c>
      <c r="G388" s="12" t="str">
        <f>IFERROR(VLOOKUP(D388,Data!$A:$B,2,0),"Revisar")</f>
        <v>Costo Ventas</v>
      </c>
      <c r="H388" s="20" t="s">
        <v>766</v>
      </c>
      <c r="I388" s="157" t="str">
        <f t="array" ref="I388">_xlfn.XLOOKUP($H388,Data!$E:$E,Data!$F:$F,"Revisar",0)</f>
        <v>Kaspersky</v>
      </c>
      <c r="J388" s="157" t="str">
        <f t="array" ref="J388">_xlfn.XLOOKUP($H388,Data!$E:$E,Data!$G:$G,"Revisar",0)</f>
        <v>Alojamiento 24 a 27 de septiembre</v>
      </c>
      <c r="K388" s="20" t="s">
        <v>143</v>
      </c>
      <c r="L388" s="18">
        <v>9</v>
      </c>
      <c r="M388" s="20"/>
      <c r="N388" s="14" t="s">
        <v>1016</v>
      </c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ht="15" customHeight="1" x14ac:dyDescent="0.3">
      <c r="A389" s="13">
        <v>46289</v>
      </c>
      <c r="B389" s="14" t="s">
        <v>956</v>
      </c>
      <c r="C389" s="15">
        <v>-1747479</v>
      </c>
      <c r="D389" s="17" t="s">
        <v>138</v>
      </c>
      <c r="E389" s="14" t="s">
        <v>1017</v>
      </c>
      <c r="F389" s="18">
        <v>9</v>
      </c>
      <c r="G389" s="12" t="str">
        <f>IFERROR(VLOOKUP(D389,Data!$A:$B,2,0),"Revisar")</f>
        <v>Costo Ventas</v>
      </c>
      <c r="H389" s="20" t="s">
        <v>763</v>
      </c>
      <c r="I389" s="157" t="str">
        <f t="array" ref="I389">_xlfn.XLOOKUP($H389,Data!$E:$E,Data!$F:$F,"Revisar",0)</f>
        <v>Kaspersky</v>
      </c>
      <c r="J389" s="157" t="str">
        <f t="array" ref="J389">_xlfn.XLOOKUP($H389,Data!$E:$E,Data!$G:$G,"Revisar",0)</f>
        <v>Actividades Kaspersky Sep</v>
      </c>
      <c r="K389" s="20" t="s">
        <v>143</v>
      </c>
      <c r="L389" s="18">
        <v>9</v>
      </c>
      <c r="M389" s="20" t="s">
        <v>974</v>
      </c>
      <c r="N389" s="14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ht="15" customHeight="1" x14ac:dyDescent="0.3">
      <c r="A390" s="13">
        <v>46289</v>
      </c>
      <c r="B390" s="14" t="s">
        <v>957</v>
      </c>
      <c r="C390" s="15">
        <v>-107128</v>
      </c>
      <c r="D390" s="17" t="s">
        <v>138</v>
      </c>
      <c r="E390" s="14" t="s">
        <v>1019</v>
      </c>
      <c r="F390" s="18">
        <v>9</v>
      </c>
      <c r="G390" s="12" t="str">
        <f>IFERROR(VLOOKUP(D390,Data!$A:$B,2,0),"Revisar")</f>
        <v>Costo Ventas</v>
      </c>
      <c r="H390" s="20" t="s">
        <v>883</v>
      </c>
      <c r="I390" s="157" t="str">
        <f t="array" ref="I390">_xlfn.XLOOKUP($H390,Data!$E:$E,Data!$F:$F,"Revisar",0)</f>
        <v>MOTOROLA</v>
      </c>
      <c r="J390" s="157" t="str">
        <f t="array" ref="J390">_xlfn.XLOOKUP($H390,Data!$E:$E,Data!$G:$G,"Revisar",0)</f>
        <v>Entrepartners MEDELLIN</v>
      </c>
      <c r="K390" s="20" t="s">
        <v>30</v>
      </c>
      <c r="L390" s="18">
        <v>9</v>
      </c>
      <c r="M390" s="20"/>
      <c r="N390" s="14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ht="15" customHeight="1" x14ac:dyDescent="0.3">
      <c r="A391" s="13">
        <v>46289</v>
      </c>
      <c r="B391" s="14" t="s">
        <v>338</v>
      </c>
      <c r="C391" s="15">
        <v>-48492.35</v>
      </c>
      <c r="D391" s="17" t="s">
        <v>339</v>
      </c>
      <c r="E391" s="14" t="s">
        <v>339</v>
      </c>
      <c r="F391" s="18">
        <v>9</v>
      </c>
      <c r="G391" s="12" t="str">
        <f>IFERROR(VLOOKUP(D391,Data!$A:$B,2,0),"Revisar")</f>
        <v>Gastos Variables</v>
      </c>
      <c r="H391" s="20" t="s">
        <v>24</v>
      </c>
      <c r="I391" s="157" t="str">
        <f t="array" ref="I391">_xlfn.XLOOKUP($H391,Data!$E:$E,Data!$F:$F,"Revisar",0)</f>
        <v>NA</v>
      </c>
      <c r="J391" s="157" t="str">
        <f t="array" ref="J391">_xlfn.XLOOKUP($H391,Data!$E:$E,Data!$G:$G,"Revisar",0)</f>
        <v>NA</v>
      </c>
      <c r="K391" s="20" t="s">
        <v>24</v>
      </c>
      <c r="L391" s="18">
        <v>9</v>
      </c>
      <c r="M391" s="20"/>
      <c r="N391" s="14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ht="15" customHeight="1" x14ac:dyDescent="0.3">
      <c r="A392" s="13">
        <v>46289</v>
      </c>
      <c r="B392" s="14" t="s">
        <v>954</v>
      </c>
      <c r="C392" s="15">
        <v>-35900</v>
      </c>
      <c r="D392" s="17" t="s">
        <v>138</v>
      </c>
      <c r="E392" s="14" t="s">
        <v>1020</v>
      </c>
      <c r="F392" s="18">
        <v>9</v>
      </c>
      <c r="G392" s="12" t="str">
        <f>IFERROR(VLOOKUP(D392,Data!$A:$B,2,0),"Revisar")</f>
        <v>Costo Ventas</v>
      </c>
      <c r="H392" s="20" t="s">
        <v>883</v>
      </c>
      <c r="I392" s="157" t="str">
        <f t="array" ref="I392">_xlfn.XLOOKUP($H392,Data!$E:$E,Data!$F:$F,"Revisar",0)</f>
        <v>MOTOROLA</v>
      </c>
      <c r="J392" s="157" t="str">
        <f t="array" ref="J392">_xlfn.XLOOKUP($H392,Data!$E:$E,Data!$G:$G,"Revisar",0)</f>
        <v>Entrepartners MEDELLIN</v>
      </c>
      <c r="K392" s="20" t="s">
        <v>30</v>
      </c>
      <c r="L392" s="18">
        <v>9</v>
      </c>
      <c r="M392" s="20"/>
      <c r="N392" s="14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ht="15" customHeight="1" x14ac:dyDescent="0.3">
      <c r="A393" s="13">
        <v>46289</v>
      </c>
      <c r="B393" s="14" t="s">
        <v>955</v>
      </c>
      <c r="C393" s="15">
        <v>-24037</v>
      </c>
      <c r="D393" s="17" t="s">
        <v>138</v>
      </c>
      <c r="E393" s="14" t="s">
        <v>1021</v>
      </c>
      <c r="F393" s="18">
        <v>9</v>
      </c>
      <c r="G393" s="12" t="str">
        <f>IFERROR(VLOOKUP(D393,Data!$A:$B,2,0),"Revisar")</f>
        <v>Costo Ventas</v>
      </c>
      <c r="H393" s="20" t="s">
        <v>763</v>
      </c>
      <c r="I393" s="157" t="str">
        <f t="array" ref="I393">_xlfn.XLOOKUP($H393,Data!$E:$E,Data!$F:$F,"Revisar",0)</f>
        <v>Kaspersky</v>
      </c>
      <c r="J393" s="157" t="str">
        <f t="array" ref="J393">_xlfn.XLOOKUP($H393,Data!$E:$E,Data!$G:$G,"Revisar",0)</f>
        <v>Actividades Kaspersky Sep</v>
      </c>
      <c r="K393" s="20" t="s">
        <v>143</v>
      </c>
      <c r="L393" s="18">
        <v>9</v>
      </c>
      <c r="M393" s="20"/>
      <c r="N393" s="14" t="s">
        <v>965</v>
      </c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ht="15" customHeight="1" x14ac:dyDescent="0.3">
      <c r="A394" s="13">
        <v>46289</v>
      </c>
      <c r="B394" s="14" t="s">
        <v>957</v>
      </c>
      <c r="C394" s="15">
        <v>-23446</v>
      </c>
      <c r="D394" s="17" t="s">
        <v>138</v>
      </c>
      <c r="E394" s="14" t="s">
        <v>1022</v>
      </c>
      <c r="F394" s="18">
        <v>9</v>
      </c>
      <c r="G394" s="12" t="str">
        <f>IFERROR(VLOOKUP(D394,Data!$A:$B,2,0),"Revisar")</f>
        <v>Costo Ventas</v>
      </c>
      <c r="H394" s="20" t="s">
        <v>763</v>
      </c>
      <c r="I394" s="157" t="str">
        <f t="array" ref="I394">_xlfn.XLOOKUP($H394,Data!$E:$E,Data!$F:$F,"Revisar",0)</f>
        <v>Kaspersky</v>
      </c>
      <c r="J394" s="157" t="str">
        <f t="array" ref="J394">_xlfn.XLOOKUP($H394,Data!$E:$E,Data!$G:$G,"Revisar",0)</f>
        <v>Actividades Kaspersky Sep</v>
      </c>
      <c r="K394" s="20" t="s">
        <v>30</v>
      </c>
      <c r="L394" s="18">
        <v>9</v>
      </c>
      <c r="M394" s="20"/>
      <c r="N394" s="14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ht="15" customHeight="1" x14ac:dyDescent="0.3">
      <c r="A395" s="13">
        <v>46289</v>
      </c>
      <c r="B395" s="14" t="s">
        <v>187</v>
      </c>
      <c r="C395" s="15">
        <v>5100913.09</v>
      </c>
      <c r="D395" s="17" t="s">
        <v>188</v>
      </c>
      <c r="E395" s="14" t="s">
        <v>958</v>
      </c>
      <c r="F395" s="18">
        <v>9</v>
      </c>
      <c r="G395" s="12" t="str">
        <f>IFERROR(VLOOKUP(D395,Data!$A:$B,2,0),"Revisar")</f>
        <v>Ingresos</v>
      </c>
      <c r="H395" s="20" t="s">
        <v>294</v>
      </c>
      <c r="I395" s="157" t="str">
        <f t="array" ref="I395">_xlfn.XLOOKUP($H395,Data!$E:$E,Data!$F:$F,"Revisar",0)</f>
        <v>AXIS</v>
      </c>
      <c r="J395" s="157" t="str">
        <f t="array" ref="J395">_xlfn.XLOOKUP($H395,Data!$E:$E,Data!$G:$G,"Revisar",0)</f>
        <v>Adicionales Mezanine ESS+</v>
      </c>
      <c r="K395" s="20" t="s">
        <v>143</v>
      </c>
      <c r="L395" s="18">
        <v>9</v>
      </c>
      <c r="M395" s="20" t="s">
        <v>293</v>
      </c>
      <c r="N395" s="14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ht="15" customHeight="1" x14ac:dyDescent="0.3">
      <c r="A396" s="13">
        <v>46289</v>
      </c>
      <c r="B396" s="14" t="s">
        <v>187</v>
      </c>
      <c r="C396" s="15">
        <v>416500</v>
      </c>
      <c r="D396" s="17" t="s">
        <v>188</v>
      </c>
      <c r="E396" s="14" t="s">
        <v>959</v>
      </c>
      <c r="F396" s="18">
        <v>9</v>
      </c>
      <c r="G396" s="12" t="str">
        <f>IFERROR(VLOOKUP(D396,Data!$A:$B,2,0),"Revisar")</f>
        <v>Ingresos</v>
      </c>
      <c r="H396" s="20" t="s">
        <v>305</v>
      </c>
      <c r="I396" s="157" t="str">
        <f t="array" ref="I396">_xlfn.XLOOKUP($H396,Data!$E:$E,Data!$F:$F,"Revisar",0)</f>
        <v>AXIS</v>
      </c>
      <c r="J396" s="157" t="str">
        <f t="array" ref="J396">_xlfn.XLOOKUP($H396,Data!$E:$E,Data!$G:$G,"Revisar",0)</f>
        <v>Recarga Router</v>
      </c>
      <c r="K396" s="20" t="s">
        <v>143</v>
      </c>
      <c r="L396" s="18">
        <v>9</v>
      </c>
      <c r="M396" s="20" t="s">
        <v>304</v>
      </c>
      <c r="N396" s="14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ht="15" customHeight="1" x14ac:dyDescent="0.3">
      <c r="A397" s="13">
        <v>46289</v>
      </c>
      <c r="B397" s="14" t="s">
        <v>187</v>
      </c>
      <c r="C397" s="15">
        <v>808882.91</v>
      </c>
      <c r="D397" s="17" t="s">
        <v>188</v>
      </c>
      <c r="E397" s="14" t="s">
        <v>1023</v>
      </c>
      <c r="F397" s="18">
        <v>9</v>
      </c>
      <c r="G397" s="12" t="str">
        <f>IFERROR(VLOOKUP(D397,Data!$A:$B,2,0),"Revisar")</f>
        <v>Ingresos</v>
      </c>
      <c r="H397" s="20" t="s">
        <v>952</v>
      </c>
      <c r="I397" s="157" t="str">
        <f t="array" ref="I397">_xlfn.XLOOKUP($H397,Data!$E:$E,Data!$F:$F,"Revisar",0)</f>
        <v>AXIS</v>
      </c>
      <c r="J397" s="157" t="str">
        <f t="array" ref="J397">_xlfn.XLOOKUP($H397,Data!$E:$E,Data!$G:$G,"Revisar",0)</f>
        <v>Bono Amazon</v>
      </c>
      <c r="K397" s="20" t="s">
        <v>143</v>
      </c>
      <c r="L397" s="18">
        <v>9</v>
      </c>
      <c r="M397" s="20" t="s">
        <v>932</v>
      </c>
      <c r="N397" s="14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ht="15" customHeight="1" x14ac:dyDescent="0.3">
      <c r="A398" s="13">
        <v>46290</v>
      </c>
      <c r="B398" s="14" t="s">
        <v>960</v>
      </c>
      <c r="C398" s="15">
        <v>-1297806</v>
      </c>
      <c r="D398" s="17" t="s">
        <v>138</v>
      </c>
      <c r="E398" s="14" t="s">
        <v>1024</v>
      </c>
      <c r="F398" s="18">
        <v>9</v>
      </c>
      <c r="G398" s="12" t="str">
        <f>IFERROR(VLOOKUP(D398,Data!$A:$B,2,0),"Revisar")</f>
        <v>Costo Ventas</v>
      </c>
      <c r="H398" s="20" t="s">
        <v>763</v>
      </c>
      <c r="I398" s="157" t="str">
        <f t="array" ref="I398">_xlfn.XLOOKUP($H398,Data!$E:$E,Data!$F:$F,"Revisar",0)</f>
        <v>Kaspersky</v>
      </c>
      <c r="J398" s="157" t="str">
        <f t="array" ref="J398">_xlfn.XLOOKUP($H398,Data!$E:$E,Data!$G:$G,"Revisar",0)</f>
        <v>Actividades Kaspersky Sep</v>
      </c>
      <c r="K398" s="20" t="s">
        <v>143</v>
      </c>
      <c r="L398" s="18">
        <v>9</v>
      </c>
      <c r="M398" s="20" t="s">
        <v>977</v>
      </c>
      <c r="N398" s="14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ht="15" customHeight="1" x14ac:dyDescent="0.3">
      <c r="A399" s="13">
        <v>46290</v>
      </c>
      <c r="B399" s="14" t="s">
        <v>961</v>
      </c>
      <c r="C399" s="15">
        <v>-365400</v>
      </c>
      <c r="D399" s="17" t="s">
        <v>138</v>
      </c>
      <c r="E399" s="14" t="s">
        <v>1025</v>
      </c>
      <c r="F399" s="18">
        <v>9</v>
      </c>
      <c r="G399" s="12" t="str">
        <f>IFERROR(VLOOKUP(D399,Data!$A:$B,2,0),"Revisar")</f>
        <v>Costo Ventas</v>
      </c>
      <c r="H399" s="20" t="s">
        <v>161</v>
      </c>
      <c r="I399" s="157" t="str">
        <f t="array" ref="I399">_xlfn.XLOOKUP($H399,Data!$E:$E,Data!$F:$F,"Revisar",0)</f>
        <v>Kaspersky</v>
      </c>
      <c r="J399" s="157" t="str">
        <f t="array" ref="J399">_xlfn.XLOOKUP($H399,Data!$E:$E,Data!$G:$G,"Revisar",0)</f>
        <v>Bolsa Incentivos 2026</v>
      </c>
      <c r="K399" s="20" t="s">
        <v>30</v>
      </c>
      <c r="L399" s="18">
        <v>9</v>
      </c>
      <c r="M399" s="20"/>
      <c r="N399" s="14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ht="15" customHeight="1" x14ac:dyDescent="0.3">
      <c r="A400" s="13">
        <v>46290</v>
      </c>
      <c r="B400" s="14" t="s">
        <v>962</v>
      </c>
      <c r="C400" s="15">
        <v>-87900</v>
      </c>
      <c r="D400" s="17" t="s">
        <v>138</v>
      </c>
      <c r="E400" s="14" t="s">
        <v>963</v>
      </c>
      <c r="F400" s="18">
        <v>9</v>
      </c>
      <c r="G400" s="12" t="str">
        <f>IFERROR(VLOOKUP(D400,Data!$A:$B,2,0),"Revisar")</f>
        <v>Costo Ventas</v>
      </c>
      <c r="H400" s="20" t="s">
        <v>763</v>
      </c>
      <c r="I400" s="157" t="str">
        <f t="array" ref="I400">_xlfn.XLOOKUP($H400,Data!$E:$E,Data!$F:$F,"Revisar",0)</f>
        <v>Kaspersky</v>
      </c>
      <c r="J400" s="157" t="str">
        <f t="array" ref="J400">_xlfn.XLOOKUP($H400,Data!$E:$E,Data!$G:$G,"Revisar",0)</f>
        <v>Actividades Kaspersky Sep</v>
      </c>
      <c r="K400" s="20" t="s">
        <v>24</v>
      </c>
      <c r="L400" s="18">
        <v>9</v>
      </c>
      <c r="M400" s="20"/>
      <c r="N400" s="14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ht="15" customHeight="1" x14ac:dyDescent="0.3">
      <c r="A401" s="13">
        <v>46290</v>
      </c>
      <c r="B401" s="14" t="s">
        <v>964</v>
      </c>
      <c r="C401" s="15">
        <v>-12972</v>
      </c>
      <c r="D401" s="17" t="s">
        <v>138</v>
      </c>
      <c r="E401" s="14" t="s">
        <v>1026</v>
      </c>
      <c r="F401" s="18">
        <v>9</v>
      </c>
      <c r="G401" s="12" t="str">
        <f>IFERROR(VLOOKUP(D401,Data!$A:$B,2,0),"Revisar")</f>
        <v>Costo Ventas</v>
      </c>
      <c r="H401" s="20" t="s">
        <v>763</v>
      </c>
      <c r="I401" s="157" t="str">
        <f t="array" ref="I401">_xlfn.XLOOKUP($H401,Data!$E:$E,Data!$F:$F,"Revisar",0)</f>
        <v>Kaspersky</v>
      </c>
      <c r="J401" s="157" t="str">
        <f t="array" ref="J401">_xlfn.XLOOKUP($H401,Data!$E:$E,Data!$G:$G,"Revisar",0)</f>
        <v>Actividades Kaspersky Sep</v>
      </c>
      <c r="K401" s="20" t="s">
        <v>30</v>
      </c>
      <c r="L401" s="18">
        <v>9</v>
      </c>
      <c r="M401" s="20"/>
      <c r="N401" s="14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ht="15" customHeight="1" x14ac:dyDescent="0.3">
      <c r="A402" s="13">
        <v>46289</v>
      </c>
      <c r="B402" s="14" t="s">
        <v>31</v>
      </c>
      <c r="C402" s="15">
        <v>37.97</v>
      </c>
      <c r="D402" s="17" t="s">
        <v>32</v>
      </c>
      <c r="E402" s="14" t="s">
        <v>32</v>
      </c>
      <c r="F402" s="18">
        <v>9</v>
      </c>
      <c r="G402" s="12" t="str">
        <f>IFERROR(VLOOKUP(D402,Data!$A:$B,2,0),"Revisar")</f>
        <v>Gastos Variables</v>
      </c>
      <c r="H402" s="20" t="s">
        <v>24</v>
      </c>
      <c r="I402" s="157" t="str">
        <f t="array" ref="I402">_xlfn.XLOOKUP($H402,Data!$E:$E,Data!$F:$F,"Revisar",0)</f>
        <v>NA</v>
      </c>
      <c r="J402" s="157" t="str">
        <f t="array" ref="J402">_xlfn.XLOOKUP($H402,Data!$E:$E,Data!$G:$G,"Revisar",0)</f>
        <v>NA</v>
      </c>
      <c r="K402" s="20" t="s">
        <v>24</v>
      </c>
      <c r="L402" s="18">
        <v>9</v>
      </c>
      <c r="M402" s="20"/>
      <c r="N402" s="14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ht="15" customHeight="1" x14ac:dyDescent="0.3">
      <c r="A403" s="13">
        <v>46290</v>
      </c>
      <c r="B403" s="14" t="s">
        <v>967</v>
      </c>
      <c r="C403" s="15">
        <v>-1233281</v>
      </c>
      <c r="D403" s="17" t="s">
        <v>138</v>
      </c>
      <c r="E403" s="14" t="s">
        <v>1027</v>
      </c>
      <c r="F403" s="18">
        <v>9</v>
      </c>
      <c r="G403" s="12" t="str">
        <f>IFERROR(VLOOKUP(D403,Data!$A:$B,2,0),"Revisar")</f>
        <v>Costo Ventas</v>
      </c>
      <c r="H403" s="20" t="s">
        <v>763</v>
      </c>
      <c r="I403" s="157" t="str">
        <f t="array" ref="I403">_xlfn.XLOOKUP($H403,Data!$E:$E,Data!$F:$F,"Revisar",0)</f>
        <v>Kaspersky</v>
      </c>
      <c r="J403" s="157" t="str">
        <f t="array" ref="J403">_xlfn.XLOOKUP($H403,Data!$E:$E,Data!$G:$G,"Revisar",0)</f>
        <v>Actividades Kaspersky Sep</v>
      </c>
      <c r="K403" s="20" t="s">
        <v>143</v>
      </c>
      <c r="L403" s="18">
        <v>9</v>
      </c>
      <c r="M403" s="20" t="s">
        <v>975</v>
      </c>
      <c r="N403" s="14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ht="15" customHeight="1" x14ac:dyDescent="0.3">
      <c r="A404" s="13">
        <v>46290</v>
      </c>
      <c r="B404" s="14" t="s">
        <v>338</v>
      </c>
      <c r="C404" s="15">
        <v>-11989.43</v>
      </c>
      <c r="D404" s="17" t="s">
        <v>339</v>
      </c>
      <c r="E404" s="14" t="s">
        <v>339</v>
      </c>
      <c r="F404" s="18">
        <v>9</v>
      </c>
      <c r="G404" s="12" t="str">
        <f>IFERROR(VLOOKUP(D404,Data!$A:$B,2,0),"Revisar")</f>
        <v>Gastos Variables</v>
      </c>
      <c r="H404" s="20" t="s">
        <v>24</v>
      </c>
      <c r="I404" s="157" t="str">
        <f t="array" ref="I404">_xlfn.XLOOKUP($H404,Data!$E:$E,Data!$F:$F,"Revisar",0)</f>
        <v>NA</v>
      </c>
      <c r="J404" s="157" t="str">
        <f t="array" ref="J404">_xlfn.XLOOKUP($H404,Data!$E:$E,Data!$G:$G,"Revisar",0)</f>
        <v>NA</v>
      </c>
      <c r="K404" s="20" t="s">
        <v>24</v>
      </c>
      <c r="L404" s="18">
        <v>9</v>
      </c>
      <c r="M404" s="20"/>
      <c r="N404" s="14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ht="15" customHeight="1" x14ac:dyDescent="0.3">
      <c r="A405" s="13">
        <v>46291</v>
      </c>
      <c r="B405" s="14" t="s">
        <v>964</v>
      </c>
      <c r="C405" s="15">
        <v>-13301</v>
      </c>
      <c r="D405" s="17" t="s">
        <v>138</v>
      </c>
      <c r="E405" s="14" t="s">
        <v>1026</v>
      </c>
      <c r="F405" s="18">
        <v>9</v>
      </c>
      <c r="G405" s="12" t="str">
        <f>IFERROR(VLOOKUP(D405,Data!$A:$B,2,0),"Revisar")</f>
        <v>Costo Ventas</v>
      </c>
      <c r="H405" s="20" t="s">
        <v>763</v>
      </c>
      <c r="I405" s="157" t="str">
        <f t="array" ref="I405">_xlfn.XLOOKUP($H405,Data!$E:$E,Data!$F:$F,"Revisar",0)</f>
        <v>Kaspersky</v>
      </c>
      <c r="J405" s="157" t="str">
        <f t="array" ref="J405">_xlfn.XLOOKUP($H405,Data!$E:$E,Data!$G:$G,"Revisar",0)</f>
        <v>Actividades Kaspersky Sep</v>
      </c>
      <c r="K405" s="20" t="s">
        <v>30</v>
      </c>
      <c r="L405" s="18">
        <v>9</v>
      </c>
      <c r="M405" s="20"/>
      <c r="N405" s="14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ht="15" customHeight="1" x14ac:dyDescent="0.3">
      <c r="A406" s="13">
        <v>46290</v>
      </c>
      <c r="B406" s="14" t="s">
        <v>31</v>
      </c>
      <c r="C406" s="15">
        <v>33.85</v>
      </c>
      <c r="D406" s="17" t="s">
        <v>32</v>
      </c>
      <c r="E406" s="14" t="s">
        <v>32</v>
      </c>
      <c r="F406" s="18">
        <v>9</v>
      </c>
      <c r="G406" s="12" t="str">
        <f>IFERROR(VLOOKUP(D406,Data!$A:$B,2,0),"Revisar")</f>
        <v>Gastos Variables</v>
      </c>
      <c r="H406" s="20" t="s">
        <v>24</v>
      </c>
      <c r="I406" s="157" t="str">
        <f t="array" ref="I406">_xlfn.XLOOKUP($H406,Data!$E:$E,Data!$F:$F,"Revisar",0)</f>
        <v>NA</v>
      </c>
      <c r="J406" s="157" t="str">
        <f t="array" ref="J406">_xlfn.XLOOKUP($H406,Data!$E:$E,Data!$G:$G,"Revisar",0)</f>
        <v>NA</v>
      </c>
      <c r="K406" s="20" t="s">
        <v>24</v>
      </c>
      <c r="L406" s="18">
        <v>9</v>
      </c>
      <c r="M406" s="20"/>
      <c r="N406" s="14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ht="15" customHeight="1" x14ac:dyDescent="0.3">
      <c r="A407" s="13">
        <v>46291</v>
      </c>
      <c r="B407" s="14" t="s">
        <v>968</v>
      </c>
      <c r="C407" s="15">
        <v>-3070185</v>
      </c>
      <c r="D407" s="17" t="s">
        <v>138</v>
      </c>
      <c r="E407" s="14" t="s">
        <v>1028</v>
      </c>
      <c r="F407" s="18">
        <v>9</v>
      </c>
      <c r="G407" s="12" t="str">
        <f>IFERROR(VLOOKUP(D407,Data!$A:$B,2,0),"Revisar")</f>
        <v>Costo Ventas</v>
      </c>
      <c r="H407" s="20" t="s">
        <v>161</v>
      </c>
      <c r="I407" s="157" t="str">
        <f t="array" ref="I407">_xlfn.XLOOKUP($H407,Data!$E:$E,Data!$F:$F,"Revisar",0)</f>
        <v>Kaspersky</v>
      </c>
      <c r="J407" s="157" t="str">
        <f t="array" ref="J407">_xlfn.XLOOKUP($H407,Data!$E:$E,Data!$G:$G,"Revisar",0)</f>
        <v>Bolsa Incentivos 2026</v>
      </c>
      <c r="K407" s="20" t="s">
        <v>143</v>
      </c>
      <c r="L407" s="18">
        <v>9</v>
      </c>
      <c r="M407" s="20" t="s">
        <v>1163</v>
      </c>
      <c r="N407" s="14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ht="15" customHeight="1" x14ac:dyDescent="0.3">
      <c r="A408" s="13">
        <v>46291</v>
      </c>
      <c r="B408" s="14" t="s">
        <v>969</v>
      </c>
      <c r="C408" s="15">
        <v>-2208600</v>
      </c>
      <c r="D408" s="17" t="s">
        <v>138</v>
      </c>
      <c r="E408" s="14" t="s">
        <v>1029</v>
      </c>
      <c r="F408" s="18">
        <v>9</v>
      </c>
      <c r="G408" s="12" t="str">
        <f>IFERROR(VLOOKUP(D408,Data!$A:$B,2,0),"Revisar")</f>
        <v>Costo Ventas</v>
      </c>
      <c r="H408" s="20" t="s">
        <v>763</v>
      </c>
      <c r="I408" s="157" t="str">
        <f t="array" ref="I408">_xlfn.XLOOKUP($H408,Data!$E:$E,Data!$F:$F,"Revisar",0)</f>
        <v>Kaspersky</v>
      </c>
      <c r="J408" s="157" t="str">
        <f t="array" ref="J408">_xlfn.XLOOKUP($H408,Data!$E:$E,Data!$G:$G,"Revisar",0)</f>
        <v>Actividades Kaspersky Sep</v>
      </c>
      <c r="K408" s="20" t="s">
        <v>143</v>
      </c>
      <c r="L408" s="18">
        <v>9</v>
      </c>
      <c r="M408" s="20" t="s">
        <v>972</v>
      </c>
      <c r="N408" s="14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ht="15" customHeight="1" x14ac:dyDescent="0.3">
      <c r="A409" s="13">
        <v>46291</v>
      </c>
      <c r="B409" s="14" t="s">
        <v>968</v>
      </c>
      <c r="C409" s="15">
        <v>-1091500</v>
      </c>
      <c r="D409" s="17" t="s">
        <v>138</v>
      </c>
      <c r="E409" s="14" t="s">
        <v>1028</v>
      </c>
      <c r="F409" s="18">
        <v>9</v>
      </c>
      <c r="G409" s="12" t="str">
        <f>IFERROR(VLOOKUP(D409,Data!$A:$B,2,0),"Revisar")</f>
        <v>Costo Ventas</v>
      </c>
      <c r="H409" s="20" t="s">
        <v>161</v>
      </c>
      <c r="I409" s="157" t="str">
        <f t="array" ref="I409">_xlfn.XLOOKUP($H409,Data!$E:$E,Data!$F:$F,"Revisar",0)</f>
        <v>Kaspersky</v>
      </c>
      <c r="J409" s="157" t="str">
        <f t="array" ref="J409">_xlfn.XLOOKUP($H409,Data!$E:$E,Data!$G:$G,"Revisar",0)</f>
        <v>Bolsa Incentivos 2026</v>
      </c>
      <c r="K409" s="20" t="s">
        <v>143</v>
      </c>
      <c r="L409" s="18">
        <v>9</v>
      </c>
      <c r="M409" s="20"/>
      <c r="N409" s="14" t="s">
        <v>965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ht="15" customHeight="1" x14ac:dyDescent="0.3">
      <c r="A410" s="13">
        <v>46291</v>
      </c>
      <c r="B410" s="14" t="s">
        <v>970</v>
      </c>
      <c r="C410" s="15">
        <v>-108932</v>
      </c>
      <c r="D410" s="17" t="s">
        <v>138</v>
      </c>
      <c r="E410" s="14" t="s">
        <v>1030</v>
      </c>
      <c r="F410" s="18">
        <v>9</v>
      </c>
      <c r="G410" s="12" t="str">
        <f>IFERROR(VLOOKUP(D410,Data!$A:$B,2,0),"Revisar")</f>
        <v>Costo Ventas</v>
      </c>
      <c r="H410" s="20" t="s">
        <v>763</v>
      </c>
      <c r="I410" s="157" t="str">
        <f t="array" ref="I410">_xlfn.XLOOKUP($H410,Data!$E:$E,Data!$F:$F,"Revisar",0)</f>
        <v>Kaspersky</v>
      </c>
      <c r="J410" s="157" t="str">
        <f t="array" ref="J410">_xlfn.XLOOKUP($H410,Data!$E:$E,Data!$G:$G,"Revisar",0)</f>
        <v>Actividades Kaspersky Sep</v>
      </c>
      <c r="K410" s="20" t="s">
        <v>143</v>
      </c>
      <c r="L410" s="18">
        <v>9</v>
      </c>
      <c r="M410" s="20" t="s">
        <v>973</v>
      </c>
      <c r="N410" s="14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ht="15" customHeight="1" x14ac:dyDescent="0.3">
      <c r="A411" s="13">
        <v>46291</v>
      </c>
      <c r="B411" s="14" t="s">
        <v>968</v>
      </c>
      <c r="C411" s="15">
        <v>-48000</v>
      </c>
      <c r="D411" s="17" t="s">
        <v>138</v>
      </c>
      <c r="E411" s="14" t="s">
        <v>1028</v>
      </c>
      <c r="F411" s="18">
        <v>9</v>
      </c>
      <c r="G411" s="12" t="str">
        <f>IFERROR(VLOOKUP(D411,Data!$A:$B,2,0),"Revisar")</f>
        <v>Costo Ventas</v>
      </c>
      <c r="H411" s="20" t="s">
        <v>161</v>
      </c>
      <c r="I411" s="157" t="str">
        <f t="array" ref="I411">_xlfn.XLOOKUP($H411,Data!$E:$E,Data!$F:$F,"Revisar",0)</f>
        <v>Kaspersky</v>
      </c>
      <c r="J411" s="157" t="str">
        <f t="array" ref="J411">_xlfn.XLOOKUP($H411,Data!$E:$E,Data!$G:$G,"Revisar",0)</f>
        <v>Bolsa Incentivos 2026</v>
      </c>
      <c r="K411" s="20" t="s">
        <v>143</v>
      </c>
      <c r="L411" s="18">
        <v>9</v>
      </c>
      <c r="M411" s="20" t="s">
        <v>1161</v>
      </c>
      <c r="N411" s="14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ht="15" customHeight="1" x14ac:dyDescent="0.3">
      <c r="A412" s="13">
        <v>46291</v>
      </c>
      <c r="B412" s="14" t="s">
        <v>971</v>
      </c>
      <c r="C412" s="15">
        <v>-17973</v>
      </c>
      <c r="D412" s="17" t="s">
        <v>138</v>
      </c>
      <c r="E412" s="14" t="s">
        <v>1032</v>
      </c>
      <c r="F412" s="18">
        <v>9</v>
      </c>
      <c r="G412" s="12" t="str">
        <f>IFERROR(VLOOKUP(D412,Data!$A:$B,2,0),"Revisar")</f>
        <v>Costo Ventas</v>
      </c>
      <c r="H412" s="20" t="s">
        <v>763</v>
      </c>
      <c r="I412" s="157" t="str">
        <f t="array" ref="I412">_xlfn.XLOOKUP($H412,Data!$E:$E,Data!$F:$F,"Revisar",0)</f>
        <v>Kaspersky</v>
      </c>
      <c r="J412" s="157" t="str">
        <f t="array" ref="J412">_xlfn.XLOOKUP($H412,Data!$E:$E,Data!$G:$G,"Revisar",0)</f>
        <v>Actividades Kaspersky Sep</v>
      </c>
      <c r="K412" s="20" t="s">
        <v>30</v>
      </c>
      <c r="L412" s="18">
        <v>9</v>
      </c>
      <c r="M412" s="20"/>
      <c r="N412" s="14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ht="15" customHeight="1" x14ac:dyDescent="0.3">
      <c r="A413" s="13">
        <v>46291</v>
      </c>
      <c r="B413" s="14" t="s">
        <v>971</v>
      </c>
      <c r="C413" s="15">
        <v>-16972</v>
      </c>
      <c r="D413" s="17" t="s">
        <v>138</v>
      </c>
      <c r="E413" s="14" t="s">
        <v>1032</v>
      </c>
      <c r="F413" s="18">
        <v>9</v>
      </c>
      <c r="G413" s="12" t="str">
        <f>IFERROR(VLOOKUP(D413,Data!$A:$B,2,0),"Revisar")</f>
        <v>Costo Ventas</v>
      </c>
      <c r="H413" s="20" t="s">
        <v>763</v>
      </c>
      <c r="I413" s="157" t="str">
        <f t="array" ref="I413">_xlfn.XLOOKUP($H413,Data!$E:$E,Data!$F:$F,"Revisar",0)</f>
        <v>Kaspersky</v>
      </c>
      <c r="J413" s="157" t="str">
        <f t="array" ref="J413">_xlfn.XLOOKUP($H413,Data!$E:$E,Data!$G:$G,"Revisar",0)</f>
        <v>Actividades Kaspersky Sep</v>
      </c>
      <c r="K413" s="20" t="s">
        <v>30</v>
      </c>
      <c r="L413" s="18">
        <v>9</v>
      </c>
      <c r="M413" s="20"/>
      <c r="N413" s="14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ht="15" customHeight="1" x14ac:dyDescent="0.3">
      <c r="A414" s="13">
        <v>46291</v>
      </c>
      <c r="B414" s="14" t="s">
        <v>338</v>
      </c>
      <c r="C414" s="15">
        <v>-26301.85</v>
      </c>
      <c r="D414" s="17" t="s">
        <v>339</v>
      </c>
      <c r="E414" s="14" t="s">
        <v>339</v>
      </c>
      <c r="F414" s="18">
        <v>9</v>
      </c>
      <c r="G414" s="12" t="str">
        <f>IFERROR(VLOOKUP(D414,Data!$A:$B,2,0),"Revisar")</f>
        <v>Gastos Variables</v>
      </c>
      <c r="H414" s="20" t="s">
        <v>24</v>
      </c>
      <c r="I414" s="157" t="str">
        <f t="array" ref="I414">_xlfn.XLOOKUP($H414,Data!$E:$E,Data!$F:$F,"Revisar",0)</f>
        <v>NA</v>
      </c>
      <c r="J414" s="157" t="str">
        <f t="array" ref="J414">_xlfn.XLOOKUP($H414,Data!$E:$E,Data!$G:$G,"Revisar",0)</f>
        <v>NA</v>
      </c>
      <c r="K414" s="20" t="s">
        <v>24</v>
      </c>
      <c r="L414" s="18">
        <v>9</v>
      </c>
      <c r="M414" s="20"/>
      <c r="N414" s="14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ht="15" customHeight="1" x14ac:dyDescent="0.3">
      <c r="A415" s="13">
        <v>46291</v>
      </c>
      <c r="B415" s="14" t="s">
        <v>31</v>
      </c>
      <c r="C415" s="15">
        <v>24.81</v>
      </c>
      <c r="D415" s="17" t="s">
        <v>32</v>
      </c>
      <c r="E415" s="14" t="s">
        <v>32</v>
      </c>
      <c r="F415" s="18">
        <v>9</v>
      </c>
      <c r="G415" s="12" t="str">
        <f>IFERROR(VLOOKUP(D415,Data!$A:$B,2,0),"Revisar")</f>
        <v>Gastos Variables</v>
      </c>
      <c r="H415" s="20" t="s">
        <v>24</v>
      </c>
      <c r="I415" s="157" t="str">
        <f t="array" ref="I415">_xlfn.XLOOKUP($H415,Data!$E:$E,Data!$F:$F,"Revisar",0)</f>
        <v>NA</v>
      </c>
      <c r="J415" s="157" t="str">
        <f t="array" ref="J415">_xlfn.XLOOKUP($H415,Data!$E:$E,Data!$G:$G,"Revisar",0)</f>
        <v>NA</v>
      </c>
      <c r="K415" s="20" t="s">
        <v>24</v>
      </c>
      <c r="L415" s="18">
        <v>9</v>
      </c>
      <c r="M415" s="20"/>
      <c r="N415" s="14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ht="15" customHeight="1" x14ac:dyDescent="0.3">
      <c r="A416" s="13">
        <v>46292</v>
      </c>
      <c r="B416" s="14" t="s">
        <v>971</v>
      </c>
      <c r="C416" s="15">
        <v>-32820</v>
      </c>
      <c r="D416" s="17" t="s">
        <v>138</v>
      </c>
      <c r="E416" s="14" t="s">
        <v>1033</v>
      </c>
      <c r="F416" s="18">
        <v>9</v>
      </c>
      <c r="G416" s="12" t="str">
        <f>IFERROR(VLOOKUP(D416,Data!$A:$B,2,0),"Revisar")</f>
        <v>Costo Ventas</v>
      </c>
      <c r="H416" s="20" t="s">
        <v>161</v>
      </c>
      <c r="I416" s="157" t="str">
        <f t="array" ref="I416">_xlfn.XLOOKUP($H416,Data!$E:$E,Data!$F:$F,"Revisar",0)</f>
        <v>Kaspersky</v>
      </c>
      <c r="J416" s="157" t="str">
        <f t="array" ref="J416">_xlfn.XLOOKUP($H416,Data!$E:$E,Data!$G:$G,"Revisar",0)</f>
        <v>Bolsa Incentivos 2026</v>
      </c>
      <c r="K416" s="20" t="s">
        <v>30</v>
      </c>
      <c r="L416" s="18">
        <v>9</v>
      </c>
      <c r="M416" s="20"/>
      <c r="N416" s="14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ht="15" customHeight="1" x14ac:dyDescent="0.3">
      <c r="A417" s="13">
        <v>46292</v>
      </c>
      <c r="B417" s="14" t="s">
        <v>338</v>
      </c>
      <c r="C417" s="15">
        <v>-131.28</v>
      </c>
      <c r="D417" s="17" t="s">
        <v>339</v>
      </c>
      <c r="E417" s="14" t="s">
        <v>339</v>
      </c>
      <c r="F417" s="18">
        <v>9</v>
      </c>
      <c r="G417" s="12" t="str">
        <f>IFERROR(VLOOKUP(D417,Data!$A:$B,2,0),"Revisar")</f>
        <v>Gastos Variables</v>
      </c>
      <c r="H417" s="20" t="s">
        <v>24</v>
      </c>
      <c r="I417" s="157" t="str">
        <f t="array" ref="I417">_xlfn.XLOOKUP($H417,Data!$E:$E,Data!$F:$F,"Revisar",0)</f>
        <v>NA</v>
      </c>
      <c r="J417" s="157" t="str">
        <f t="array" ref="J417">_xlfn.XLOOKUP($H417,Data!$E:$E,Data!$G:$G,"Revisar",0)</f>
        <v>NA</v>
      </c>
      <c r="K417" s="20" t="s">
        <v>24</v>
      </c>
      <c r="L417" s="18">
        <v>9</v>
      </c>
      <c r="M417" s="20"/>
      <c r="N417" s="14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ht="15" customHeight="1" x14ac:dyDescent="0.3">
      <c r="A418" s="13">
        <v>46293</v>
      </c>
      <c r="B418" s="14" t="s">
        <v>31</v>
      </c>
      <c r="C418" s="15">
        <v>49.52</v>
      </c>
      <c r="D418" s="17" t="s">
        <v>32</v>
      </c>
      <c r="E418" s="14" t="s">
        <v>32</v>
      </c>
      <c r="F418" s="18">
        <v>9</v>
      </c>
      <c r="G418" s="12" t="str">
        <f>IFERROR(VLOOKUP(D418,Data!$A:$B,2,0),"Revisar")</f>
        <v>Gastos Variables</v>
      </c>
      <c r="H418" s="20" t="s">
        <v>24</v>
      </c>
      <c r="I418" s="157" t="str">
        <f t="array" ref="I418">_xlfn.XLOOKUP($H418,Data!$E:$E,Data!$F:$F,"Revisar",0)</f>
        <v>NA</v>
      </c>
      <c r="J418" s="157" t="str">
        <f t="array" ref="J418">_xlfn.XLOOKUP($H418,Data!$E:$E,Data!$G:$G,"Revisar",0)</f>
        <v>NA</v>
      </c>
      <c r="K418" s="20" t="s">
        <v>24</v>
      </c>
      <c r="L418" s="18">
        <v>9</v>
      </c>
      <c r="M418" s="20"/>
      <c r="N418" s="14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ht="15" customHeight="1" x14ac:dyDescent="0.3">
      <c r="A419" s="59">
        <v>46294</v>
      </c>
      <c r="B419" s="60" t="s">
        <v>84</v>
      </c>
      <c r="C419" s="61">
        <v>-212185</v>
      </c>
      <c r="D419" s="62" t="s">
        <v>85</v>
      </c>
      <c r="E419" s="60" t="s">
        <v>1140</v>
      </c>
      <c r="F419" s="63">
        <v>9</v>
      </c>
      <c r="G419" s="64" t="str">
        <f>IFERROR(VLOOKUP(D419,Data!$A:$B,2,0),"Revisar")</f>
        <v>Costos Operacionales</v>
      </c>
      <c r="H419" s="65" t="s">
        <v>24</v>
      </c>
      <c r="I419" s="159" t="str">
        <f t="array" ref="I419">_xlfn.XLOOKUP($H419,Data!$E:$E,Data!$F:$F,"Revisar",0)</f>
        <v>NA</v>
      </c>
      <c r="J419" s="159" t="str">
        <f t="array" ref="J419">_xlfn.XLOOKUP($H419,Data!$E:$E,Data!$G:$G,"Revisar",0)</f>
        <v>NA</v>
      </c>
      <c r="K419" s="65" t="s">
        <v>143</v>
      </c>
      <c r="L419" s="63">
        <v>9</v>
      </c>
      <c r="M419" s="20" t="s">
        <v>950</v>
      </c>
      <c r="N419" s="14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ht="15" customHeight="1" x14ac:dyDescent="0.3">
      <c r="A420" s="59">
        <v>46294</v>
      </c>
      <c r="B420" s="60" t="s">
        <v>84</v>
      </c>
      <c r="C420" s="61">
        <v>-212185</v>
      </c>
      <c r="D420" s="62" t="s">
        <v>85</v>
      </c>
      <c r="E420" s="60" t="s">
        <v>1140</v>
      </c>
      <c r="F420" s="63">
        <v>9</v>
      </c>
      <c r="G420" s="64" t="str">
        <f>IFERROR(VLOOKUP(D420,Data!$A:$B,2,0),"Revisar")</f>
        <v>Costos Operacionales</v>
      </c>
      <c r="H420" s="65" t="s">
        <v>24</v>
      </c>
      <c r="I420" s="159" t="str">
        <f t="array" ref="I420">_xlfn.XLOOKUP($H420,Data!$E:$E,Data!$F:$F,"Revisar",0)</f>
        <v>NA</v>
      </c>
      <c r="J420" s="159" t="str">
        <f t="array" ref="J420">_xlfn.XLOOKUP($H420,Data!$E:$E,Data!$G:$G,"Revisar",0)</f>
        <v>NA</v>
      </c>
      <c r="K420" s="65" t="s">
        <v>143</v>
      </c>
      <c r="L420" s="63">
        <v>9</v>
      </c>
      <c r="M420" s="20" t="s">
        <v>951</v>
      </c>
      <c r="N420" s="14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ht="15" customHeight="1" x14ac:dyDescent="0.3">
      <c r="A421" s="59">
        <v>46294</v>
      </c>
      <c r="B421" s="60" t="s">
        <v>84</v>
      </c>
      <c r="C421" s="61">
        <v>-5500000</v>
      </c>
      <c r="D421" s="62" t="s">
        <v>85</v>
      </c>
      <c r="E421" s="60" t="s">
        <v>1141</v>
      </c>
      <c r="F421" s="63">
        <v>9</v>
      </c>
      <c r="G421" s="64" t="str">
        <f>IFERROR(VLOOKUP(D421,Data!$A:$B,2,0),"Revisar")</f>
        <v>Costos Operacionales</v>
      </c>
      <c r="H421" s="65" t="s">
        <v>24</v>
      </c>
      <c r="I421" s="159" t="str">
        <f t="array" ref="I421">_xlfn.XLOOKUP($H421,Data!$E:$E,Data!$F:$F,"Revisar",0)</f>
        <v>NA</v>
      </c>
      <c r="J421" s="159" t="str">
        <f t="array" ref="J421">_xlfn.XLOOKUP($H421,Data!$E:$E,Data!$G:$G,"Revisar",0)</f>
        <v>NA</v>
      </c>
      <c r="K421" s="65" t="s">
        <v>143</v>
      </c>
      <c r="L421" s="63">
        <v>9</v>
      </c>
      <c r="M421" s="20" t="s">
        <v>1007</v>
      </c>
      <c r="N421" s="14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ht="15" customHeight="1" x14ac:dyDescent="0.3">
      <c r="A422" s="59">
        <v>46294</v>
      </c>
      <c r="B422" s="60" t="s">
        <v>84</v>
      </c>
      <c r="C422" s="61">
        <v>-319760</v>
      </c>
      <c r="D422" s="62" t="s">
        <v>85</v>
      </c>
      <c r="E422" s="60" t="s">
        <v>1140</v>
      </c>
      <c r="F422" s="63">
        <v>9</v>
      </c>
      <c r="G422" s="64" t="str">
        <f>IFERROR(VLOOKUP(D422,Data!$A:$B,2,0),"Revisar")</f>
        <v>Costos Operacionales</v>
      </c>
      <c r="H422" s="65" t="s">
        <v>952</v>
      </c>
      <c r="I422" s="159" t="str">
        <f t="array" ref="I422">_xlfn.XLOOKUP($H422,Data!$E:$E,Data!$F:$F,"Revisar",0)</f>
        <v>AXIS</v>
      </c>
      <c r="J422" s="159" t="str">
        <f t="array" ref="J422">_xlfn.XLOOKUP($H422,Data!$E:$E,Data!$G:$G,"Revisar",0)</f>
        <v>Bono Amazon</v>
      </c>
      <c r="K422" s="65" t="s">
        <v>143</v>
      </c>
      <c r="L422" s="63">
        <v>9</v>
      </c>
      <c r="M422" s="20" t="s">
        <v>1093</v>
      </c>
      <c r="N422" s="14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ht="15" customHeight="1" x14ac:dyDescent="0.3">
      <c r="A423" s="59">
        <v>46294</v>
      </c>
      <c r="B423" s="60" t="s">
        <v>84</v>
      </c>
      <c r="C423" s="61">
        <v>-336280</v>
      </c>
      <c r="D423" s="62" t="s">
        <v>85</v>
      </c>
      <c r="E423" s="60" t="s">
        <v>1140</v>
      </c>
      <c r="F423" s="63">
        <v>9</v>
      </c>
      <c r="G423" s="64" t="str">
        <f>IFERROR(VLOOKUP(D423,Data!$A:$B,2,0),"Revisar")</f>
        <v>Costos Operacionales</v>
      </c>
      <c r="H423" s="65" t="s">
        <v>1052</v>
      </c>
      <c r="I423" s="159" t="str">
        <f t="array" ref="I423">_xlfn.XLOOKUP($H423,Data!$E:$E,Data!$F:$F,"Revisar",0)</f>
        <v>AXIS</v>
      </c>
      <c r="J423" s="159" t="str">
        <f t="array" ref="J423">_xlfn.XLOOKUP($H423,Data!$E:$E,Data!$G:$G,"Revisar",0)</f>
        <v>Bono amazon 100 USD ARG</v>
      </c>
      <c r="K423" s="65" t="s">
        <v>143</v>
      </c>
      <c r="L423" s="63">
        <v>9</v>
      </c>
      <c r="M423" s="20" t="s">
        <v>1094</v>
      </c>
      <c r="N423" s="14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ht="15" customHeight="1" x14ac:dyDescent="0.3">
      <c r="A424" s="59">
        <v>46294</v>
      </c>
      <c r="B424" s="60" t="s">
        <v>84</v>
      </c>
      <c r="C424" s="61">
        <v>-151860</v>
      </c>
      <c r="D424" s="62" t="s">
        <v>85</v>
      </c>
      <c r="E424" s="60" t="s">
        <v>1140</v>
      </c>
      <c r="F424" s="63">
        <v>9</v>
      </c>
      <c r="G424" s="64" t="str">
        <f>IFERROR(VLOOKUP(D424,Data!$A:$B,2,0),"Revisar")</f>
        <v>Costos Operacionales</v>
      </c>
      <c r="H424" s="65" t="s">
        <v>161</v>
      </c>
      <c r="I424" s="159" t="str">
        <f t="array" ref="I424">_xlfn.XLOOKUP($H424,Data!$E:$E,Data!$F:$F,"Revisar",0)</f>
        <v>Kaspersky</v>
      </c>
      <c r="J424" s="159" t="str">
        <f t="array" ref="J424">_xlfn.XLOOKUP($H424,Data!$E:$E,Data!$G:$G,"Revisar",0)</f>
        <v>Bolsa Incentivos 2026</v>
      </c>
      <c r="K424" s="65" t="s">
        <v>143</v>
      </c>
      <c r="L424" s="63">
        <v>9</v>
      </c>
      <c r="M424" s="20" t="s">
        <v>1095</v>
      </c>
      <c r="N424" s="14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ht="15" customHeight="1" x14ac:dyDescent="0.3">
      <c r="A425" s="59">
        <v>46294</v>
      </c>
      <c r="B425" s="60" t="s">
        <v>84</v>
      </c>
      <c r="C425" s="61">
        <v>-55072</v>
      </c>
      <c r="D425" s="62" t="s">
        <v>85</v>
      </c>
      <c r="E425" s="60" t="s">
        <v>1140</v>
      </c>
      <c r="F425" s="63">
        <v>9</v>
      </c>
      <c r="G425" s="64" t="str">
        <f>IFERROR(VLOOKUP(D425,Data!$A:$B,2,0),"Revisar")</f>
        <v>Costos Operacionales</v>
      </c>
      <c r="H425" s="65" t="s">
        <v>882</v>
      </c>
      <c r="I425" s="159" t="str">
        <f t="array" ref="I425">_xlfn.XLOOKUP($H425,Data!$E:$E,Data!$F:$F,"Revisar",0)</f>
        <v>MOTOROLA</v>
      </c>
      <c r="J425" s="159" t="str">
        <f t="array" ref="J425">_xlfn.XLOOKUP($H425,Data!$E:$E,Data!$G:$G,"Revisar",0)</f>
        <v>Entrepartners CALI</v>
      </c>
      <c r="K425" s="65" t="s">
        <v>143</v>
      </c>
      <c r="L425" s="63">
        <v>9</v>
      </c>
      <c r="M425" s="20" t="s">
        <v>1096</v>
      </c>
      <c r="N425" s="14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ht="15" customHeight="1" x14ac:dyDescent="0.3">
      <c r="A426" s="59">
        <v>46294</v>
      </c>
      <c r="B426" s="60" t="s">
        <v>84</v>
      </c>
      <c r="C426" s="61">
        <v>-83154</v>
      </c>
      <c r="D426" s="62" t="s">
        <v>85</v>
      </c>
      <c r="E426" s="60" t="s">
        <v>1140</v>
      </c>
      <c r="F426" s="63">
        <v>9</v>
      </c>
      <c r="G426" s="64" t="str">
        <f>IFERROR(VLOOKUP(D426,Data!$A:$B,2,0),"Revisar")</f>
        <v>Costos Operacionales</v>
      </c>
      <c r="H426" s="65" t="s">
        <v>882</v>
      </c>
      <c r="I426" s="159" t="str">
        <f t="array" ref="I426">_xlfn.XLOOKUP($H426,Data!$E:$E,Data!$F:$F,"Revisar",0)</f>
        <v>MOTOROLA</v>
      </c>
      <c r="J426" s="159" t="str">
        <f t="array" ref="J426">_xlfn.XLOOKUP($H426,Data!$E:$E,Data!$G:$G,"Revisar",0)</f>
        <v>Entrepartners CALI</v>
      </c>
      <c r="K426" s="65" t="s">
        <v>143</v>
      </c>
      <c r="L426" s="63">
        <v>9</v>
      </c>
      <c r="M426" s="20" t="s">
        <v>1097</v>
      </c>
      <c r="N426" s="14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ht="15" customHeight="1" x14ac:dyDescent="0.3">
      <c r="A427" s="59">
        <v>46294</v>
      </c>
      <c r="B427" s="60" t="s">
        <v>84</v>
      </c>
      <c r="C427" s="61">
        <v>-93996</v>
      </c>
      <c r="D427" s="62" t="s">
        <v>85</v>
      </c>
      <c r="E427" s="60" t="s">
        <v>1140</v>
      </c>
      <c r="F427" s="63">
        <v>9</v>
      </c>
      <c r="G427" s="64" t="str">
        <f>IFERROR(VLOOKUP(D427,Data!$A:$B,2,0),"Revisar")</f>
        <v>Costos Operacionales</v>
      </c>
      <c r="H427" s="65" t="s">
        <v>883</v>
      </c>
      <c r="I427" s="159" t="str">
        <f t="array" ref="I427">_xlfn.XLOOKUP($H427,Data!$E:$E,Data!$F:$F,"Revisar",0)</f>
        <v>MOTOROLA</v>
      </c>
      <c r="J427" s="159" t="str">
        <f t="array" ref="J427">_xlfn.XLOOKUP($H427,Data!$E:$E,Data!$G:$G,"Revisar",0)</f>
        <v>Entrepartners MEDELLIN</v>
      </c>
      <c r="K427" s="65" t="s">
        <v>143</v>
      </c>
      <c r="L427" s="63">
        <v>9</v>
      </c>
      <c r="M427" s="20" t="s">
        <v>1098</v>
      </c>
      <c r="N427" s="14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ht="15" customHeight="1" x14ac:dyDescent="0.3">
      <c r="A428" s="13">
        <v>46294</v>
      </c>
      <c r="B428" s="14" t="s">
        <v>84</v>
      </c>
      <c r="C428" s="15">
        <v>-1500000</v>
      </c>
      <c r="D428" s="17" t="s">
        <v>138</v>
      </c>
      <c r="E428" s="14" t="s">
        <v>1010</v>
      </c>
      <c r="F428" s="18">
        <v>9</v>
      </c>
      <c r="G428" s="12" t="str">
        <f>IFERROR(VLOOKUP(D428,Data!$A:$B,2,0),"Revisar")</f>
        <v>Costo Ventas</v>
      </c>
      <c r="H428" s="20" t="s">
        <v>763</v>
      </c>
      <c r="I428" s="157" t="str">
        <f t="array" ref="I428">_xlfn.XLOOKUP($H428,Data!$E:$E,Data!$F:$F,"Revisar",0)</f>
        <v>Kaspersky</v>
      </c>
      <c r="J428" s="157" t="str">
        <f t="array" ref="J428">_xlfn.XLOOKUP($H428,Data!$E:$E,Data!$G:$G,"Revisar",0)</f>
        <v>Actividades Kaspersky Sep</v>
      </c>
      <c r="K428" s="20" t="s">
        <v>143</v>
      </c>
      <c r="L428" s="18">
        <v>9</v>
      </c>
      <c r="M428" s="20"/>
      <c r="N428" s="14" t="s">
        <v>1011</v>
      </c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ht="15" customHeight="1" x14ac:dyDescent="0.3">
      <c r="A429" s="13">
        <v>46294</v>
      </c>
      <c r="B429" s="14" t="s">
        <v>338</v>
      </c>
      <c r="C429" s="15">
        <v>-33894.089999999997</v>
      </c>
      <c r="D429" s="17" t="s">
        <v>339</v>
      </c>
      <c r="E429" s="14" t="s">
        <v>339</v>
      </c>
      <c r="F429" s="18">
        <v>9</v>
      </c>
      <c r="G429" s="12" t="str">
        <f>IFERROR(VLOOKUP(D429,Data!$A:$B,2,0),"Revisar")</f>
        <v>Gastos Variables</v>
      </c>
      <c r="H429" s="20" t="s">
        <v>24</v>
      </c>
      <c r="I429" s="157" t="str">
        <f t="array" ref="I429">_xlfn.XLOOKUP($H429,Data!$E:$E,Data!$F:$F,"Revisar",0)</f>
        <v>NA</v>
      </c>
      <c r="J429" s="157" t="str">
        <f t="array" ref="J429">_xlfn.XLOOKUP($H429,Data!$E:$E,Data!$G:$G,"Revisar",0)</f>
        <v>NA</v>
      </c>
      <c r="K429" s="20" t="s">
        <v>24</v>
      </c>
      <c r="L429" s="18">
        <v>9</v>
      </c>
      <c r="M429" s="20"/>
      <c r="N429" s="14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ht="15" customHeight="1" x14ac:dyDescent="0.3">
      <c r="A430" s="13">
        <v>46294</v>
      </c>
      <c r="B430" s="14" t="s">
        <v>77</v>
      </c>
      <c r="C430" s="15">
        <v>-7590</v>
      </c>
      <c r="D430" s="17" t="s">
        <v>78</v>
      </c>
      <c r="E430" s="14" t="s">
        <v>909</v>
      </c>
      <c r="F430" s="18">
        <v>9</v>
      </c>
      <c r="G430" s="12" t="str">
        <f>IFERROR(VLOOKUP(D430,Data!$A:$B,2,0),"Revisar")</f>
        <v>Gastos Variables</v>
      </c>
      <c r="H430" s="20" t="s">
        <v>24</v>
      </c>
      <c r="I430" s="157" t="str">
        <f t="array" ref="I430">_xlfn.XLOOKUP($H430,Data!$E:$E,Data!$F:$F,"Revisar",0)</f>
        <v>NA</v>
      </c>
      <c r="J430" s="157" t="str">
        <f t="array" ref="J430">_xlfn.XLOOKUP($H430,Data!$E:$E,Data!$G:$G,"Revisar",0)</f>
        <v>NA</v>
      </c>
      <c r="K430" s="20" t="s">
        <v>24</v>
      </c>
      <c r="L430" s="18">
        <v>9</v>
      </c>
      <c r="M430" s="20"/>
      <c r="N430" s="14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ht="15" customHeight="1" x14ac:dyDescent="0.3">
      <c r="A431" s="13">
        <v>46294</v>
      </c>
      <c r="B431" s="14" t="s">
        <v>89</v>
      </c>
      <c r="C431" s="15">
        <v>-1442.1</v>
      </c>
      <c r="D431" s="17" t="s">
        <v>78</v>
      </c>
      <c r="E431" s="14" t="s">
        <v>910</v>
      </c>
      <c r="F431" s="18">
        <v>9</v>
      </c>
      <c r="G431" s="12" t="str">
        <f>IFERROR(VLOOKUP(D431,Data!$A:$B,2,0),"Revisar")</f>
        <v>Gastos Variables</v>
      </c>
      <c r="H431" s="20" t="s">
        <v>24</v>
      </c>
      <c r="I431" s="157" t="str">
        <f t="array" ref="I431">_xlfn.XLOOKUP($H431,Data!$E:$E,Data!$F:$F,"Revisar",0)</f>
        <v>NA</v>
      </c>
      <c r="J431" s="157" t="str">
        <f t="array" ref="J431">_xlfn.XLOOKUP($H431,Data!$E:$E,Data!$G:$G,"Revisar",0)</f>
        <v>NA</v>
      </c>
      <c r="K431" s="20" t="s">
        <v>24</v>
      </c>
      <c r="L431" s="18">
        <v>9</v>
      </c>
      <c r="M431" s="20"/>
      <c r="N431" s="14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ht="15" customHeight="1" x14ac:dyDescent="0.3">
      <c r="A432" s="13">
        <v>46294</v>
      </c>
      <c r="B432" s="14" t="s">
        <v>31</v>
      </c>
      <c r="C432" s="15">
        <v>13.11</v>
      </c>
      <c r="D432" s="17" t="s">
        <v>32</v>
      </c>
      <c r="E432" s="14" t="s">
        <v>32</v>
      </c>
      <c r="F432" s="18">
        <v>9</v>
      </c>
      <c r="G432" s="12" t="str">
        <f>IFERROR(VLOOKUP(D432,Data!$A:$B,2,0),"Revisar")</f>
        <v>Gastos Variables</v>
      </c>
      <c r="H432" s="20" t="s">
        <v>24</v>
      </c>
      <c r="I432" s="157" t="str">
        <f t="array" ref="I432">_xlfn.XLOOKUP($H432,Data!$E:$E,Data!$F:$F,"Revisar",0)</f>
        <v>NA</v>
      </c>
      <c r="J432" s="157" t="str">
        <f t="array" ref="J432">_xlfn.XLOOKUP($H432,Data!$E:$E,Data!$G:$G,"Revisar",0)</f>
        <v>NA</v>
      </c>
      <c r="K432" s="20" t="s">
        <v>24</v>
      </c>
      <c r="L432" s="18">
        <v>9</v>
      </c>
      <c r="M432" s="20"/>
      <c r="N432" s="14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ht="15" customHeight="1" x14ac:dyDescent="0.3">
      <c r="A433" s="13">
        <v>46295</v>
      </c>
      <c r="B433" s="14" t="s">
        <v>1039</v>
      </c>
      <c r="C433" s="15">
        <v>-28900</v>
      </c>
      <c r="D433" s="17" t="s">
        <v>70</v>
      </c>
      <c r="E433" s="170" t="s">
        <v>1069</v>
      </c>
      <c r="F433" s="18">
        <v>9</v>
      </c>
      <c r="G433" s="12" t="str">
        <f>IFERROR(VLOOKUP(D433,Data!$A:$B,2,0),"Revisar")</f>
        <v>Costos Operacionales</v>
      </c>
      <c r="H433" s="20" t="s">
        <v>24</v>
      </c>
      <c r="I433" s="157" t="str">
        <f t="array" ref="I433">_xlfn.XLOOKUP($H433,Data!$E:$E,Data!$F:$F,"Revisar",0)</f>
        <v>NA</v>
      </c>
      <c r="J433" s="157" t="str">
        <f t="array" ref="J433">_xlfn.XLOOKUP($H433,Data!$E:$E,Data!$G:$G,"Revisar",0)</f>
        <v>NA</v>
      </c>
      <c r="K433" s="20" t="s">
        <v>30</v>
      </c>
      <c r="L433" s="18">
        <v>9</v>
      </c>
      <c r="M433" s="20"/>
      <c r="N433" s="14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ht="15" customHeight="1" x14ac:dyDescent="0.3">
      <c r="A434" s="13">
        <v>46295</v>
      </c>
      <c r="B434" s="14" t="s">
        <v>338</v>
      </c>
      <c r="C434" s="15">
        <v>-115.6</v>
      </c>
      <c r="D434" s="17" t="s">
        <v>339</v>
      </c>
      <c r="E434" s="14" t="s">
        <v>339</v>
      </c>
      <c r="F434" s="18">
        <v>9</v>
      </c>
      <c r="G434" s="12" t="str">
        <f>IFERROR(VLOOKUP(D434,Data!$A:$B,2,0),"Revisar")</f>
        <v>Gastos Variables</v>
      </c>
      <c r="H434" s="20" t="s">
        <v>24</v>
      </c>
      <c r="I434" s="157" t="str">
        <f t="array" ref="I434">_xlfn.XLOOKUP($H434,Data!$E:$E,Data!$F:$F,"Revisar",0)</f>
        <v>NA</v>
      </c>
      <c r="J434" s="157" t="str">
        <f t="array" ref="J434">_xlfn.XLOOKUP($H434,Data!$E:$E,Data!$G:$G,"Revisar",0)</f>
        <v>NA</v>
      </c>
      <c r="K434" s="20" t="s">
        <v>24</v>
      </c>
      <c r="L434" s="18">
        <v>9</v>
      </c>
      <c r="M434" s="20"/>
      <c r="N434" s="14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ht="15" customHeight="1" x14ac:dyDescent="0.3">
      <c r="A435" s="13">
        <v>46295</v>
      </c>
      <c r="B435" s="14" t="s">
        <v>31</v>
      </c>
      <c r="C435" s="15">
        <v>13.07</v>
      </c>
      <c r="D435" s="17" t="s">
        <v>32</v>
      </c>
      <c r="E435" s="14" t="s">
        <v>32</v>
      </c>
      <c r="F435" s="18">
        <v>9</v>
      </c>
      <c r="G435" s="12" t="str">
        <f>IFERROR(VLOOKUP(D435,Data!$A:$B,2,0),"Revisar")</f>
        <v>Gastos Variables</v>
      </c>
      <c r="H435" s="20" t="s">
        <v>24</v>
      </c>
      <c r="I435" s="157" t="str">
        <f t="array" ref="I435">_xlfn.XLOOKUP($H435,Data!$E:$E,Data!$F:$F,"Revisar",0)</f>
        <v>NA</v>
      </c>
      <c r="J435" s="157" t="str">
        <f t="array" ref="J435">_xlfn.XLOOKUP($H435,Data!$E:$E,Data!$G:$G,"Revisar",0)</f>
        <v>NA</v>
      </c>
      <c r="K435" s="20" t="s">
        <v>24</v>
      </c>
      <c r="L435" s="18">
        <v>9</v>
      </c>
      <c r="M435" s="20"/>
      <c r="N435" s="14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ht="15" customHeight="1" x14ac:dyDescent="0.3">
      <c r="A436" s="13">
        <v>46296</v>
      </c>
      <c r="B436" s="14" t="s">
        <v>415</v>
      </c>
      <c r="C436" s="15">
        <v>-208443.89</v>
      </c>
      <c r="D436" s="17" t="s">
        <v>298</v>
      </c>
      <c r="E436" s="14" t="s">
        <v>416</v>
      </c>
      <c r="F436" s="18">
        <v>10</v>
      </c>
      <c r="G436" s="12" t="str">
        <f>IFERROR(VLOOKUP(D436,Data!$A:$B,2,0),"Revisar")</f>
        <v>Costos Operacionales</v>
      </c>
      <c r="H436" s="20" t="s">
        <v>24</v>
      </c>
      <c r="I436" s="157" t="str">
        <f t="array" ref="I436">_xlfn.XLOOKUP($H436,Data!$E:$E,Data!$F:$F,"Revisar",0)</f>
        <v>NA</v>
      </c>
      <c r="J436" s="157" t="str">
        <f t="array" ref="J436">_xlfn.XLOOKUP($H436,Data!$E:$E,Data!$G:$G,"Revisar",0)</f>
        <v>NA</v>
      </c>
      <c r="K436" s="20" t="s">
        <v>30</v>
      </c>
      <c r="L436" s="18">
        <v>10</v>
      </c>
      <c r="M436" s="20"/>
      <c r="N436" s="14" t="s">
        <v>1046</v>
      </c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ht="15" customHeight="1" x14ac:dyDescent="0.3">
      <c r="A437" s="13">
        <v>46296</v>
      </c>
      <c r="B437" s="14" t="s">
        <v>31</v>
      </c>
      <c r="C437" s="15">
        <v>12.78</v>
      </c>
      <c r="D437" s="17" t="s">
        <v>32</v>
      </c>
      <c r="E437" s="14" t="s">
        <v>32</v>
      </c>
      <c r="F437" s="18">
        <v>10</v>
      </c>
      <c r="G437" s="12" t="str">
        <f>IFERROR(VLOOKUP(D437,Data!$A:$B,2,0),"Revisar")</f>
        <v>Gastos Variables</v>
      </c>
      <c r="H437" s="20" t="s">
        <v>24</v>
      </c>
      <c r="I437" s="157" t="str">
        <f t="array" ref="I437">_xlfn.XLOOKUP($H437,Data!$E:$E,Data!$F:$F,"Revisar",0)</f>
        <v>NA</v>
      </c>
      <c r="J437" s="157" t="str">
        <f t="array" ref="J437">_xlfn.XLOOKUP($H437,Data!$E:$E,Data!$G:$G,"Revisar",0)</f>
        <v>NA</v>
      </c>
      <c r="K437" s="20" t="s">
        <v>24</v>
      </c>
      <c r="L437" s="18">
        <v>10</v>
      </c>
      <c r="M437" s="20"/>
      <c r="N437" s="14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ht="15" customHeight="1" x14ac:dyDescent="0.3">
      <c r="A438" s="13">
        <v>46297</v>
      </c>
      <c r="B438" s="14" t="s">
        <v>1040</v>
      </c>
      <c r="C438" s="15">
        <v>-145800</v>
      </c>
      <c r="D438" s="17" t="s">
        <v>70</v>
      </c>
      <c r="E438" s="14" t="s">
        <v>1068</v>
      </c>
      <c r="F438" s="18">
        <v>10</v>
      </c>
      <c r="G438" s="12" t="str">
        <f>IFERROR(VLOOKUP(D438,Data!$A:$B,2,0),"Revisar")</f>
        <v>Costos Operacionales</v>
      </c>
      <c r="H438" s="20" t="s">
        <v>24</v>
      </c>
      <c r="I438" s="157" t="str">
        <f t="array" ref="I438">_xlfn.XLOOKUP($H438,Data!$E:$E,Data!$F:$F,"Revisar",0)</f>
        <v>NA</v>
      </c>
      <c r="J438" s="157" t="str">
        <f t="array" ref="J438">_xlfn.XLOOKUP($H438,Data!$E:$E,Data!$G:$G,"Revisar",0)</f>
        <v>NA</v>
      </c>
      <c r="K438" s="20" t="s">
        <v>143</v>
      </c>
      <c r="L438" s="18">
        <v>10</v>
      </c>
      <c r="M438" s="20" t="s">
        <v>1047</v>
      </c>
      <c r="N438" s="14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ht="15" customHeight="1" x14ac:dyDescent="0.3">
      <c r="A439" s="13">
        <v>46297</v>
      </c>
      <c r="B439" s="14" t="s">
        <v>1041</v>
      </c>
      <c r="C439" s="15">
        <v>-38000</v>
      </c>
      <c r="D439" s="17" t="s">
        <v>70</v>
      </c>
      <c r="E439" s="14" t="s">
        <v>1070</v>
      </c>
      <c r="F439" s="18">
        <v>10</v>
      </c>
      <c r="G439" s="12" t="str">
        <f>IFERROR(VLOOKUP(D439,Data!$A:$B,2,0),"Revisar")</f>
        <v>Costos Operacionales</v>
      </c>
      <c r="H439" s="20" t="s">
        <v>24</v>
      </c>
      <c r="I439" s="157" t="str">
        <f t="array" ref="I439">_xlfn.XLOOKUP($H439,Data!$E:$E,Data!$F:$F,"Revisar",0)</f>
        <v>NA</v>
      </c>
      <c r="J439" s="157" t="str">
        <f t="array" ref="J439">_xlfn.XLOOKUP($H439,Data!$E:$E,Data!$G:$G,"Revisar",0)</f>
        <v>NA</v>
      </c>
      <c r="K439" s="20" t="s">
        <v>143</v>
      </c>
      <c r="L439" s="18">
        <v>10</v>
      </c>
      <c r="M439" s="20" t="s">
        <v>1048</v>
      </c>
      <c r="N439" s="14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ht="15" customHeight="1" x14ac:dyDescent="0.3">
      <c r="A440" s="13">
        <v>46297</v>
      </c>
      <c r="B440" s="14" t="s">
        <v>446</v>
      </c>
      <c r="C440" s="15">
        <v>19197044</v>
      </c>
      <c r="D440" s="17" t="s">
        <v>188</v>
      </c>
      <c r="E440" s="14" t="s">
        <v>1042</v>
      </c>
      <c r="F440" s="18">
        <v>10</v>
      </c>
      <c r="G440" s="12" t="str">
        <f>IFERROR(VLOOKUP(D440,Data!$A:$B,2,0),"Revisar")</f>
        <v>Ingresos</v>
      </c>
      <c r="H440" s="20" t="s">
        <v>766</v>
      </c>
      <c r="I440" s="157" t="str">
        <f t="array" ref="I440">_xlfn.XLOOKUP($H440,Data!$E:$E,Data!$F:$F,"Revisar",0)</f>
        <v>Kaspersky</v>
      </c>
      <c r="J440" s="157" t="str">
        <f t="array" ref="J440">_xlfn.XLOOKUP($H440,Data!$E:$E,Data!$G:$G,"Revisar",0)</f>
        <v>Alojamiento 24 a 27 de septiembre</v>
      </c>
      <c r="K440" s="20" t="s">
        <v>143</v>
      </c>
      <c r="L440" s="18">
        <v>10</v>
      </c>
      <c r="M440" s="20" t="s">
        <v>288</v>
      </c>
      <c r="N440" s="14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ht="15" customHeight="1" x14ac:dyDescent="0.3">
      <c r="A441" s="13">
        <v>46297</v>
      </c>
      <c r="B441" s="14" t="s">
        <v>823</v>
      </c>
      <c r="C441" s="15">
        <v>25722983.199999999</v>
      </c>
      <c r="D441" s="17" t="s">
        <v>188</v>
      </c>
      <c r="E441" s="14" t="s">
        <v>1043</v>
      </c>
      <c r="F441" s="18">
        <v>10</v>
      </c>
      <c r="G441" s="12" t="str">
        <f>IFERROR(VLOOKUP(D441,Data!$A:$B,2,0),"Revisar")</f>
        <v>Ingresos</v>
      </c>
      <c r="H441" s="20" t="s">
        <v>268</v>
      </c>
      <c r="I441" s="157" t="str">
        <f t="array" ref="I441">_xlfn.XLOOKUP($H441,Data!$E:$E,Data!$F:$F,"Revisar",0)</f>
        <v>ANIXTER</v>
      </c>
      <c r="J441" s="157" t="str">
        <f t="array" ref="J441">_xlfn.XLOOKUP($H441,Data!$E:$E,Data!$G:$G,"Revisar",0)</f>
        <v>Almuerzo Evento Corferias ESS+</v>
      </c>
      <c r="K441" s="20" t="s">
        <v>143</v>
      </c>
      <c r="L441" s="18">
        <v>10</v>
      </c>
      <c r="M441" s="20" t="s">
        <v>267</v>
      </c>
      <c r="N441" s="14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ht="15" customHeight="1" x14ac:dyDescent="0.3">
      <c r="A442" s="13">
        <v>46300</v>
      </c>
      <c r="B442" s="14" t="s">
        <v>1044</v>
      </c>
      <c r="C442" s="15">
        <v>-23500</v>
      </c>
      <c r="D442" s="17" t="s">
        <v>298</v>
      </c>
      <c r="E442" s="177" t="s">
        <v>1137</v>
      </c>
      <c r="F442" s="18">
        <v>10</v>
      </c>
      <c r="G442" s="12" t="str">
        <f>IFERROR(VLOOKUP(D442,Data!$A:$B,2,0),"Revisar")</f>
        <v>Costos Operacionales</v>
      </c>
      <c r="H442" s="20" t="s">
        <v>24</v>
      </c>
      <c r="I442" s="157" t="str">
        <f t="array" ref="I442">_xlfn.XLOOKUP($H442,Data!$E:$E,Data!$F:$F,"Revisar",0)</f>
        <v>NA</v>
      </c>
      <c r="J442" s="157" t="str">
        <f t="array" ref="J442">_xlfn.XLOOKUP($H442,Data!$E:$E,Data!$G:$G,"Revisar",0)</f>
        <v>NA</v>
      </c>
      <c r="K442" s="20" t="s">
        <v>30</v>
      </c>
      <c r="L442" s="18">
        <v>10</v>
      </c>
      <c r="M442" s="20"/>
      <c r="N442" s="14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 ht="15" customHeight="1" x14ac:dyDescent="0.3">
      <c r="A443" s="13">
        <v>46300</v>
      </c>
      <c r="B443" s="14" t="s">
        <v>1045</v>
      </c>
      <c r="C443" s="15">
        <v>-10973</v>
      </c>
      <c r="D443" s="17" t="s">
        <v>138</v>
      </c>
      <c r="E443" s="14" t="s">
        <v>1073</v>
      </c>
      <c r="F443" s="18">
        <v>10</v>
      </c>
      <c r="G443" s="12" t="str">
        <f>IFERROR(VLOOKUP(D443,Data!$A:$B,2,0),"Revisar")</f>
        <v>Costo Ventas</v>
      </c>
      <c r="H443" s="20" t="s">
        <v>1071</v>
      </c>
      <c r="I443" s="157" t="str">
        <f t="array" ref="I443">_xlfn.XLOOKUP($H443,Data!$E:$E,Data!$F:$F,"Revisar",0)</f>
        <v>Kaspersky</v>
      </c>
      <c r="J443" s="157" t="str">
        <f t="array" ref="J443">_xlfn.XLOOKUP($H443,Data!$E:$E,Data!$G:$G,"Revisar",0)</f>
        <v>Fiesta de fin de año</v>
      </c>
      <c r="K443" s="20" t="s">
        <v>30</v>
      </c>
      <c r="L443" s="18">
        <v>10</v>
      </c>
      <c r="M443" s="20"/>
      <c r="N443" s="14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 ht="15" customHeight="1" x14ac:dyDescent="0.3">
      <c r="A444" s="13">
        <v>46299</v>
      </c>
      <c r="B444" s="14" t="s">
        <v>31</v>
      </c>
      <c r="C444" s="15">
        <v>444.39</v>
      </c>
      <c r="D444" s="17" t="s">
        <v>32</v>
      </c>
      <c r="E444" s="14" t="s">
        <v>32</v>
      </c>
      <c r="F444" s="18">
        <v>10</v>
      </c>
      <c r="G444" s="12" t="str">
        <f>IFERROR(VLOOKUP(D444,Data!$A:$B,2,0),"Revisar")</f>
        <v>Gastos Variables</v>
      </c>
      <c r="H444" s="20" t="s">
        <v>24</v>
      </c>
      <c r="I444" s="157" t="str">
        <f t="array" ref="I444">_xlfn.XLOOKUP($H444,Data!$E:$E,Data!$F:$F,"Revisar",0)</f>
        <v>NA</v>
      </c>
      <c r="J444" s="157" t="str">
        <f t="array" ref="J444">_xlfn.XLOOKUP($H444,Data!$E:$E,Data!$G:$G,"Revisar",0)</f>
        <v>NA</v>
      </c>
      <c r="K444" s="20" t="s">
        <v>24</v>
      </c>
      <c r="L444" s="18">
        <v>10</v>
      </c>
      <c r="M444" s="20"/>
      <c r="N444" s="14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ht="15" customHeight="1" x14ac:dyDescent="0.3">
      <c r="A445" s="13">
        <v>46300</v>
      </c>
      <c r="B445" s="14" t="s">
        <v>1099</v>
      </c>
      <c r="C445" s="15">
        <v>-235503</v>
      </c>
      <c r="D445" s="17" t="s">
        <v>70</v>
      </c>
      <c r="E445" s="14" t="s">
        <v>70</v>
      </c>
      <c r="F445" s="18">
        <v>10</v>
      </c>
      <c r="G445" s="12" t="str">
        <f>IFERROR(VLOOKUP(D445,Data!$A:$B,2,0),"Revisar")</f>
        <v>Costos Operacionales</v>
      </c>
      <c r="H445" s="20" t="s">
        <v>24</v>
      </c>
      <c r="I445" s="157" t="str">
        <f t="array" ref="I445">_xlfn.XLOOKUP($H445,Data!$E:$E,Data!$F:$F,"Revisar",0)</f>
        <v>NA</v>
      </c>
      <c r="J445" s="157" t="str">
        <f t="array" ref="J445">_xlfn.XLOOKUP($H445,Data!$E:$E,Data!$G:$G,"Revisar",0)</f>
        <v>NA</v>
      </c>
      <c r="K445" s="20" t="s">
        <v>30</v>
      </c>
      <c r="L445" s="18">
        <v>10</v>
      </c>
      <c r="M445" s="20" t="s">
        <v>1111</v>
      </c>
      <c r="N445" s="14" t="s">
        <v>1112</v>
      </c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ht="15" customHeight="1" x14ac:dyDescent="0.3">
      <c r="A446" s="13">
        <v>46302</v>
      </c>
      <c r="B446" s="14" t="s">
        <v>31</v>
      </c>
      <c r="C446" s="15">
        <v>442.17</v>
      </c>
      <c r="D446" s="17" t="s">
        <v>32</v>
      </c>
      <c r="E446" s="14" t="s">
        <v>32</v>
      </c>
      <c r="F446" s="18">
        <v>10</v>
      </c>
      <c r="G446" s="12" t="str">
        <f>IFERROR(VLOOKUP(D446,Data!$A:$B,2,0),"Revisar")</f>
        <v>Gastos Variables</v>
      </c>
      <c r="H446" s="20" t="s">
        <v>24</v>
      </c>
      <c r="I446" s="157" t="str">
        <f t="array" ref="I446">_xlfn.XLOOKUP($H446,Data!$E:$E,Data!$F:$F,"Revisar",0)</f>
        <v>NA</v>
      </c>
      <c r="J446" s="157" t="str">
        <f t="array" ref="J446">_xlfn.XLOOKUP($H446,Data!$E:$E,Data!$G:$G,"Revisar",0)</f>
        <v>NA</v>
      </c>
      <c r="K446" s="20" t="s">
        <v>24</v>
      </c>
      <c r="L446" s="18">
        <v>10</v>
      </c>
      <c r="M446" s="20"/>
      <c r="N446" s="14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ht="15" customHeight="1" x14ac:dyDescent="0.3">
      <c r="A447" s="59">
        <v>46303</v>
      </c>
      <c r="B447" s="60" t="s">
        <v>108</v>
      </c>
      <c r="C447" s="61">
        <v>-3848460</v>
      </c>
      <c r="D447" s="62" t="s">
        <v>138</v>
      </c>
      <c r="E447" s="60" t="s">
        <v>1100</v>
      </c>
      <c r="F447" s="63">
        <v>10</v>
      </c>
      <c r="G447" s="64" t="str">
        <f>IFERROR(VLOOKUP(D447,Data!$A:$B,2,0),"Revisar")</f>
        <v>Costo Ventas</v>
      </c>
      <c r="H447" s="65" t="s">
        <v>316</v>
      </c>
      <c r="I447" s="159" t="str">
        <f t="array" ref="I447">_xlfn.XLOOKUP($H447,Data!$E:$E,Data!$F:$F,"Revisar",0)</f>
        <v>ANIXTER</v>
      </c>
      <c r="J447" s="159" t="str">
        <f t="array" ref="J447">_xlfn.XLOOKUP($H447,Data!$E:$E,Data!$G:$G,"Revisar",0)</f>
        <v>Adicionales Almuerzo ESS+</v>
      </c>
      <c r="K447" s="65" t="s">
        <v>143</v>
      </c>
      <c r="L447" s="63">
        <v>10</v>
      </c>
      <c r="M447" s="20" t="s">
        <v>592</v>
      </c>
      <c r="N447" s="14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ht="15" customHeight="1" x14ac:dyDescent="0.3">
      <c r="A448" s="59">
        <v>46303</v>
      </c>
      <c r="B448" s="60" t="s">
        <v>108</v>
      </c>
      <c r="C448" s="61">
        <v>-3326050</v>
      </c>
      <c r="D448" s="62" t="s">
        <v>138</v>
      </c>
      <c r="E448" s="60" t="s">
        <v>1101</v>
      </c>
      <c r="F448" s="63">
        <v>10</v>
      </c>
      <c r="G448" s="64" t="str">
        <f>IFERROR(VLOOKUP(D448,Data!$A:$B,2,0),"Revisar")</f>
        <v>Costo Ventas</v>
      </c>
      <c r="H448" s="65" t="s">
        <v>203</v>
      </c>
      <c r="I448" s="159" t="str">
        <f t="array" ref="I448">_xlfn.XLOOKUP($H448,Data!$E:$E,Data!$F:$F,"Revisar",0)</f>
        <v>AXIS</v>
      </c>
      <c r="J448" s="159" t="str">
        <f t="array" ref="J448">_xlfn.XLOOKUP($H448,Data!$E:$E,Data!$G:$G,"Revisar",0)</f>
        <v>Merch y transporte para Cena feria de seguridad</v>
      </c>
      <c r="K448" s="65" t="s">
        <v>143</v>
      </c>
      <c r="L448" s="63">
        <v>10</v>
      </c>
      <c r="M448" s="20" t="s">
        <v>598</v>
      </c>
      <c r="N448" s="14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ht="15" customHeight="1" x14ac:dyDescent="0.3">
      <c r="A449" s="59">
        <v>46303</v>
      </c>
      <c r="B449" s="60" t="s">
        <v>108</v>
      </c>
      <c r="C449" s="61">
        <v>-4391100</v>
      </c>
      <c r="D449" s="62" t="s">
        <v>138</v>
      </c>
      <c r="E449" s="60" t="s">
        <v>1102</v>
      </c>
      <c r="F449" s="63">
        <v>10</v>
      </c>
      <c r="G449" s="64" t="str">
        <f>IFERROR(VLOOKUP(D449,Data!$A:$B,2,0),"Revisar")</f>
        <v>Costo Ventas</v>
      </c>
      <c r="H449" s="65" t="s">
        <v>782</v>
      </c>
      <c r="I449" s="159" t="str">
        <f t="array" ref="I449">_xlfn.XLOOKUP($H449,Data!$E:$E,Data!$F:$F,"Revisar",0)</f>
        <v>Konrad Adenauer Stiftung</v>
      </c>
      <c r="J449" s="159" t="str">
        <f t="array" ref="J449">_xlfn.XLOOKUP($H449,Data!$E:$E,Data!$G:$G,"Revisar",0)</f>
        <v>Morrales y letras KAS</v>
      </c>
      <c r="K449" s="65" t="s">
        <v>143</v>
      </c>
      <c r="L449" s="63">
        <v>10</v>
      </c>
      <c r="M449" s="20" t="s">
        <v>866</v>
      </c>
      <c r="N449" s="14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ht="15" customHeight="1" x14ac:dyDescent="0.3">
      <c r="A450" s="13">
        <v>46303</v>
      </c>
      <c r="B450" s="14" t="s">
        <v>84</v>
      </c>
      <c r="C450" s="15">
        <v>-2998800</v>
      </c>
      <c r="D450" s="17" t="s">
        <v>138</v>
      </c>
      <c r="E450" s="14" t="s">
        <v>1133</v>
      </c>
      <c r="F450" s="18">
        <v>10</v>
      </c>
      <c r="G450" s="12" t="str">
        <f>IFERROR(VLOOKUP(D450,Data!$A:$B,2,0),"Revisar")</f>
        <v>Costo Ventas</v>
      </c>
      <c r="H450" s="20" t="s">
        <v>782</v>
      </c>
      <c r="I450" s="157" t="str">
        <f t="array" ref="I450">_xlfn.XLOOKUP($H450,Data!$E:$E,Data!$F:$F,"Revisar",0)</f>
        <v>Konrad Adenauer Stiftung</v>
      </c>
      <c r="J450" s="157" t="str">
        <f t="array" ref="J450">_xlfn.XLOOKUP($H450,Data!$E:$E,Data!$G:$G,"Revisar",0)</f>
        <v>Morrales y letras KAS</v>
      </c>
      <c r="K450" s="20" t="s">
        <v>143</v>
      </c>
      <c r="L450" s="18">
        <v>10</v>
      </c>
      <c r="M450" s="20" t="s">
        <v>867</v>
      </c>
      <c r="N450" s="14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ht="15" customHeight="1" x14ac:dyDescent="0.3">
      <c r="A451" s="13">
        <v>46303</v>
      </c>
      <c r="B451" s="14" t="s">
        <v>84</v>
      </c>
      <c r="C451" s="15">
        <v>-1000000</v>
      </c>
      <c r="D451" s="17" t="s">
        <v>138</v>
      </c>
      <c r="E451" s="14" t="s">
        <v>1131</v>
      </c>
      <c r="F451" s="18">
        <v>10</v>
      </c>
      <c r="G451" s="12" t="str">
        <f>IFERROR(VLOOKUP(D451,Data!$A:$B,2,0),"Revisar")</f>
        <v>Costo Ventas</v>
      </c>
      <c r="H451" s="20" t="s">
        <v>1071</v>
      </c>
      <c r="I451" s="157" t="str">
        <f t="array" ref="I451">_xlfn.XLOOKUP($H451,Data!$E:$E,Data!$F:$F,"Revisar",0)</f>
        <v>Kaspersky</v>
      </c>
      <c r="J451" s="157" t="str">
        <f t="array" ref="J451">_xlfn.XLOOKUP($H451,Data!$E:$E,Data!$G:$G,"Revisar",0)</f>
        <v>Fiesta de fin de año</v>
      </c>
      <c r="K451" s="20" t="s">
        <v>143</v>
      </c>
      <c r="L451" s="18">
        <v>10</v>
      </c>
      <c r="M451" s="20"/>
      <c r="N451" s="14" t="s">
        <v>1132</v>
      </c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ht="15" customHeight="1" x14ac:dyDescent="0.3">
      <c r="A452" s="13">
        <v>46303</v>
      </c>
      <c r="B452" s="14" t="s">
        <v>84</v>
      </c>
      <c r="C452" s="15">
        <v>-150000</v>
      </c>
      <c r="D452" s="17" t="s">
        <v>138</v>
      </c>
      <c r="E452" s="14" t="s">
        <v>1103</v>
      </c>
      <c r="F452" s="18">
        <v>10</v>
      </c>
      <c r="G452" s="12" t="str">
        <f>IFERROR(VLOOKUP(D452,Data!$A:$B,2,0),"Revisar")</f>
        <v>Costo Ventas</v>
      </c>
      <c r="H452" s="20" t="s">
        <v>268</v>
      </c>
      <c r="I452" s="157" t="str">
        <f t="array" ref="I452">_xlfn.XLOOKUP($H452,Data!$E:$E,Data!$F:$F,"Revisar",0)</f>
        <v>ANIXTER</v>
      </c>
      <c r="J452" s="157" t="str">
        <f t="array" ref="J452">_xlfn.XLOOKUP($H452,Data!$E:$E,Data!$G:$G,"Revisar",0)</f>
        <v>Almuerzo Evento Corferias ESS+</v>
      </c>
      <c r="K452" s="20" t="s">
        <v>30</v>
      </c>
      <c r="L452" s="18">
        <v>10</v>
      </c>
      <c r="M452" s="20" t="s">
        <v>929</v>
      </c>
      <c r="N452" s="14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ht="15" customHeight="1" x14ac:dyDescent="0.3">
      <c r="A453" s="13">
        <v>46303</v>
      </c>
      <c r="B453" s="14" t="s">
        <v>1104</v>
      </c>
      <c r="C453" s="15">
        <v>-18050</v>
      </c>
      <c r="D453" s="17" t="s">
        <v>55</v>
      </c>
      <c r="E453" s="14" t="s">
        <v>55</v>
      </c>
      <c r="F453" s="18">
        <v>10</v>
      </c>
      <c r="G453" s="12" t="str">
        <f>IFERROR(VLOOKUP(D453,Data!$A:$B,2,0),"Revisar")</f>
        <v>Costos Fijos</v>
      </c>
      <c r="H453" s="20" t="s">
        <v>24</v>
      </c>
      <c r="I453" s="157" t="str">
        <f t="array" ref="I453">_xlfn.XLOOKUP($H453,Data!$E:$E,Data!$F:$F,"Revisar",0)</f>
        <v>NA</v>
      </c>
      <c r="J453" s="157" t="str">
        <f t="array" ref="J453">_xlfn.XLOOKUP($H453,Data!$E:$E,Data!$G:$G,"Revisar",0)</f>
        <v>NA</v>
      </c>
      <c r="K453" s="20" t="s">
        <v>24</v>
      </c>
      <c r="L453" s="18">
        <v>10</v>
      </c>
      <c r="M453" s="20"/>
      <c r="N453" s="14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ht="15" customHeight="1" x14ac:dyDescent="0.3">
      <c r="A454" s="13">
        <v>46303</v>
      </c>
      <c r="B454" s="14" t="s">
        <v>77</v>
      </c>
      <c r="C454" s="15">
        <v>-7590</v>
      </c>
      <c r="D454" s="17" t="s">
        <v>78</v>
      </c>
      <c r="E454" s="14" t="s">
        <v>909</v>
      </c>
      <c r="F454" s="18">
        <v>10</v>
      </c>
      <c r="G454" s="12" t="str">
        <f>IFERROR(VLOOKUP(D454,Data!$A:$B,2,0),"Revisar")</f>
        <v>Gastos Variables</v>
      </c>
      <c r="H454" s="20" t="s">
        <v>24</v>
      </c>
      <c r="I454" s="157" t="str">
        <f t="array" ref="I454">_xlfn.XLOOKUP($H454,Data!$E:$E,Data!$F:$F,"Revisar",0)</f>
        <v>NA</v>
      </c>
      <c r="J454" s="157" t="str">
        <f t="array" ref="J454">_xlfn.XLOOKUP($H454,Data!$E:$E,Data!$G:$G,"Revisar",0)</f>
        <v>NA</v>
      </c>
      <c r="K454" s="20" t="s">
        <v>24</v>
      </c>
      <c r="L454" s="18">
        <v>10</v>
      </c>
      <c r="M454" s="20"/>
      <c r="N454" s="14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ht="15" customHeight="1" x14ac:dyDescent="0.3">
      <c r="A455" s="13">
        <v>46303</v>
      </c>
      <c r="B455" s="14" t="s">
        <v>77</v>
      </c>
      <c r="C455" s="15">
        <v>-7590</v>
      </c>
      <c r="D455" s="17" t="s">
        <v>78</v>
      </c>
      <c r="E455" s="14" t="s">
        <v>909</v>
      </c>
      <c r="F455" s="18">
        <v>10</v>
      </c>
      <c r="G455" s="12" t="str">
        <f>IFERROR(VLOOKUP(D455,Data!$A:$B,2,0),"Revisar")</f>
        <v>Gastos Variables</v>
      </c>
      <c r="H455" s="20" t="s">
        <v>24</v>
      </c>
      <c r="I455" s="157" t="str">
        <f t="array" ref="I455">_xlfn.XLOOKUP($H455,Data!$E:$E,Data!$F:$F,"Revisar",0)</f>
        <v>NA</v>
      </c>
      <c r="J455" s="157" t="str">
        <f t="array" ref="J455">_xlfn.XLOOKUP($H455,Data!$E:$E,Data!$G:$G,"Revisar",0)</f>
        <v>NA</v>
      </c>
      <c r="K455" s="20" t="s">
        <v>24</v>
      </c>
      <c r="L455" s="18">
        <v>10</v>
      </c>
      <c r="M455" s="20"/>
      <c r="N455" s="14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ht="15" customHeight="1" x14ac:dyDescent="0.3">
      <c r="A456" s="13">
        <v>46303</v>
      </c>
      <c r="B456" s="14" t="s">
        <v>77</v>
      </c>
      <c r="C456" s="15">
        <v>-7590</v>
      </c>
      <c r="D456" s="17" t="s">
        <v>78</v>
      </c>
      <c r="E456" s="14" t="s">
        <v>909</v>
      </c>
      <c r="F456" s="18">
        <v>10</v>
      </c>
      <c r="G456" s="12" t="str">
        <f>IFERROR(VLOOKUP(D456,Data!$A:$B,2,0),"Revisar")</f>
        <v>Gastos Variables</v>
      </c>
      <c r="H456" s="20" t="s">
        <v>24</v>
      </c>
      <c r="I456" s="157" t="str">
        <f t="array" ref="I456">_xlfn.XLOOKUP($H456,Data!$E:$E,Data!$F:$F,"Revisar",0)</f>
        <v>NA</v>
      </c>
      <c r="J456" s="157" t="str">
        <f t="array" ref="J456">_xlfn.XLOOKUP($H456,Data!$E:$E,Data!$G:$G,"Revisar",0)</f>
        <v>NA</v>
      </c>
      <c r="K456" s="20" t="s">
        <v>24</v>
      </c>
      <c r="L456" s="18">
        <v>10</v>
      </c>
      <c r="M456" s="20"/>
      <c r="N456" s="14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ht="15" customHeight="1" x14ac:dyDescent="0.3">
      <c r="A457" s="13">
        <v>46303</v>
      </c>
      <c r="B457" s="14" t="s">
        <v>89</v>
      </c>
      <c r="C457" s="15">
        <v>-1442.1</v>
      </c>
      <c r="D457" s="17" t="s">
        <v>78</v>
      </c>
      <c r="E457" s="14" t="s">
        <v>910</v>
      </c>
      <c r="F457" s="18">
        <v>10</v>
      </c>
      <c r="G457" s="12" t="str">
        <f>IFERROR(VLOOKUP(D457,Data!$A:$B,2,0),"Revisar")</f>
        <v>Gastos Variables</v>
      </c>
      <c r="H457" s="20" t="s">
        <v>24</v>
      </c>
      <c r="I457" s="157" t="str">
        <f t="array" ref="I457">_xlfn.XLOOKUP($H457,Data!$E:$E,Data!$F:$F,"Revisar",0)</f>
        <v>NA</v>
      </c>
      <c r="J457" s="157" t="str">
        <f t="array" ref="J457">_xlfn.XLOOKUP($H457,Data!$E:$E,Data!$G:$G,"Revisar",0)</f>
        <v>NA</v>
      </c>
      <c r="K457" s="20" t="s">
        <v>24</v>
      </c>
      <c r="L457" s="18">
        <v>10</v>
      </c>
      <c r="M457" s="20"/>
      <c r="N457" s="14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ht="15" customHeight="1" x14ac:dyDescent="0.3">
      <c r="A458" s="13">
        <v>46303</v>
      </c>
      <c r="B458" s="14" t="s">
        <v>89</v>
      </c>
      <c r="C458" s="15">
        <v>-1442.1</v>
      </c>
      <c r="D458" s="17" t="s">
        <v>78</v>
      </c>
      <c r="E458" s="14" t="s">
        <v>910</v>
      </c>
      <c r="F458" s="18">
        <v>10</v>
      </c>
      <c r="G458" s="12" t="str">
        <f>IFERROR(VLOOKUP(D458,Data!$A:$B,2,0),"Revisar")</f>
        <v>Gastos Variables</v>
      </c>
      <c r="H458" s="20" t="s">
        <v>24</v>
      </c>
      <c r="I458" s="157" t="str">
        <f t="array" ref="I458">_xlfn.XLOOKUP($H458,Data!$E:$E,Data!$F:$F,"Revisar",0)</f>
        <v>NA</v>
      </c>
      <c r="J458" s="157" t="str">
        <f t="array" ref="J458">_xlfn.XLOOKUP($H458,Data!$E:$E,Data!$G:$G,"Revisar",0)</f>
        <v>NA</v>
      </c>
      <c r="K458" s="20" t="s">
        <v>24</v>
      </c>
      <c r="L458" s="18">
        <v>10</v>
      </c>
      <c r="M458" s="20"/>
      <c r="N458" s="14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ht="15" customHeight="1" x14ac:dyDescent="0.3">
      <c r="A459" s="13">
        <v>46303</v>
      </c>
      <c r="B459" s="14" t="s">
        <v>89</v>
      </c>
      <c r="C459" s="15">
        <v>-1442.1</v>
      </c>
      <c r="D459" s="17" t="s">
        <v>78</v>
      </c>
      <c r="E459" s="14" t="s">
        <v>910</v>
      </c>
      <c r="F459" s="18">
        <v>10</v>
      </c>
      <c r="G459" s="12" t="str">
        <f>IFERROR(VLOOKUP(D459,Data!$A:$B,2,0),"Revisar")</f>
        <v>Gastos Variables</v>
      </c>
      <c r="H459" s="20" t="s">
        <v>24</v>
      </c>
      <c r="I459" s="157" t="str">
        <f t="array" ref="I459">_xlfn.XLOOKUP($H459,Data!$E:$E,Data!$F:$F,"Revisar",0)</f>
        <v>NA</v>
      </c>
      <c r="J459" s="157" t="str">
        <f t="array" ref="J459">_xlfn.XLOOKUP($H459,Data!$E:$E,Data!$G:$G,"Revisar",0)</f>
        <v>NA</v>
      </c>
      <c r="K459" s="20" t="s">
        <v>24</v>
      </c>
      <c r="L459" s="18">
        <v>10</v>
      </c>
      <c r="M459" s="20"/>
      <c r="N459" s="14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ht="15" customHeight="1" x14ac:dyDescent="0.3">
      <c r="A460" s="13">
        <v>46303</v>
      </c>
      <c r="B460" s="14" t="s">
        <v>31</v>
      </c>
      <c r="C460" s="15">
        <v>52.75</v>
      </c>
      <c r="D460" s="17" t="s">
        <v>32</v>
      </c>
      <c r="E460" s="14" t="s">
        <v>32</v>
      </c>
      <c r="F460" s="18">
        <v>10</v>
      </c>
      <c r="G460" s="12" t="str">
        <f>IFERROR(VLOOKUP(D460,Data!$A:$B,2,0),"Revisar")</f>
        <v>Gastos Variables</v>
      </c>
      <c r="H460" s="20" t="s">
        <v>24</v>
      </c>
      <c r="I460" s="157" t="str">
        <f t="array" ref="I460">_xlfn.XLOOKUP($H460,Data!$E:$E,Data!$F:$F,"Revisar",0)</f>
        <v>NA</v>
      </c>
      <c r="J460" s="157" t="str">
        <f t="array" ref="J460">_xlfn.XLOOKUP($H460,Data!$E:$E,Data!$G:$G,"Revisar",0)</f>
        <v>NA</v>
      </c>
      <c r="K460" s="20" t="s">
        <v>24</v>
      </c>
      <c r="L460" s="18">
        <v>10</v>
      </c>
      <c r="M460" s="20"/>
      <c r="N460" s="14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ht="15" customHeight="1" x14ac:dyDescent="0.3">
      <c r="A461" s="13">
        <v>46303</v>
      </c>
      <c r="B461" s="14" t="s">
        <v>187</v>
      </c>
      <c r="C461" s="15">
        <v>471381</v>
      </c>
      <c r="D461" s="17" t="s">
        <v>188</v>
      </c>
      <c r="E461" s="14" t="s">
        <v>1105</v>
      </c>
      <c r="F461" s="18">
        <v>10</v>
      </c>
      <c r="G461" s="12" t="str">
        <f>IFERROR(VLOOKUP(D461,Data!$A:$B,2,0),"Revisar")</f>
        <v>Ingresos</v>
      </c>
      <c r="H461" s="20" t="s">
        <v>1052</v>
      </c>
      <c r="I461" s="157" t="str">
        <f t="array" ref="I461">_xlfn.XLOOKUP($H461,Data!$E:$E,Data!$F:$F,"Revisar",0)</f>
        <v>AXIS</v>
      </c>
      <c r="J461" s="157" t="str">
        <f t="array" ref="J461">_xlfn.XLOOKUP($H461,Data!$E:$E,Data!$G:$G,"Revisar",0)</f>
        <v>Bono amazon 100 USD ARG</v>
      </c>
      <c r="K461" s="20" t="s">
        <v>143</v>
      </c>
      <c r="L461" s="18">
        <v>10</v>
      </c>
      <c r="M461" s="20" t="s">
        <v>1051</v>
      </c>
      <c r="N461" s="14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ht="15" customHeight="1" x14ac:dyDescent="0.3">
      <c r="A462" s="13">
        <v>46304</v>
      </c>
      <c r="B462" s="14" t="s">
        <v>823</v>
      </c>
      <c r="C462" s="15">
        <v>5040623.1100000003</v>
      </c>
      <c r="D462" s="17" t="s">
        <v>188</v>
      </c>
      <c r="E462" s="14" t="s">
        <v>1106</v>
      </c>
      <c r="F462" s="18">
        <v>10</v>
      </c>
      <c r="G462" s="12" t="str">
        <f>IFERROR(VLOOKUP(D462,Data!$A:$B,2,0),"Revisar")</f>
        <v>Ingresos</v>
      </c>
      <c r="H462" s="20" t="s">
        <v>316</v>
      </c>
      <c r="I462" s="157" t="str">
        <f t="array" ref="I462">_xlfn.XLOOKUP($H462,Data!$E:$E,Data!$F:$F,"Revisar",0)</f>
        <v>ANIXTER</v>
      </c>
      <c r="J462" s="157" t="str">
        <f t="array" ref="J462">_xlfn.XLOOKUP($H462,Data!$E:$E,Data!$G:$G,"Revisar",0)</f>
        <v>Adicionales Almuerzo ESS+</v>
      </c>
      <c r="K462" s="20" t="s">
        <v>143</v>
      </c>
      <c r="L462" s="18">
        <v>10</v>
      </c>
      <c r="M462" s="20" t="s">
        <v>315</v>
      </c>
      <c r="N462" s="14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ht="15" customHeight="1" x14ac:dyDescent="0.3">
      <c r="A463" s="13">
        <v>46306</v>
      </c>
      <c r="B463" s="14" t="s">
        <v>31</v>
      </c>
      <c r="C463" s="15">
        <v>178.98</v>
      </c>
      <c r="D463" s="17" t="s">
        <v>32</v>
      </c>
      <c r="E463" s="14" t="s">
        <v>32</v>
      </c>
      <c r="F463" s="18">
        <v>10</v>
      </c>
      <c r="G463" s="12" t="str">
        <f>IFERROR(VLOOKUP(D463,Data!$A:$B,2,0),"Revisar")</f>
        <v>Gastos Variables</v>
      </c>
      <c r="H463" s="20" t="s">
        <v>24</v>
      </c>
      <c r="I463" s="157" t="str">
        <f t="array" ref="I463">_xlfn.XLOOKUP($H463,Data!$E:$E,Data!$F:$F,"Revisar",0)</f>
        <v>NA</v>
      </c>
      <c r="J463" s="157" t="str">
        <f t="array" ref="J463">_xlfn.XLOOKUP($H463,Data!$E:$E,Data!$G:$G,"Revisar",0)</f>
        <v>NA</v>
      </c>
      <c r="K463" s="20" t="s">
        <v>24</v>
      </c>
      <c r="L463" s="18">
        <v>10</v>
      </c>
      <c r="M463" s="20"/>
      <c r="N463" s="14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ht="15" customHeight="1" x14ac:dyDescent="0.3">
      <c r="A464" s="13">
        <v>46307</v>
      </c>
      <c r="B464" s="14" t="s">
        <v>1107</v>
      </c>
      <c r="C464" s="15">
        <v>-156759</v>
      </c>
      <c r="D464" s="17" t="s">
        <v>138</v>
      </c>
      <c r="E464" s="177" t="s">
        <v>1136</v>
      </c>
      <c r="F464" s="18">
        <v>10</v>
      </c>
      <c r="G464" s="12" t="str">
        <f>IFERROR(VLOOKUP(D464,Data!$A:$B,2,0),"Revisar")</f>
        <v>Costo Ventas</v>
      </c>
      <c r="H464" s="20" t="s">
        <v>1134</v>
      </c>
      <c r="I464" s="157" t="str">
        <f t="array" ref="I464">_xlfn.XLOOKUP($H464,Data!$E:$E,Data!$F:$F,"Revisar",0)</f>
        <v>Kaspersky</v>
      </c>
      <c r="J464" s="157" t="str">
        <f t="array" ref="J464">_xlfn.XLOOKUP($H464,Data!$E:$E,Data!$G:$G,"Revisar",0)</f>
        <v>Regalos Fin de año</v>
      </c>
      <c r="K464" s="20" t="s">
        <v>30</v>
      </c>
      <c r="L464" s="18">
        <v>10</v>
      </c>
      <c r="M464" s="20"/>
      <c r="N464" s="14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ht="15" customHeight="1" x14ac:dyDescent="0.3">
      <c r="A465" s="13">
        <v>46307</v>
      </c>
      <c r="B465" s="14" t="s">
        <v>1108</v>
      </c>
      <c r="C465" s="15">
        <v>-57084.639999999999</v>
      </c>
      <c r="D465" s="17" t="s">
        <v>138</v>
      </c>
      <c r="E465" s="177" t="s">
        <v>1138</v>
      </c>
      <c r="F465" s="18">
        <v>10</v>
      </c>
      <c r="G465" s="12" t="str">
        <f>IFERROR(VLOOKUP(D465,Data!$A:$B,2,0),"Revisar")</f>
        <v>Costo Ventas</v>
      </c>
      <c r="H465" s="20" t="s">
        <v>1134</v>
      </c>
      <c r="I465" s="157" t="str">
        <f t="array" ref="I465">_xlfn.XLOOKUP($H465,Data!$E:$E,Data!$F:$F,"Revisar",0)</f>
        <v>Kaspersky</v>
      </c>
      <c r="J465" s="157" t="str">
        <f t="array" ref="J465">_xlfn.XLOOKUP($H465,Data!$E:$E,Data!$G:$G,"Revisar",0)</f>
        <v>Regalos Fin de año</v>
      </c>
      <c r="K465" s="20" t="s">
        <v>30</v>
      </c>
      <c r="L465" s="18">
        <v>10</v>
      </c>
      <c r="M465" s="20"/>
      <c r="N465" s="14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ht="15" customHeight="1" x14ac:dyDescent="0.3">
      <c r="A466" s="13">
        <v>46307</v>
      </c>
      <c r="B466" s="14" t="s">
        <v>31</v>
      </c>
      <c r="C466" s="15">
        <v>59.36</v>
      </c>
      <c r="D466" s="17" t="s">
        <v>32</v>
      </c>
      <c r="E466" s="14" t="s">
        <v>32</v>
      </c>
      <c r="F466" s="18">
        <v>10</v>
      </c>
      <c r="G466" s="12" t="str">
        <f>IFERROR(VLOOKUP(D466,Data!$A:$B,2,0),"Revisar")</f>
        <v>Gastos Variables</v>
      </c>
      <c r="H466" s="20" t="s">
        <v>24</v>
      </c>
      <c r="I466" s="157" t="str">
        <f t="array" ref="I466">_xlfn.XLOOKUP($H466,Data!$E:$E,Data!$F:$F,"Revisar",0)</f>
        <v>NA</v>
      </c>
      <c r="J466" s="157" t="str">
        <f t="array" ref="J466">_xlfn.XLOOKUP($H466,Data!$E:$E,Data!$G:$G,"Revisar",0)</f>
        <v>NA</v>
      </c>
      <c r="K466" s="20" t="s">
        <v>24</v>
      </c>
      <c r="L466" s="18">
        <v>10</v>
      </c>
      <c r="M466" s="20"/>
      <c r="N466" s="14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ht="15" customHeight="1" x14ac:dyDescent="0.3">
      <c r="A467" s="13">
        <v>46308</v>
      </c>
      <c r="B467" s="14" t="s">
        <v>84</v>
      </c>
      <c r="C467" s="15">
        <v>-5500000</v>
      </c>
      <c r="D467" s="17" t="s">
        <v>85</v>
      </c>
      <c r="E467" s="14" t="s">
        <v>1142</v>
      </c>
      <c r="F467" s="18">
        <v>10</v>
      </c>
      <c r="G467" s="12" t="str">
        <f>IFERROR(VLOOKUP(D467,Data!$A:$B,2,0),"Revisar")</f>
        <v>Costos Operacionales</v>
      </c>
      <c r="H467" s="20" t="s">
        <v>24</v>
      </c>
      <c r="I467" s="157" t="str">
        <f t="array" ref="I467">_xlfn.XLOOKUP($H467,Data!$E:$E,Data!$F:$F,"Revisar",0)</f>
        <v>NA</v>
      </c>
      <c r="J467" s="157" t="str">
        <f t="array" ref="J467">_xlfn.XLOOKUP($H467,Data!$E:$E,Data!$G:$G,"Revisar",0)</f>
        <v>NA</v>
      </c>
      <c r="K467" s="20" t="s">
        <v>30</v>
      </c>
      <c r="L467" s="18">
        <v>10</v>
      </c>
      <c r="M467" s="20"/>
      <c r="N467" s="14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ht="15" customHeight="1" x14ac:dyDescent="0.3">
      <c r="A468" s="13">
        <v>46308</v>
      </c>
      <c r="B468" s="14" t="s">
        <v>957</v>
      </c>
      <c r="C468" s="15">
        <v>-53633</v>
      </c>
      <c r="D468" s="17" t="s">
        <v>138</v>
      </c>
      <c r="E468" s="14" t="s">
        <v>1145</v>
      </c>
      <c r="F468" s="18">
        <v>10</v>
      </c>
      <c r="G468" s="12" t="str">
        <f>IFERROR(VLOOKUP(D468,Data!$A:$B,2,0),"Revisar")</f>
        <v>Costo Ventas</v>
      </c>
      <c r="H468" s="20" t="s">
        <v>1143</v>
      </c>
      <c r="I468" s="157" t="str">
        <f t="array" ref="I468">_xlfn.XLOOKUP($H468,Data!$E:$E,Data!$F:$F,"Revisar",0)</f>
        <v>ANIXTER</v>
      </c>
      <c r="J468" s="157" t="str">
        <f t="array" ref="J468">_xlfn.XLOOKUP($H468,Data!$E:$E,Data!$G:$G,"Revisar",0)</f>
        <v>Link Partner Summit</v>
      </c>
      <c r="K468" s="20" t="s">
        <v>30</v>
      </c>
      <c r="L468" s="18">
        <v>10</v>
      </c>
      <c r="M468" s="20"/>
      <c r="N468" s="14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ht="15" customHeight="1" x14ac:dyDescent="0.3">
      <c r="A469" s="13">
        <v>46308</v>
      </c>
      <c r="B469" s="14" t="s">
        <v>957</v>
      </c>
      <c r="C469" s="15">
        <v>-42941</v>
      </c>
      <c r="D469" s="17" t="s">
        <v>138</v>
      </c>
      <c r="E469" s="14" t="s">
        <v>1145</v>
      </c>
      <c r="F469" s="18">
        <v>10</v>
      </c>
      <c r="G469" s="12" t="str">
        <f>IFERROR(VLOOKUP(D469,Data!$A:$B,2,0),"Revisar")</f>
        <v>Costo Ventas</v>
      </c>
      <c r="H469" s="20" t="s">
        <v>1143</v>
      </c>
      <c r="I469" s="157" t="str">
        <f t="array" ref="I469">_xlfn.XLOOKUP($H469,Data!$E:$E,Data!$F:$F,"Revisar",0)</f>
        <v>ANIXTER</v>
      </c>
      <c r="J469" s="157" t="str">
        <f t="array" ref="J469">_xlfn.XLOOKUP($H469,Data!$E:$E,Data!$G:$G,"Revisar",0)</f>
        <v>Link Partner Summit</v>
      </c>
      <c r="K469" s="20" t="s">
        <v>30</v>
      </c>
      <c r="L469" s="18">
        <v>10</v>
      </c>
      <c r="M469" s="20"/>
      <c r="N469" s="14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ht="15" customHeight="1" x14ac:dyDescent="0.3">
      <c r="A470" s="13">
        <v>46308</v>
      </c>
      <c r="B470" s="14" t="s">
        <v>957</v>
      </c>
      <c r="C470" s="15">
        <v>-23941</v>
      </c>
      <c r="D470" s="17" t="s">
        <v>138</v>
      </c>
      <c r="E470" s="14" t="s">
        <v>1145</v>
      </c>
      <c r="F470" s="18">
        <v>10</v>
      </c>
      <c r="G470" s="12" t="str">
        <f>IFERROR(VLOOKUP(D470,Data!$A:$B,2,0),"Revisar")</f>
        <v>Costo Ventas</v>
      </c>
      <c r="H470" s="20" t="s">
        <v>1143</v>
      </c>
      <c r="I470" s="157" t="str">
        <f t="array" ref="I470">_xlfn.XLOOKUP($H470,Data!$E:$E,Data!$F:$F,"Revisar",0)</f>
        <v>ANIXTER</v>
      </c>
      <c r="J470" s="157" t="str">
        <f t="array" ref="J470">_xlfn.XLOOKUP($H470,Data!$E:$E,Data!$G:$G,"Revisar",0)</f>
        <v>Link Partner Summit</v>
      </c>
      <c r="K470" s="20" t="s">
        <v>30</v>
      </c>
      <c r="L470" s="18">
        <v>10</v>
      </c>
      <c r="M470" s="20"/>
      <c r="N470" s="14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ht="15" customHeight="1" x14ac:dyDescent="0.3">
      <c r="A471" s="13">
        <v>46308</v>
      </c>
      <c r="B471" s="14" t="s">
        <v>971</v>
      </c>
      <c r="C471" s="15">
        <v>-22944</v>
      </c>
      <c r="D471" s="17" t="s">
        <v>138</v>
      </c>
      <c r="E471" s="14" t="s">
        <v>1145</v>
      </c>
      <c r="F471" s="18">
        <v>10</v>
      </c>
      <c r="G471" s="12" t="str">
        <f>IFERROR(VLOOKUP(D471,Data!$A:$B,2,0),"Revisar")</f>
        <v>Costo Ventas</v>
      </c>
      <c r="H471" s="20" t="s">
        <v>1143</v>
      </c>
      <c r="I471" s="157" t="str">
        <f t="array" ref="I471">_xlfn.XLOOKUP($H471,Data!$E:$E,Data!$F:$F,"Revisar",0)</f>
        <v>ANIXTER</v>
      </c>
      <c r="J471" s="157" t="str">
        <f t="array" ref="J471">_xlfn.XLOOKUP($H471,Data!$E:$E,Data!$G:$G,"Revisar",0)</f>
        <v>Link Partner Summit</v>
      </c>
      <c r="K471" s="20" t="s">
        <v>30</v>
      </c>
      <c r="L471" s="18">
        <v>10</v>
      </c>
      <c r="M471" s="20"/>
      <c r="N471" s="14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ht="15" customHeight="1" x14ac:dyDescent="0.3">
      <c r="A472" s="13">
        <v>46308</v>
      </c>
      <c r="B472" s="14" t="s">
        <v>338</v>
      </c>
      <c r="C472" s="15">
        <v>-15828.44</v>
      </c>
      <c r="D472" s="17" t="s">
        <v>339</v>
      </c>
      <c r="E472" s="14" t="s">
        <v>339</v>
      </c>
      <c r="F472" s="18">
        <v>10</v>
      </c>
      <c r="G472" s="12" t="str">
        <f>IFERROR(VLOOKUP(D472,Data!$A:$B,2,0),"Revisar")</f>
        <v>Gastos Variables</v>
      </c>
      <c r="H472" s="20" t="s">
        <v>24</v>
      </c>
      <c r="I472" s="157" t="str">
        <f t="array" ref="I472">_xlfn.XLOOKUP($H472,Data!$E:$E,Data!$F:$F,"Revisar",0)</f>
        <v>NA</v>
      </c>
      <c r="J472" s="157" t="str">
        <f t="array" ref="J472">_xlfn.XLOOKUP($H472,Data!$E:$E,Data!$G:$G,"Revisar",0)</f>
        <v>NA</v>
      </c>
      <c r="K472" s="20" t="s">
        <v>24</v>
      </c>
      <c r="L472" s="18">
        <v>10</v>
      </c>
      <c r="M472" s="20"/>
      <c r="N472" s="14" t="s">
        <v>1113</v>
      </c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ht="15" customHeight="1" x14ac:dyDescent="0.3">
      <c r="A473" s="13">
        <v>46308</v>
      </c>
      <c r="B473" s="14" t="s">
        <v>77</v>
      </c>
      <c r="C473" s="15">
        <v>-7590</v>
      </c>
      <c r="D473" s="17" t="s">
        <v>78</v>
      </c>
      <c r="E473" s="14" t="s">
        <v>909</v>
      </c>
      <c r="F473" s="18">
        <v>10</v>
      </c>
      <c r="G473" s="12" t="str">
        <f>IFERROR(VLOOKUP(D473,Data!$A:$B,2,0),"Revisar")</f>
        <v>Gastos Variables</v>
      </c>
      <c r="H473" s="20" t="s">
        <v>24</v>
      </c>
      <c r="I473" s="157" t="str">
        <f t="array" ref="I473">_xlfn.XLOOKUP($H473,Data!$E:$E,Data!$F:$F,"Revisar",0)</f>
        <v>NA</v>
      </c>
      <c r="J473" s="157" t="str">
        <f t="array" ref="J473">_xlfn.XLOOKUP($H473,Data!$E:$E,Data!$G:$G,"Revisar",0)</f>
        <v>NA</v>
      </c>
      <c r="K473" s="20" t="s">
        <v>24</v>
      </c>
      <c r="L473" s="18">
        <v>10</v>
      </c>
      <c r="M473" s="20"/>
      <c r="N473" s="14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ht="15" customHeight="1" x14ac:dyDescent="0.3">
      <c r="A474" s="13">
        <v>46308</v>
      </c>
      <c r="B474" s="14" t="s">
        <v>89</v>
      </c>
      <c r="C474" s="15">
        <v>-1442.1</v>
      </c>
      <c r="D474" s="17" t="s">
        <v>78</v>
      </c>
      <c r="E474" s="14" t="s">
        <v>910</v>
      </c>
      <c r="F474" s="18">
        <v>10</v>
      </c>
      <c r="G474" s="12" t="str">
        <f>IFERROR(VLOOKUP(D474,Data!$A:$B,2,0),"Revisar")</f>
        <v>Gastos Variables</v>
      </c>
      <c r="H474" s="20" t="s">
        <v>24</v>
      </c>
      <c r="I474" s="157" t="str">
        <f t="array" ref="I474">_xlfn.XLOOKUP($H474,Data!$E:$E,Data!$F:$F,"Revisar",0)</f>
        <v>NA</v>
      </c>
      <c r="J474" s="157" t="str">
        <f t="array" ref="J474">_xlfn.XLOOKUP($H474,Data!$E:$E,Data!$G:$G,"Revisar",0)</f>
        <v>NA</v>
      </c>
      <c r="K474" s="20" t="s">
        <v>24</v>
      </c>
      <c r="L474" s="18">
        <v>10</v>
      </c>
      <c r="M474" s="20"/>
      <c r="N474" s="14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ht="15" customHeight="1" x14ac:dyDescent="0.3">
      <c r="A475" s="13">
        <v>46308</v>
      </c>
      <c r="B475" s="14" t="s">
        <v>31</v>
      </c>
      <c r="C475" s="15">
        <v>143.63</v>
      </c>
      <c r="D475" s="17" t="s">
        <v>32</v>
      </c>
      <c r="E475" s="14" t="s">
        <v>32</v>
      </c>
      <c r="F475" s="18">
        <v>10</v>
      </c>
      <c r="G475" s="12" t="str">
        <f>IFERROR(VLOOKUP(D475,Data!$A:$B,2,0),"Revisar")</f>
        <v>Gastos Variables</v>
      </c>
      <c r="H475" s="20" t="s">
        <v>24</v>
      </c>
      <c r="I475" s="157" t="str">
        <f t="array" ref="I475">_xlfn.XLOOKUP($H475,Data!$E:$E,Data!$F:$F,"Revisar",0)</f>
        <v>NA</v>
      </c>
      <c r="J475" s="157" t="str">
        <f t="array" ref="J475">_xlfn.XLOOKUP($H475,Data!$E:$E,Data!$G:$G,"Revisar",0)</f>
        <v>NA</v>
      </c>
      <c r="K475" s="20" t="s">
        <v>24</v>
      </c>
      <c r="L475" s="18">
        <v>10</v>
      </c>
      <c r="M475" s="20"/>
      <c r="N475" s="14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ht="15" customHeight="1" x14ac:dyDescent="0.3">
      <c r="A476" s="13">
        <v>46308</v>
      </c>
      <c r="B476" s="14" t="s">
        <v>446</v>
      </c>
      <c r="C476" s="15">
        <v>14756858</v>
      </c>
      <c r="D476" s="17" t="s">
        <v>188</v>
      </c>
      <c r="E476" s="14" t="s">
        <v>1109</v>
      </c>
      <c r="F476" s="18">
        <v>10</v>
      </c>
      <c r="G476" s="12" t="str">
        <f>IFERROR(VLOOKUP(D476,Data!$A:$B,2,0),"Revisar")</f>
        <v>Ingresos</v>
      </c>
      <c r="H476" s="20" t="s">
        <v>766</v>
      </c>
      <c r="I476" s="157" t="str">
        <f t="array" ref="I476">_xlfn.XLOOKUP($H476,Data!$E:$E,Data!$F:$F,"Revisar",0)</f>
        <v>Kaspersky</v>
      </c>
      <c r="J476" s="157" t="str">
        <f t="array" ref="J476">_xlfn.XLOOKUP($H476,Data!$E:$E,Data!$G:$G,"Revisar",0)</f>
        <v>Alojamiento 24 a 27 de septiembre</v>
      </c>
      <c r="K476" s="20" t="s">
        <v>143</v>
      </c>
      <c r="L476" s="18">
        <v>10</v>
      </c>
      <c r="M476" s="20" t="s">
        <v>844</v>
      </c>
      <c r="N476" s="14" t="s">
        <v>1114</v>
      </c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ht="15" customHeight="1" x14ac:dyDescent="0.3">
      <c r="A477" s="13">
        <v>46309</v>
      </c>
      <c r="B477" s="14" t="s">
        <v>1110</v>
      </c>
      <c r="C477" s="15">
        <v>-69926</v>
      </c>
      <c r="D477" s="17" t="s">
        <v>138</v>
      </c>
      <c r="E477" s="14" t="s">
        <v>1145</v>
      </c>
      <c r="F477" s="18">
        <v>10</v>
      </c>
      <c r="G477" s="12" t="str">
        <f>IFERROR(VLOOKUP(D477,Data!$A:$B,2,0),"Revisar")</f>
        <v>Costo Ventas</v>
      </c>
      <c r="H477" s="20" t="s">
        <v>1143</v>
      </c>
      <c r="I477" s="157" t="str">
        <f t="array" ref="I477">_xlfn.XLOOKUP($H477,Data!$E:$E,Data!$F:$F,"Revisar",0)</f>
        <v>ANIXTER</v>
      </c>
      <c r="J477" s="157" t="str">
        <f t="array" ref="J477">_xlfn.XLOOKUP($H477,Data!$E:$E,Data!$G:$G,"Revisar",0)</f>
        <v>Link Partner Summit</v>
      </c>
      <c r="K477" s="20" t="s">
        <v>143</v>
      </c>
      <c r="L477" s="18">
        <v>10</v>
      </c>
      <c r="M477" s="20" t="s">
        <v>1165</v>
      </c>
      <c r="N477" s="14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ht="15" customHeight="1" x14ac:dyDescent="0.3">
      <c r="A478" s="13">
        <v>46309</v>
      </c>
      <c r="B478" s="14" t="s">
        <v>957</v>
      </c>
      <c r="C478" s="15">
        <v>-38946</v>
      </c>
      <c r="D478" s="17" t="s">
        <v>138</v>
      </c>
      <c r="E478" s="14" t="s">
        <v>1145</v>
      </c>
      <c r="F478" s="18">
        <v>10</v>
      </c>
      <c r="G478" s="12" t="str">
        <f>IFERROR(VLOOKUP(D478,Data!$A:$B,2,0),"Revisar")</f>
        <v>Costo Ventas</v>
      </c>
      <c r="H478" s="20" t="s">
        <v>1143</v>
      </c>
      <c r="I478" s="157" t="str">
        <f t="array" ref="I478">_xlfn.XLOOKUP($H478,Data!$E:$E,Data!$F:$F,"Revisar",0)</f>
        <v>ANIXTER</v>
      </c>
      <c r="J478" s="157" t="str">
        <f t="array" ref="J478">_xlfn.XLOOKUP($H478,Data!$E:$E,Data!$G:$G,"Revisar",0)</f>
        <v>Link Partner Summit</v>
      </c>
      <c r="K478" s="20" t="s">
        <v>30</v>
      </c>
      <c r="L478" s="18">
        <v>10</v>
      </c>
      <c r="M478" s="20"/>
      <c r="N478" s="14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ht="15" customHeight="1" x14ac:dyDescent="0.3">
      <c r="A479" s="13">
        <v>46309</v>
      </c>
      <c r="B479" s="14" t="s">
        <v>957</v>
      </c>
      <c r="C479" s="15">
        <v>-38011</v>
      </c>
      <c r="D479" s="17" t="s">
        <v>138</v>
      </c>
      <c r="E479" s="14" t="s">
        <v>1145</v>
      </c>
      <c r="F479" s="18">
        <v>10</v>
      </c>
      <c r="G479" s="12" t="str">
        <f>IFERROR(VLOOKUP(D479,Data!$A:$B,2,0),"Revisar")</f>
        <v>Costo Ventas</v>
      </c>
      <c r="H479" s="20" t="s">
        <v>1143</v>
      </c>
      <c r="I479" s="157" t="str">
        <f t="array" ref="I479">_xlfn.XLOOKUP($H479,Data!$E:$E,Data!$F:$F,"Revisar",0)</f>
        <v>ANIXTER</v>
      </c>
      <c r="J479" s="157" t="str">
        <f t="array" ref="J479">_xlfn.XLOOKUP($H479,Data!$E:$E,Data!$G:$G,"Revisar",0)</f>
        <v>Link Partner Summit</v>
      </c>
      <c r="K479" s="20" t="s">
        <v>30</v>
      </c>
      <c r="L479" s="18">
        <v>10</v>
      </c>
      <c r="M479" s="20"/>
      <c r="N479" s="14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ht="15" customHeight="1" x14ac:dyDescent="0.3">
      <c r="A480" s="13">
        <v>46309</v>
      </c>
      <c r="B480" s="14" t="s">
        <v>338</v>
      </c>
      <c r="C480" s="15">
        <v>-587.53</v>
      </c>
      <c r="D480" s="17" t="s">
        <v>339</v>
      </c>
      <c r="E480" s="14" t="s">
        <v>339</v>
      </c>
      <c r="F480" s="18">
        <v>10</v>
      </c>
      <c r="G480" s="12" t="str">
        <f>IFERROR(VLOOKUP(D480,Data!$A:$B,2,0),"Revisar")</f>
        <v>Gastos Variables</v>
      </c>
      <c r="H480" s="20" t="s">
        <v>24</v>
      </c>
      <c r="I480" s="157" t="str">
        <f t="array" ref="I480">_xlfn.XLOOKUP($H480,Data!$E:$E,Data!$F:$F,"Revisar",0)</f>
        <v>NA</v>
      </c>
      <c r="J480" s="157" t="str">
        <f t="array" ref="J480">_xlfn.XLOOKUP($H480,Data!$E:$E,Data!$G:$G,"Revisar",0)</f>
        <v>NA</v>
      </c>
      <c r="K480" s="20" t="s">
        <v>24</v>
      </c>
      <c r="L480" s="18">
        <v>10</v>
      </c>
      <c r="M480" s="20"/>
      <c r="N480" s="14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ht="15" customHeight="1" x14ac:dyDescent="0.3">
      <c r="A481" s="13">
        <v>46314</v>
      </c>
      <c r="B481" s="14" t="s">
        <v>31</v>
      </c>
      <c r="C481" s="15">
        <v>859.38</v>
      </c>
      <c r="D481" s="17" t="s">
        <v>32</v>
      </c>
      <c r="E481" s="14" t="s">
        <v>32</v>
      </c>
      <c r="F481" s="18">
        <v>10</v>
      </c>
      <c r="G481" s="12" t="str">
        <f>IFERROR(VLOOKUP(D481,Data!$A:$B,2,0),"Revisar")</f>
        <v>Gastos Variables</v>
      </c>
      <c r="H481" s="20" t="s">
        <v>24</v>
      </c>
      <c r="I481" s="157" t="str">
        <f t="array" ref="I481">_xlfn.XLOOKUP($H481,Data!$E:$E,Data!$F:$F,"Revisar",0)</f>
        <v>NA</v>
      </c>
      <c r="J481" s="157" t="str">
        <f t="array" ref="J481">_xlfn.XLOOKUP($H481,Data!$E:$E,Data!$G:$G,"Revisar",0)</f>
        <v>NA</v>
      </c>
      <c r="K481" s="20" t="s">
        <v>24</v>
      </c>
      <c r="L481" s="18">
        <v>10</v>
      </c>
      <c r="M481" s="20"/>
      <c r="N481" s="14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ht="15" customHeight="1" x14ac:dyDescent="0.3">
      <c r="A482" s="13">
        <v>46315</v>
      </c>
      <c r="B482" s="14" t="s">
        <v>1169</v>
      </c>
      <c r="C482" s="15">
        <v>-6300</v>
      </c>
      <c r="D482" s="17" t="s">
        <v>138</v>
      </c>
      <c r="E482" s="170"/>
      <c r="F482" s="18">
        <v>10</v>
      </c>
      <c r="G482" s="12" t="str">
        <f>IFERROR(VLOOKUP(D482,Data!$A:$B,2,0),"Revisar")</f>
        <v>Costo Ventas</v>
      </c>
      <c r="H482" s="20" t="s">
        <v>918</v>
      </c>
      <c r="I482" s="157" t="str">
        <f t="array" ref="I482">_xlfn.XLOOKUP($H482,Data!$E:$E,Data!$F:$F,"Revisar",0)</f>
        <v>Revisar</v>
      </c>
      <c r="J482" s="157" t="str">
        <f t="array" ref="J482">_xlfn.XLOOKUP($H482,Data!$E:$E,Data!$G:$G,"Revisar",0)</f>
        <v>Revisar</v>
      </c>
      <c r="K482" s="20" t="s">
        <v>143</v>
      </c>
      <c r="L482" s="18">
        <v>10</v>
      </c>
      <c r="M482" s="20" t="s">
        <v>1176</v>
      </c>
      <c r="N482" s="14" t="s">
        <v>1177</v>
      </c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ht="15" customHeight="1" x14ac:dyDescent="0.3">
      <c r="A483" s="13">
        <v>46315</v>
      </c>
      <c r="B483" s="14" t="s">
        <v>338</v>
      </c>
      <c r="C483" s="15">
        <v>-25.2</v>
      </c>
      <c r="D483" s="17" t="s">
        <v>339</v>
      </c>
      <c r="E483" s="14" t="s">
        <v>339</v>
      </c>
      <c r="F483" s="18">
        <v>10</v>
      </c>
      <c r="G483" s="12" t="str">
        <f>IFERROR(VLOOKUP(D483,Data!$A:$B,2,0),"Revisar")</f>
        <v>Gastos Variables</v>
      </c>
      <c r="H483" s="20" t="s">
        <v>24</v>
      </c>
      <c r="I483" s="157" t="str">
        <f t="array" ref="I483">_xlfn.XLOOKUP($H483,Data!$E:$E,Data!$F:$F,"Revisar",0)</f>
        <v>NA</v>
      </c>
      <c r="J483" s="157" t="str">
        <f t="array" ref="J483">_xlfn.XLOOKUP($H483,Data!$E:$E,Data!$G:$G,"Revisar",0)</f>
        <v>NA</v>
      </c>
      <c r="K483" s="20" t="s">
        <v>24</v>
      </c>
      <c r="L483" s="18">
        <v>10</v>
      </c>
      <c r="M483" s="20"/>
      <c r="N483" s="14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ht="15" customHeight="1" x14ac:dyDescent="0.3">
      <c r="A484" s="13">
        <v>46315</v>
      </c>
      <c r="B484" s="14" t="s">
        <v>31</v>
      </c>
      <c r="C484" s="15">
        <v>143.22</v>
      </c>
      <c r="D484" s="17" t="s">
        <v>32</v>
      </c>
      <c r="E484" s="14" t="s">
        <v>32</v>
      </c>
      <c r="F484" s="18">
        <v>10</v>
      </c>
      <c r="G484" s="12" t="str">
        <f>IFERROR(VLOOKUP(D484,Data!$A:$B,2,0),"Revisar")</f>
        <v>Gastos Variables</v>
      </c>
      <c r="H484" s="20" t="s">
        <v>24</v>
      </c>
      <c r="I484" s="157" t="str">
        <f t="array" ref="I484">_xlfn.XLOOKUP($H484,Data!$E:$E,Data!$F:$F,"Revisar",0)</f>
        <v>NA</v>
      </c>
      <c r="J484" s="157" t="str">
        <f t="array" ref="J484">_xlfn.XLOOKUP($H484,Data!$E:$E,Data!$G:$G,"Revisar",0)</f>
        <v>NA</v>
      </c>
      <c r="K484" s="20" t="s">
        <v>24</v>
      </c>
      <c r="L484" s="18">
        <v>10</v>
      </c>
      <c r="M484" s="20"/>
      <c r="N484" s="14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ht="15" customHeight="1" x14ac:dyDescent="0.3">
      <c r="A485" s="13">
        <v>46316</v>
      </c>
      <c r="B485" s="14" t="s">
        <v>31</v>
      </c>
      <c r="C485" s="15">
        <v>143.22</v>
      </c>
      <c r="D485" s="17" t="s">
        <v>32</v>
      </c>
      <c r="E485" s="14" t="s">
        <v>32</v>
      </c>
      <c r="F485" s="18">
        <v>10</v>
      </c>
      <c r="G485" s="12" t="str">
        <f>IFERROR(VLOOKUP(D485,Data!$A:$B,2,0),"Revisar")</f>
        <v>Gastos Variables</v>
      </c>
      <c r="H485" s="20" t="s">
        <v>24</v>
      </c>
      <c r="I485" s="157" t="str">
        <f t="array" ref="I485">_xlfn.XLOOKUP($H485,Data!$E:$E,Data!$F:$F,"Revisar",0)</f>
        <v>NA</v>
      </c>
      <c r="J485" s="157" t="str">
        <f t="array" ref="J485">_xlfn.XLOOKUP($H485,Data!$E:$E,Data!$G:$G,"Revisar",0)</f>
        <v>NA</v>
      </c>
      <c r="K485" s="20" t="s">
        <v>24</v>
      </c>
      <c r="L485" s="18">
        <v>10</v>
      </c>
      <c r="M485" s="20"/>
      <c r="N485" s="14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ht="15" customHeight="1" x14ac:dyDescent="0.3">
      <c r="A486" s="13">
        <v>46316</v>
      </c>
      <c r="B486" s="14" t="s">
        <v>1170</v>
      </c>
      <c r="C486" s="15">
        <v>1730.59</v>
      </c>
      <c r="D486" s="17" t="s">
        <v>188</v>
      </c>
      <c r="E486" s="170" t="s">
        <v>1171</v>
      </c>
      <c r="F486" s="18">
        <v>10</v>
      </c>
      <c r="G486" s="12" t="str">
        <f>IFERROR(VLOOKUP(D486,Data!$A:$B,2,0),"Revisar")</f>
        <v>Ingresos</v>
      </c>
      <c r="H486" s="20" t="s">
        <v>918</v>
      </c>
      <c r="I486" s="157" t="str">
        <f t="array" ref="I486">_xlfn.XLOOKUP($H486,Data!$E:$E,Data!$F:$F,"Revisar",0)</f>
        <v>Revisar</v>
      </c>
      <c r="J486" s="157" t="str">
        <f t="array" ref="J486">_xlfn.XLOOKUP($H486,Data!$E:$E,Data!$G:$G,"Revisar",0)</f>
        <v>Revisar</v>
      </c>
      <c r="K486" s="20" t="s">
        <v>143</v>
      </c>
      <c r="L486" s="18">
        <v>10</v>
      </c>
      <c r="M486" s="20"/>
      <c r="N486" s="14" t="s">
        <v>1178</v>
      </c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ht="15" customHeight="1" x14ac:dyDescent="0.3">
      <c r="A487" s="13">
        <v>46317</v>
      </c>
      <c r="B487" s="14" t="s">
        <v>1170</v>
      </c>
      <c r="C487" s="15">
        <v>17411594.98</v>
      </c>
      <c r="D487" s="17" t="s">
        <v>188</v>
      </c>
      <c r="E487" s="170" t="s">
        <v>1172</v>
      </c>
      <c r="F487" s="18">
        <v>10</v>
      </c>
      <c r="G487" s="12" t="str">
        <f>IFERROR(VLOOKUP(D487,Data!$A:$B,2,0),"Revisar")</f>
        <v>Ingresos</v>
      </c>
      <c r="H487" s="20" t="s">
        <v>784</v>
      </c>
      <c r="I487" s="157" t="str">
        <f t="array" ref="I487">_xlfn.XLOOKUP($H487,Data!$E:$E,Data!$F:$F,"Revisar",0)</f>
        <v>MOTOROLA</v>
      </c>
      <c r="J487" s="157" t="str">
        <f t="array" ref="J487">_xlfn.XLOOKUP($H487,Data!$E:$E,Data!$G:$G,"Revisar",0)</f>
        <v>Entrepartners BOGOTA</v>
      </c>
      <c r="K487" s="20" t="s">
        <v>143</v>
      </c>
      <c r="L487" s="18">
        <v>10</v>
      </c>
      <c r="M487" s="20" t="s">
        <v>1117</v>
      </c>
      <c r="N487" s="14" t="s">
        <v>1194</v>
      </c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ht="15" customHeight="1" x14ac:dyDescent="0.3">
      <c r="A488" s="13">
        <v>46318</v>
      </c>
      <c r="B488" s="14" t="s">
        <v>31</v>
      </c>
      <c r="C488" s="15">
        <v>381.84</v>
      </c>
      <c r="D488" s="17" t="s">
        <v>32</v>
      </c>
      <c r="E488" s="14" t="s">
        <v>32</v>
      </c>
      <c r="F488" s="18">
        <v>10</v>
      </c>
      <c r="G488" s="12" t="str">
        <f>IFERROR(VLOOKUP(D488,Data!$A:$B,2,0),"Revisar")</f>
        <v>Gastos Variables</v>
      </c>
      <c r="H488" s="20" t="s">
        <v>24</v>
      </c>
      <c r="I488" s="157" t="str">
        <f t="array" ref="I488">_xlfn.XLOOKUP($H488,Data!$E:$E,Data!$F:$F,"Revisar",0)</f>
        <v>NA</v>
      </c>
      <c r="J488" s="157" t="str">
        <f t="array" ref="J488">_xlfn.XLOOKUP($H488,Data!$E:$E,Data!$G:$G,"Revisar",0)</f>
        <v>NA</v>
      </c>
      <c r="K488" s="20" t="s">
        <v>24</v>
      </c>
      <c r="L488" s="18">
        <v>10</v>
      </c>
      <c r="M488" s="20"/>
      <c r="N488" s="14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ht="15" customHeight="1" x14ac:dyDescent="0.3">
      <c r="A489" s="13">
        <v>46319</v>
      </c>
      <c r="B489" s="14" t="s">
        <v>969</v>
      </c>
      <c r="C489" s="15">
        <v>-176600</v>
      </c>
      <c r="D489" s="17" t="s">
        <v>138</v>
      </c>
      <c r="E489" s="170"/>
      <c r="F489" s="18">
        <v>10</v>
      </c>
      <c r="G489" s="12" t="str">
        <f>IFERROR(VLOOKUP(D489,Data!$A:$B,2,0),"Revisar")</f>
        <v>Costo Ventas</v>
      </c>
      <c r="H489" s="20" t="s">
        <v>918</v>
      </c>
      <c r="I489" s="157" t="str">
        <f t="array" ref="I489">_xlfn.XLOOKUP($H489,Data!$E:$E,Data!$F:$F,"Revisar",0)</f>
        <v>Revisar</v>
      </c>
      <c r="J489" s="157" t="str">
        <f t="array" ref="J489">_xlfn.XLOOKUP($H489,Data!$E:$E,Data!$G:$G,"Revisar",0)</f>
        <v>Revisar</v>
      </c>
      <c r="K489" s="20" t="s">
        <v>143</v>
      </c>
      <c r="L489" s="18">
        <v>10</v>
      </c>
      <c r="M489" s="20" t="s">
        <v>1179</v>
      </c>
      <c r="N489" s="14" t="s">
        <v>1177</v>
      </c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ht="15" customHeight="1" x14ac:dyDescent="0.3">
      <c r="A490" s="13">
        <v>46319</v>
      </c>
      <c r="B490" s="14" t="s">
        <v>338</v>
      </c>
      <c r="C490" s="15">
        <v>-706.4</v>
      </c>
      <c r="D490" s="17" t="s">
        <v>339</v>
      </c>
      <c r="E490" s="14" t="s">
        <v>339</v>
      </c>
      <c r="F490" s="18">
        <v>10</v>
      </c>
      <c r="G490" s="12" t="str">
        <f>IFERROR(VLOOKUP(D490,Data!$A:$B,2,0),"Revisar")</f>
        <v>Gastos Variables</v>
      </c>
      <c r="H490" s="20" t="s">
        <v>24</v>
      </c>
      <c r="I490" s="157" t="str">
        <f t="array" ref="I490">_xlfn.XLOOKUP($H490,Data!$E:$E,Data!$F:$F,"Revisar",0)</f>
        <v>NA</v>
      </c>
      <c r="J490" s="157" t="str">
        <f t="array" ref="J490">_xlfn.XLOOKUP($H490,Data!$E:$E,Data!$G:$G,"Revisar",0)</f>
        <v>NA</v>
      </c>
      <c r="K490" s="20" t="s">
        <v>24</v>
      </c>
      <c r="L490" s="18">
        <v>10</v>
      </c>
      <c r="M490" s="20"/>
      <c r="N490" s="14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ht="15" customHeight="1" x14ac:dyDescent="0.3">
      <c r="A491" s="13">
        <v>46320</v>
      </c>
      <c r="B491" s="14" t="s">
        <v>31</v>
      </c>
      <c r="C491" s="15">
        <v>380.88</v>
      </c>
      <c r="D491" s="17" t="s">
        <v>32</v>
      </c>
      <c r="E491" s="14" t="s">
        <v>32</v>
      </c>
      <c r="F491" s="18">
        <v>10</v>
      </c>
      <c r="G491" s="12" t="str">
        <f>IFERROR(VLOOKUP(D491,Data!$A:$B,2,0),"Revisar")</f>
        <v>Gastos Variables</v>
      </c>
      <c r="H491" s="20" t="s">
        <v>24</v>
      </c>
      <c r="I491" s="157" t="str">
        <f t="array" ref="I491">_xlfn.XLOOKUP($H491,Data!$E:$E,Data!$F:$F,"Revisar",0)</f>
        <v>NA</v>
      </c>
      <c r="J491" s="157" t="str">
        <f t="array" ref="J491">_xlfn.XLOOKUP($H491,Data!$E:$E,Data!$G:$G,"Revisar",0)</f>
        <v>NA</v>
      </c>
      <c r="K491" s="20" t="s">
        <v>24</v>
      </c>
      <c r="L491" s="18">
        <v>10</v>
      </c>
      <c r="M491" s="20"/>
      <c r="N491" s="14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ht="15" customHeight="1" x14ac:dyDescent="0.3">
      <c r="A492" s="13">
        <v>46321</v>
      </c>
      <c r="B492" s="14" t="s">
        <v>108</v>
      </c>
      <c r="C492" s="15">
        <v>-1994440</v>
      </c>
      <c r="D492" s="17" t="s">
        <v>138</v>
      </c>
      <c r="E492" s="14" t="s">
        <v>1173</v>
      </c>
      <c r="F492" s="18">
        <v>10</v>
      </c>
      <c r="G492" s="12" t="str">
        <f>IFERROR(VLOOKUP(D492,Data!$A:$B,2,0),"Revisar")</f>
        <v>Costo Ventas</v>
      </c>
      <c r="H492" s="20" t="s">
        <v>784</v>
      </c>
      <c r="I492" s="157" t="str">
        <f t="array" ref="I492">_xlfn.XLOOKUP($H492,Data!$E:$E,Data!$F:$F,"Revisar",0)</f>
        <v>MOTOROLA</v>
      </c>
      <c r="J492" s="157" t="str">
        <f t="array" ref="J492">_xlfn.XLOOKUP($H492,Data!$E:$E,Data!$G:$G,"Revisar",0)</f>
        <v>Entrepartners BOGOTA</v>
      </c>
      <c r="K492" s="20" t="s">
        <v>143</v>
      </c>
      <c r="L492" s="18">
        <v>10</v>
      </c>
      <c r="M492" s="20" t="s">
        <v>1034</v>
      </c>
      <c r="N492" s="14" t="s">
        <v>1180</v>
      </c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ht="15" customHeight="1" x14ac:dyDescent="0.3">
      <c r="A493" s="13">
        <v>46321</v>
      </c>
      <c r="B493" s="14" t="s">
        <v>108</v>
      </c>
      <c r="C493" s="15">
        <v>-1994440</v>
      </c>
      <c r="D493" s="17" t="s">
        <v>138</v>
      </c>
      <c r="E493" s="14" t="s">
        <v>1173</v>
      </c>
      <c r="F493" s="18">
        <v>10</v>
      </c>
      <c r="G493" s="12" t="str">
        <f>IFERROR(VLOOKUP(D493,Data!$A:$B,2,0),"Revisar")</f>
        <v>Costo Ventas</v>
      </c>
      <c r="H493" s="20" t="s">
        <v>882</v>
      </c>
      <c r="I493" s="157" t="str">
        <f t="array" ref="I493">_xlfn.XLOOKUP($H493,Data!$E:$E,Data!$F:$F,"Revisar",0)</f>
        <v>MOTOROLA</v>
      </c>
      <c r="J493" s="157" t="str">
        <f t="array" ref="J493">_xlfn.XLOOKUP($H493,Data!$E:$E,Data!$G:$G,"Revisar",0)</f>
        <v>Entrepartners CALI</v>
      </c>
      <c r="K493" s="20" t="s">
        <v>143</v>
      </c>
      <c r="L493" s="18">
        <v>10</v>
      </c>
      <c r="M493" s="20" t="s">
        <v>1035</v>
      </c>
      <c r="N493" s="14" t="s">
        <v>1181</v>
      </c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ht="15" customHeight="1" x14ac:dyDescent="0.3">
      <c r="A494" s="13">
        <v>46321</v>
      </c>
      <c r="B494" s="14" t="s">
        <v>108</v>
      </c>
      <c r="C494" s="15">
        <v>-1994440</v>
      </c>
      <c r="D494" s="17" t="s">
        <v>138</v>
      </c>
      <c r="E494" s="14" t="s">
        <v>1173</v>
      </c>
      <c r="F494" s="18">
        <v>10</v>
      </c>
      <c r="G494" s="12" t="str">
        <f>IFERROR(VLOOKUP(D494,Data!$A:$B,2,0),"Revisar")</f>
        <v>Costo Ventas</v>
      </c>
      <c r="H494" s="20" t="s">
        <v>883</v>
      </c>
      <c r="I494" s="157" t="str">
        <f t="array" ref="I494">_xlfn.XLOOKUP($H494,Data!$E:$E,Data!$F:$F,"Revisar",0)</f>
        <v>MOTOROLA</v>
      </c>
      <c r="J494" s="157" t="str">
        <f t="array" ref="J494">_xlfn.XLOOKUP($H494,Data!$E:$E,Data!$G:$G,"Revisar",0)</f>
        <v>Entrepartners MEDELLIN</v>
      </c>
      <c r="K494" s="20" t="s">
        <v>143</v>
      </c>
      <c r="L494" s="18">
        <v>10</v>
      </c>
      <c r="M494" s="20" t="s">
        <v>1036</v>
      </c>
      <c r="N494" s="14" t="s">
        <v>1182</v>
      </c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ht="15" customHeight="1" x14ac:dyDescent="0.3">
      <c r="A495" s="13">
        <v>46321</v>
      </c>
      <c r="B495" s="14" t="s">
        <v>1174</v>
      </c>
      <c r="C495" s="15">
        <v>-87900</v>
      </c>
      <c r="D495" s="17" t="s">
        <v>361</v>
      </c>
      <c r="E495" s="14" t="s">
        <v>963</v>
      </c>
      <c r="F495" s="18">
        <v>10</v>
      </c>
      <c r="G495" s="12" t="str">
        <f>IFERROR(VLOOKUP(D495,Data!$A:$B,2,0),"Revisar")</f>
        <v>Impuestos</v>
      </c>
      <c r="H495" s="20" t="s">
        <v>24</v>
      </c>
      <c r="I495" s="157" t="str">
        <f t="array" ref="I495">_xlfn.XLOOKUP($H495,Data!$E:$E,Data!$F:$F,"Revisar",0)</f>
        <v>NA</v>
      </c>
      <c r="J495" s="157" t="str">
        <f t="array" ref="J495">_xlfn.XLOOKUP($H495,Data!$E:$E,Data!$G:$G,"Revisar",0)</f>
        <v>NA</v>
      </c>
      <c r="K495" s="20" t="s">
        <v>24</v>
      </c>
      <c r="L495" s="18">
        <v>10</v>
      </c>
      <c r="M495" s="20"/>
      <c r="N495" s="14" t="s">
        <v>1183</v>
      </c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ht="15" customHeight="1" x14ac:dyDescent="0.3">
      <c r="A496" s="13">
        <v>46321</v>
      </c>
      <c r="B496" s="14" t="s">
        <v>338</v>
      </c>
      <c r="C496" s="15">
        <v>-24284.880000000001</v>
      </c>
      <c r="D496" s="17" t="s">
        <v>339</v>
      </c>
      <c r="E496" s="14" t="s">
        <v>339</v>
      </c>
      <c r="F496" s="18">
        <v>10</v>
      </c>
      <c r="G496" s="12" t="str">
        <f>IFERROR(VLOOKUP(D496,Data!$A:$B,2,0),"Revisar")</f>
        <v>Gastos Variables</v>
      </c>
      <c r="H496" s="20" t="s">
        <v>24</v>
      </c>
      <c r="I496" s="157" t="str">
        <f t="array" ref="I496">_xlfn.XLOOKUP($H496,Data!$E:$E,Data!$F:$F,"Revisar",0)</f>
        <v>NA</v>
      </c>
      <c r="J496" s="157" t="str">
        <f t="array" ref="J496">_xlfn.XLOOKUP($H496,Data!$E:$E,Data!$G:$G,"Revisar",0)</f>
        <v>NA</v>
      </c>
      <c r="K496" s="20" t="s">
        <v>24</v>
      </c>
      <c r="L496" s="18">
        <v>10</v>
      </c>
      <c r="M496" s="20"/>
      <c r="N496" s="14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ht="15" customHeight="1" x14ac:dyDescent="0.3">
      <c r="A497" s="13">
        <v>46321</v>
      </c>
      <c r="B497" s="14" t="s">
        <v>31</v>
      </c>
      <c r="C497" s="15">
        <v>173.74</v>
      </c>
      <c r="D497" s="17" t="s">
        <v>32</v>
      </c>
      <c r="E497" s="14" t="s">
        <v>32</v>
      </c>
      <c r="F497" s="18">
        <v>10</v>
      </c>
      <c r="G497" s="12" t="str">
        <f>IFERROR(VLOOKUP(D497,Data!$A:$B,2,0),"Revisar")</f>
        <v>Gastos Variables</v>
      </c>
      <c r="H497" s="20" t="s">
        <v>24</v>
      </c>
      <c r="I497" s="157" t="str">
        <f t="array" ref="I497">_xlfn.XLOOKUP($H497,Data!$E:$E,Data!$F:$F,"Revisar",0)</f>
        <v>NA</v>
      </c>
      <c r="J497" s="157" t="str">
        <f t="array" ref="J497">_xlfn.XLOOKUP($H497,Data!$E:$E,Data!$G:$G,"Revisar",0)</f>
        <v>NA</v>
      </c>
      <c r="K497" s="20" t="s">
        <v>24</v>
      </c>
      <c r="L497" s="18">
        <v>10</v>
      </c>
      <c r="M497" s="20"/>
      <c r="N497" s="14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ht="15" customHeight="1" x14ac:dyDescent="0.3">
      <c r="A498" s="13">
        <v>46322</v>
      </c>
      <c r="B498" s="14" t="s">
        <v>1175</v>
      </c>
      <c r="C498" s="15">
        <v>-86435</v>
      </c>
      <c r="D498" s="17" t="s">
        <v>138</v>
      </c>
      <c r="E498" s="170"/>
      <c r="F498" s="18">
        <v>10</v>
      </c>
      <c r="G498" s="12" t="str">
        <f>IFERROR(VLOOKUP(D498,Data!$A:$B,2,0),"Revisar")</f>
        <v>Costo Ventas</v>
      </c>
      <c r="H498" s="20" t="s">
        <v>918</v>
      </c>
      <c r="I498" s="157" t="str">
        <f t="array" ref="I498">_xlfn.XLOOKUP($H498,Data!$E:$E,Data!$F:$F,"Revisar",0)</f>
        <v>Revisar</v>
      </c>
      <c r="J498" s="157" t="str">
        <f t="array" ref="J498">_xlfn.XLOOKUP($H498,Data!$E:$E,Data!$G:$G,"Revisar",0)</f>
        <v>Revisar</v>
      </c>
      <c r="K498" s="20" t="s">
        <v>143</v>
      </c>
      <c r="L498" s="18">
        <v>10</v>
      </c>
      <c r="M498" s="20"/>
      <c r="N498" s="14" t="s">
        <v>965</v>
      </c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ht="15" customHeight="1" x14ac:dyDescent="0.3">
      <c r="A499" s="13">
        <v>46322</v>
      </c>
      <c r="B499" s="14" t="s">
        <v>338</v>
      </c>
      <c r="C499" s="15">
        <v>-345.74</v>
      </c>
      <c r="D499" s="17" t="s">
        <v>339</v>
      </c>
      <c r="E499" s="14" t="s">
        <v>339</v>
      </c>
      <c r="F499" s="18">
        <v>10</v>
      </c>
      <c r="G499" s="12" t="str">
        <f>IFERROR(VLOOKUP(D499,Data!$A:$B,2,0),"Revisar")</f>
        <v>Gastos Variables</v>
      </c>
      <c r="H499" s="20" t="s">
        <v>24</v>
      </c>
      <c r="I499" s="157" t="str">
        <f t="array" ref="I499">_xlfn.XLOOKUP($H499,Data!$E:$E,Data!$F:$F,"Revisar",0)</f>
        <v>NA</v>
      </c>
      <c r="J499" s="157" t="str">
        <f t="array" ref="J499">_xlfn.XLOOKUP($H499,Data!$E:$E,Data!$G:$G,"Revisar",0)</f>
        <v>NA</v>
      </c>
      <c r="K499" s="20" t="s">
        <v>24</v>
      </c>
      <c r="L499" s="18">
        <v>10</v>
      </c>
      <c r="M499" s="20"/>
      <c r="N499" s="14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ht="15" customHeight="1" x14ac:dyDescent="0.3">
      <c r="A500" s="13"/>
      <c r="B500" s="14"/>
      <c r="C500" s="15"/>
      <c r="D500" s="17"/>
      <c r="E500" s="14"/>
      <c r="F500" s="18"/>
      <c r="G500" s="12" t="str">
        <f>IFERROR(VLOOKUP(D500,Data!$A:$B,2,0),"Revisar")</f>
        <v>Revisar</v>
      </c>
      <c r="H500" s="20"/>
      <c r="I500" s="157">
        <f t="array" ref="I500">_xlfn.XLOOKUP($H500,Data!$E:$E,Data!$F:$F,"Revisar",0)</f>
        <v>0</v>
      </c>
      <c r="J500" s="157">
        <f t="array" ref="J500">_xlfn.XLOOKUP($H500,Data!$E:$E,Data!$G:$G,"Revisar",0)</f>
        <v>0</v>
      </c>
      <c r="K500" s="20"/>
      <c r="L500" s="18"/>
      <c r="M500" s="20"/>
      <c r="N500" s="14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ht="15" customHeight="1" x14ac:dyDescent="0.3">
      <c r="A501" s="13"/>
      <c r="B501" s="14"/>
      <c r="C501" s="15"/>
      <c r="D501" s="17"/>
      <c r="E501" s="14"/>
      <c r="F501" s="18"/>
      <c r="G501" s="12" t="str">
        <f>IFERROR(VLOOKUP(D501,Data!$A:$B,2,0),"Revisar")</f>
        <v>Revisar</v>
      </c>
      <c r="H501" s="20"/>
      <c r="I501" s="157">
        <f t="array" ref="I501">_xlfn.XLOOKUP($H501,Data!$E:$E,Data!$F:$F,"Revisar",0)</f>
        <v>0</v>
      </c>
      <c r="J501" s="157">
        <f t="array" ref="J501">_xlfn.XLOOKUP($H501,Data!$E:$E,Data!$G:$G,"Revisar",0)</f>
        <v>0</v>
      </c>
      <c r="K501" s="20"/>
      <c r="L501" s="18"/>
      <c r="M501" s="20"/>
      <c r="N501" s="14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ht="15" customHeight="1" x14ac:dyDescent="0.3">
      <c r="A502" s="13"/>
      <c r="B502" s="14"/>
      <c r="C502" s="15"/>
      <c r="D502" s="17"/>
      <c r="E502" s="14"/>
      <c r="F502" s="18"/>
      <c r="G502" s="12" t="str">
        <f>IFERROR(VLOOKUP(D502,Data!$A:$B,2,0),"Revisar")</f>
        <v>Revisar</v>
      </c>
      <c r="H502" s="20"/>
      <c r="I502" s="157">
        <f t="array" ref="I502">_xlfn.XLOOKUP($H502,Data!$E:$E,Data!$F:$F,"Revisar",0)</f>
        <v>0</v>
      </c>
      <c r="J502" s="157">
        <f t="array" ref="J502">_xlfn.XLOOKUP($H502,Data!$E:$E,Data!$G:$G,"Revisar",0)</f>
        <v>0</v>
      </c>
      <c r="K502" s="20"/>
      <c r="L502" s="18"/>
      <c r="M502" s="20"/>
      <c r="N502" s="14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ht="15" customHeight="1" x14ac:dyDescent="0.3">
      <c r="A503" s="13"/>
      <c r="B503" s="14"/>
      <c r="C503" s="15"/>
      <c r="D503" s="17"/>
      <c r="E503" s="14"/>
      <c r="F503" s="18"/>
      <c r="G503" s="12" t="str">
        <f>IFERROR(VLOOKUP(D503,Data!$A:$B,2,0),"Revisar")</f>
        <v>Revisar</v>
      </c>
      <c r="H503" s="20"/>
      <c r="I503" s="157">
        <f t="array" ref="I503">_xlfn.XLOOKUP($H503,Data!$E:$E,Data!$F:$F,"Revisar",0)</f>
        <v>0</v>
      </c>
      <c r="J503" s="157">
        <f t="array" ref="J503">_xlfn.XLOOKUP($H503,Data!$E:$E,Data!$G:$G,"Revisar",0)</f>
        <v>0</v>
      </c>
      <c r="K503" s="20"/>
      <c r="L503" s="18"/>
      <c r="M503" s="20"/>
      <c r="N503" s="14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ht="15" customHeight="1" x14ac:dyDescent="0.3">
      <c r="A504" s="13"/>
      <c r="B504" s="14"/>
      <c r="C504" s="15"/>
      <c r="D504" s="17"/>
      <c r="E504" s="14"/>
      <c r="F504" s="18"/>
      <c r="G504" s="12" t="str">
        <f>IFERROR(VLOOKUP(D504,Data!$A:$B,2,0),"Revisar")</f>
        <v>Revisar</v>
      </c>
      <c r="H504" s="20"/>
      <c r="I504" s="157">
        <f t="array" ref="I504">_xlfn.XLOOKUP($H504,Data!$E:$E,Data!$F:$F,"Revisar",0)</f>
        <v>0</v>
      </c>
      <c r="J504" s="157">
        <f t="array" ref="J504">_xlfn.XLOOKUP($H504,Data!$E:$E,Data!$G:$G,"Revisar",0)</f>
        <v>0</v>
      </c>
      <c r="K504" s="20"/>
      <c r="L504" s="18"/>
      <c r="M504" s="20"/>
      <c r="N504" s="14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ht="15" customHeight="1" x14ac:dyDescent="0.3">
      <c r="A505" s="13"/>
      <c r="B505" s="14"/>
      <c r="C505" s="15"/>
      <c r="D505" s="17"/>
      <c r="E505" s="14"/>
      <c r="F505" s="18"/>
      <c r="G505" s="12" t="str">
        <f>IFERROR(VLOOKUP(D505,Data!$A:$B,2,0),"Revisar")</f>
        <v>Revisar</v>
      </c>
      <c r="H505" s="20"/>
      <c r="I505" s="157">
        <f t="array" ref="I505">_xlfn.XLOOKUP($H505,Data!$E:$E,Data!$F:$F,"Revisar",0)</f>
        <v>0</v>
      </c>
      <c r="J505" s="157">
        <f t="array" ref="J505">_xlfn.XLOOKUP($H505,Data!$E:$E,Data!$G:$G,"Revisar",0)</f>
        <v>0</v>
      </c>
      <c r="K505" s="20"/>
      <c r="L505" s="18"/>
      <c r="M505" s="20"/>
      <c r="N505" s="14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ht="15" customHeight="1" x14ac:dyDescent="0.3">
      <c r="A506" s="13"/>
      <c r="B506" s="14"/>
      <c r="C506" s="15"/>
      <c r="D506" s="17"/>
      <c r="E506" s="14"/>
      <c r="F506" s="18"/>
      <c r="G506" s="12" t="str">
        <f>IFERROR(VLOOKUP(D506,Data!$A:$B,2,0),"Revisar")</f>
        <v>Revisar</v>
      </c>
      <c r="H506" s="20"/>
      <c r="I506" s="157">
        <f t="array" ref="I506">_xlfn.XLOOKUP($H506,Data!$E:$E,Data!$F:$F,"Revisar",0)</f>
        <v>0</v>
      </c>
      <c r="J506" s="157">
        <f t="array" ref="J506">_xlfn.XLOOKUP($H506,Data!$E:$E,Data!$G:$G,"Revisar",0)</f>
        <v>0</v>
      </c>
      <c r="K506" s="20"/>
      <c r="L506" s="18"/>
      <c r="M506" s="20"/>
      <c r="N506" s="14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ht="15" customHeight="1" x14ac:dyDescent="0.3">
      <c r="A507" s="13"/>
      <c r="B507" s="14"/>
      <c r="C507" s="15"/>
      <c r="D507" s="17"/>
      <c r="E507" s="14"/>
      <c r="F507" s="18"/>
      <c r="G507" s="12" t="str">
        <f>IFERROR(VLOOKUP(D507,Data!$A:$B,2,0),"Revisar")</f>
        <v>Revisar</v>
      </c>
      <c r="H507" s="20"/>
      <c r="I507" s="157">
        <f t="array" ref="I507">_xlfn.XLOOKUP($H507,Data!$E:$E,Data!$F:$F,"Revisar",0)</f>
        <v>0</v>
      </c>
      <c r="J507" s="157">
        <f t="array" ref="J507">_xlfn.XLOOKUP($H507,Data!$E:$E,Data!$G:$G,"Revisar",0)</f>
        <v>0</v>
      </c>
      <c r="K507" s="20"/>
      <c r="L507" s="18"/>
      <c r="M507" s="20"/>
      <c r="N507" s="14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ht="15" customHeight="1" x14ac:dyDescent="0.3">
      <c r="A508" s="13"/>
      <c r="B508" s="14"/>
      <c r="C508" s="15"/>
      <c r="D508" s="17"/>
      <c r="E508" s="14"/>
      <c r="F508" s="18"/>
      <c r="G508" s="12" t="str">
        <f>IFERROR(VLOOKUP(D508,Data!$A:$B,2,0),"Revisar")</f>
        <v>Revisar</v>
      </c>
      <c r="H508" s="20"/>
      <c r="I508" s="157">
        <f t="array" ref="I508">_xlfn.XLOOKUP($H508,Data!$E:$E,Data!$F:$F,"Revisar",0)</f>
        <v>0</v>
      </c>
      <c r="J508" s="157">
        <f t="array" ref="J508">_xlfn.XLOOKUP($H508,Data!$E:$E,Data!$G:$G,"Revisar",0)</f>
        <v>0</v>
      </c>
      <c r="K508" s="20"/>
      <c r="L508" s="18"/>
      <c r="M508" s="20"/>
      <c r="N508" s="14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ht="15" customHeight="1" x14ac:dyDescent="0.3">
      <c r="A509" s="13"/>
      <c r="B509" s="14"/>
      <c r="C509" s="15"/>
      <c r="D509" s="17"/>
      <c r="E509" s="14"/>
      <c r="F509" s="18"/>
      <c r="G509" s="12" t="str">
        <f>IFERROR(VLOOKUP(D509,Data!$A:$B,2,0),"Revisar")</f>
        <v>Revisar</v>
      </c>
      <c r="H509" s="20"/>
      <c r="I509" s="157">
        <f t="array" ref="I509">_xlfn.XLOOKUP($H509,Data!$E:$E,Data!$F:$F,"Revisar",0)</f>
        <v>0</v>
      </c>
      <c r="J509" s="157">
        <f t="array" ref="J509">_xlfn.XLOOKUP($H509,Data!$E:$E,Data!$G:$G,"Revisar",0)</f>
        <v>0</v>
      </c>
      <c r="K509" s="20"/>
      <c r="L509" s="18"/>
      <c r="M509" s="20"/>
      <c r="N509" s="14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ht="15" customHeight="1" x14ac:dyDescent="0.3">
      <c r="A510" s="13"/>
      <c r="B510" s="14"/>
      <c r="C510" s="15"/>
      <c r="D510" s="17"/>
      <c r="E510" s="14"/>
      <c r="F510" s="18"/>
      <c r="G510" s="12" t="str">
        <f>IFERROR(VLOOKUP(D510,Data!$A:$B,2,0),"Revisar")</f>
        <v>Revisar</v>
      </c>
      <c r="H510" s="20"/>
      <c r="I510" s="157">
        <f t="array" ref="I510">_xlfn.XLOOKUP($H510,Data!$E:$E,Data!$F:$F,"Revisar",0)</f>
        <v>0</v>
      </c>
      <c r="J510" s="157">
        <f t="array" ref="J510">_xlfn.XLOOKUP($H510,Data!$E:$E,Data!$G:$G,"Revisar",0)</f>
        <v>0</v>
      </c>
      <c r="K510" s="20"/>
      <c r="L510" s="18"/>
      <c r="M510" s="20"/>
      <c r="N510" s="14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ht="15" customHeight="1" x14ac:dyDescent="0.3">
      <c r="A511" s="13"/>
      <c r="B511" s="14"/>
      <c r="C511" s="15"/>
      <c r="D511" s="17"/>
      <c r="E511" s="14"/>
      <c r="F511" s="18"/>
      <c r="G511" s="12" t="str">
        <f>IFERROR(VLOOKUP(D511,Data!$A:$B,2,0),"Revisar")</f>
        <v>Revisar</v>
      </c>
      <c r="H511" s="20"/>
      <c r="I511" s="157">
        <f t="array" ref="I511">_xlfn.XLOOKUP($H511,Data!$E:$E,Data!$F:$F,"Revisar",0)</f>
        <v>0</v>
      </c>
      <c r="J511" s="157">
        <f t="array" ref="J511">_xlfn.XLOOKUP($H511,Data!$E:$E,Data!$G:$G,"Revisar",0)</f>
        <v>0</v>
      </c>
      <c r="K511" s="20"/>
      <c r="L511" s="18"/>
      <c r="M511" s="20"/>
      <c r="N511" s="14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ht="15" customHeight="1" x14ac:dyDescent="0.3">
      <c r="A512" s="13"/>
      <c r="B512" s="14"/>
      <c r="C512" s="15"/>
      <c r="D512" s="17"/>
      <c r="E512" s="14"/>
      <c r="F512" s="18"/>
      <c r="G512" s="12" t="str">
        <f>IFERROR(VLOOKUP(D512,Data!$A:$B,2,0),"Revisar")</f>
        <v>Revisar</v>
      </c>
      <c r="H512" s="20"/>
      <c r="I512" s="157">
        <f t="array" ref="I512">_xlfn.XLOOKUP($H512,Data!$E:$E,Data!$F:$F,"Revisar",0)</f>
        <v>0</v>
      </c>
      <c r="J512" s="157">
        <f t="array" ref="J512">_xlfn.XLOOKUP($H512,Data!$E:$E,Data!$G:$G,"Revisar",0)</f>
        <v>0</v>
      </c>
      <c r="K512" s="20"/>
      <c r="L512" s="18"/>
      <c r="M512" s="20"/>
      <c r="N512" s="14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ht="15" customHeight="1" x14ac:dyDescent="0.3">
      <c r="A513" s="13"/>
      <c r="B513" s="14"/>
      <c r="C513" s="15"/>
      <c r="D513" s="17"/>
      <c r="E513" s="14"/>
      <c r="F513" s="18"/>
      <c r="G513" s="12" t="str">
        <f>IFERROR(VLOOKUP(D513,Data!$A:$B,2,0),"Revisar")</f>
        <v>Revisar</v>
      </c>
      <c r="H513" s="20"/>
      <c r="I513" s="157">
        <f t="array" ref="I513">_xlfn.XLOOKUP($H513,Data!$E:$E,Data!$F:$F,"Revisar",0)</f>
        <v>0</v>
      </c>
      <c r="J513" s="157">
        <f t="array" ref="J513">_xlfn.XLOOKUP($H513,Data!$E:$E,Data!$G:$G,"Revisar",0)</f>
        <v>0</v>
      </c>
      <c r="K513" s="20"/>
      <c r="L513" s="18"/>
      <c r="M513" s="20"/>
      <c r="N513" s="14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ht="15" customHeight="1" x14ac:dyDescent="0.3">
      <c r="A514" s="13"/>
      <c r="B514" s="14"/>
      <c r="C514" s="15"/>
      <c r="D514" s="17"/>
      <c r="E514" s="14"/>
      <c r="F514" s="18"/>
      <c r="G514" s="12" t="str">
        <f>IFERROR(VLOOKUP(D514,Data!$A:$B,2,0),"Revisar")</f>
        <v>Revisar</v>
      </c>
      <c r="H514" s="20"/>
      <c r="I514" s="157">
        <f t="array" ref="I514">_xlfn.XLOOKUP($H514,Data!$E:$E,Data!$F:$F,"Revisar",0)</f>
        <v>0</v>
      </c>
      <c r="J514" s="157">
        <f t="array" ref="J514">_xlfn.XLOOKUP($H514,Data!$E:$E,Data!$G:$G,"Revisar",0)</f>
        <v>0</v>
      </c>
      <c r="K514" s="20"/>
      <c r="L514" s="18"/>
      <c r="M514" s="20"/>
      <c r="N514" s="14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ht="15" customHeight="1" x14ac:dyDescent="0.3">
      <c r="A515" s="13"/>
      <c r="B515" s="14"/>
      <c r="C515" s="15"/>
      <c r="D515" s="17"/>
      <c r="E515" s="14"/>
      <c r="F515" s="18"/>
      <c r="G515" s="12" t="str">
        <f>IFERROR(VLOOKUP(D515,Data!$A:$B,2,0),"Revisar")</f>
        <v>Revisar</v>
      </c>
      <c r="H515" s="20"/>
      <c r="I515" s="157">
        <f t="array" ref="I515">_xlfn.XLOOKUP($H515,Data!$E:$E,Data!$F:$F,"Revisar",0)</f>
        <v>0</v>
      </c>
      <c r="J515" s="157">
        <f t="array" ref="J515">_xlfn.XLOOKUP($H515,Data!$E:$E,Data!$G:$G,"Revisar",0)</f>
        <v>0</v>
      </c>
      <c r="K515" s="20"/>
      <c r="L515" s="18"/>
      <c r="M515" s="20"/>
      <c r="N515" s="14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ht="15" customHeight="1" x14ac:dyDescent="0.3">
      <c r="A516" s="13"/>
      <c r="B516" s="14"/>
      <c r="C516" s="15"/>
      <c r="D516" s="17"/>
      <c r="E516" s="14"/>
      <c r="F516" s="18"/>
      <c r="G516" s="12" t="str">
        <f>IFERROR(VLOOKUP(D516,Data!$A:$B,2,0),"Revisar")</f>
        <v>Revisar</v>
      </c>
      <c r="H516" s="20"/>
      <c r="I516" s="157">
        <f t="array" ref="I516">_xlfn.XLOOKUP($H516,Data!$E:$E,Data!$F:$F,"Revisar",0)</f>
        <v>0</v>
      </c>
      <c r="J516" s="157">
        <f t="array" ref="J516">_xlfn.XLOOKUP($H516,Data!$E:$E,Data!$G:$G,"Revisar",0)</f>
        <v>0</v>
      </c>
      <c r="K516" s="20"/>
      <c r="L516" s="18"/>
      <c r="M516" s="20"/>
      <c r="N516" s="14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ht="15" customHeight="1" x14ac:dyDescent="0.3">
      <c r="A517" s="13"/>
      <c r="B517" s="14"/>
      <c r="C517" s="15"/>
      <c r="D517" s="17"/>
      <c r="E517" s="14"/>
      <c r="F517" s="18"/>
      <c r="G517" s="12" t="str">
        <f>IFERROR(VLOOKUP(D517,Data!$A:$B,2,0),"Revisar")</f>
        <v>Revisar</v>
      </c>
      <c r="H517" s="20"/>
      <c r="I517" s="157">
        <f t="array" ref="I517">_xlfn.XLOOKUP($H517,Data!$E:$E,Data!$F:$F,"Revisar",0)</f>
        <v>0</v>
      </c>
      <c r="J517" s="157">
        <f t="array" ref="J517">_xlfn.XLOOKUP($H517,Data!$E:$E,Data!$G:$G,"Revisar",0)</f>
        <v>0</v>
      </c>
      <c r="K517" s="20"/>
      <c r="L517" s="18"/>
      <c r="M517" s="20"/>
      <c r="N517" s="14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ht="15" customHeight="1" x14ac:dyDescent="0.3">
      <c r="A518" s="13"/>
      <c r="B518" s="14"/>
      <c r="C518" s="15"/>
      <c r="D518" s="17"/>
      <c r="E518" s="14"/>
      <c r="F518" s="18"/>
      <c r="G518" s="12" t="str">
        <f>IFERROR(VLOOKUP(D518,Data!$A:$B,2,0),"Revisar")</f>
        <v>Revisar</v>
      </c>
      <c r="H518" s="20"/>
      <c r="I518" s="157">
        <f t="array" ref="I518">_xlfn.XLOOKUP($H518,Data!$E:$E,Data!$F:$F,"Revisar",0)</f>
        <v>0</v>
      </c>
      <c r="J518" s="157">
        <f t="array" ref="J518">_xlfn.XLOOKUP($H518,Data!$E:$E,Data!$G:$G,"Revisar",0)</f>
        <v>0</v>
      </c>
      <c r="K518" s="20"/>
      <c r="L518" s="18"/>
      <c r="M518" s="20"/>
      <c r="N518" s="14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ht="15" customHeight="1" x14ac:dyDescent="0.3">
      <c r="A519" s="13"/>
      <c r="B519" s="14"/>
      <c r="C519" s="15"/>
      <c r="D519" s="17"/>
      <c r="E519" s="14"/>
      <c r="F519" s="18"/>
      <c r="G519" s="12" t="str">
        <f>IFERROR(VLOOKUP(D519,Data!$A:$B,2,0),"Revisar")</f>
        <v>Revisar</v>
      </c>
      <c r="H519" s="20"/>
      <c r="I519" s="157">
        <f t="array" ref="I519">_xlfn.XLOOKUP($H519,Data!$E:$E,Data!$F:$F,"Revisar",0)</f>
        <v>0</v>
      </c>
      <c r="J519" s="157">
        <f t="array" ref="J519">_xlfn.XLOOKUP($H519,Data!$E:$E,Data!$G:$G,"Revisar",0)</f>
        <v>0</v>
      </c>
      <c r="K519" s="20"/>
      <c r="L519" s="18"/>
      <c r="M519" s="20"/>
      <c r="N519" s="14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ht="15" customHeight="1" x14ac:dyDescent="0.3">
      <c r="A520" s="13"/>
      <c r="B520" s="14"/>
      <c r="C520" s="15"/>
      <c r="D520" s="17"/>
      <c r="E520" s="14"/>
      <c r="F520" s="18"/>
      <c r="G520" s="12" t="str">
        <f>IFERROR(VLOOKUP(D520,Data!$A:$B,2,0),"Revisar")</f>
        <v>Revisar</v>
      </c>
      <c r="H520" s="20"/>
      <c r="I520" s="157">
        <f t="array" ref="I520">_xlfn.XLOOKUP($H520,Data!$E:$E,Data!$F:$F,"Revisar",0)</f>
        <v>0</v>
      </c>
      <c r="J520" s="157">
        <f t="array" ref="J520">_xlfn.XLOOKUP($H520,Data!$E:$E,Data!$G:$G,"Revisar",0)</f>
        <v>0</v>
      </c>
      <c r="K520" s="20"/>
      <c r="L520" s="18"/>
      <c r="M520" s="20"/>
      <c r="N520" s="14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ht="15" customHeight="1" x14ac:dyDescent="0.3">
      <c r="A521" s="13"/>
      <c r="B521" s="14"/>
      <c r="C521" s="15"/>
      <c r="D521" s="17"/>
      <c r="E521" s="14"/>
      <c r="F521" s="18"/>
      <c r="G521" s="12" t="str">
        <f>IFERROR(VLOOKUP(D521,Data!$A:$B,2,0),"Revisar")</f>
        <v>Revisar</v>
      </c>
      <c r="H521" s="20"/>
      <c r="I521" s="157">
        <f t="array" ref="I521">_xlfn.XLOOKUP($H521,Data!$E:$E,Data!$F:$F,"Revisar",0)</f>
        <v>0</v>
      </c>
      <c r="J521" s="157">
        <f t="array" ref="J521">_xlfn.XLOOKUP($H521,Data!$E:$E,Data!$G:$G,"Revisar",0)</f>
        <v>0</v>
      </c>
      <c r="K521" s="20"/>
      <c r="L521" s="18"/>
      <c r="M521" s="20"/>
      <c r="N521" s="14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ht="15" customHeight="1" x14ac:dyDescent="0.3">
      <c r="A522" s="13"/>
      <c r="B522" s="14"/>
      <c r="C522" s="15"/>
      <c r="D522" s="17"/>
      <c r="E522" s="14"/>
      <c r="F522" s="18"/>
      <c r="G522" s="12" t="str">
        <f>IFERROR(VLOOKUP(D522,Data!$A:$B,2,0),"Revisar")</f>
        <v>Revisar</v>
      </c>
      <c r="H522" s="20"/>
      <c r="I522" s="157">
        <f t="array" ref="I522">_xlfn.XLOOKUP($H522,Data!$E:$E,Data!$F:$F,"Revisar",0)</f>
        <v>0</v>
      </c>
      <c r="J522" s="157">
        <f t="array" ref="J522">_xlfn.XLOOKUP($H522,Data!$E:$E,Data!$G:$G,"Revisar",0)</f>
        <v>0</v>
      </c>
      <c r="K522" s="20"/>
      <c r="L522" s="18"/>
      <c r="M522" s="20"/>
      <c r="N522" s="14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ht="15" customHeight="1" x14ac:dyDescent="0.3">
      <c r="A523" s="13"/>
      <c r="B523" s="14"/>
      <c r="C523" s="15"/>
      <c r="D523" s="17"/>
      <c r="E523" s="14"/>
      <c r="F523" s="18"/>
      <c r="G523" s="12" t="str">
        <f>IFERROR(VLOOKUP(D523,Data!$A:$B,2,0),"Revisar")</f>
        <v>Revisar</v>
      </c>
      <c r="H523" s="20"/>
      <c r="I523" s="157">
        <f t="array" ref="I523">_xlfn.XLOOKUP($H523,Data!$E:$E,Data!$F:$F,"Revisar",0)</f>
        <v>0</v>
      </c>
      <c r="J523" s="157">
        <f t="array" ref="J523">_xlfn.XLOOKUP($H523,Data!$E:$E,Data!$G:$G,"Revisar",0)</f>
        <v>0</v>
      </c>
      <c r="K523" s="20"/>
      <c r="L523" s="18"/>
      <c r="M523" s="20"/>
      <c r="N523" s="14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ht="15" customHeight="1" x14ac:dyDescent="0.3">
      <c r="A524" s="13"/>
      <c r="B524" s="14"/>
      <c r="C524" s="15"/>
      <c r="D524" s="17"/>
      <c r="E524" s="14"/>
      <c r="F524" s="18"/>
      <c r="G524" s="12" t="str">
        <f>IFERROR(VLOOKUP(D524,Data!$A:$B,2,0),"Revisar")</f>
        <v>Revisar</v>
      </c>
      <c r="H524" s="20"/>
      <c r="I524" s="157">
        <f t="array" ref="I524">_xlfn.XLOOKUP($H524,Data!$E:$E,Data!$F:$F,"Revisar",0)</f>
        <v>0</v>
      </c>
      <c r="J524" s="157">
        <f t="array" ref="J524">_xlfn.XLOOKUP($H524,Data!$E:$E,Data!$G:$G,"Revisar",0)</f>
        <v>0</v>
      </c>
      <c r="K524" s="20"/>
      <c r="L524" s="18"/>
      <c r="M524" s="20"/>
      <c r="N524" s="14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ht="15" customHeight="1" x14ac:dyDescent="0.3">
      <c r="A525" s="13"/>
      <c r="B525" s="14"/>
      <c r="C525" s="15"/>
      <c r="D525" s="17"/>
      <c r="E525" s="14"/>
      <c r="F525" s="18"/>
      <c r="G525" s="12" t="str">
        <f>IFERROR(VLOOKUP(D525,Data!$A:$B,2,0),"Revisar")</f>
        <v>Revisar</v>
      </c>
      <c r="H525" s="20"/>
      <c r="I525" s="157">
        <f t="array" ref="I525">_xlfn.XLOOKUP($H525,Data!$E:$E,Data!$F:$F,"Revisar",0)</f>
        <v>0</v>
      </c>
      <c r="J525" s="157">
        <f t="array" ref="J525">_xlfn.XLOOKUP($H525,Data!$E:$E,Data!$G:$G,"Revisar",0)</f>
        <v>0</v>
      </c>
      <c r="K525" s="20"/>
      <c r="L525" s="18"/>
      <c r="M525" s="20"/>
      <c r="N525" s="14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ht="15" customHeight="1" x14ac:dyDescent="0.3">
      <c r="A526" s="13"/>
      <c r="B526" s="14"/>
      <c r="C526" s="15"/>
      <c r="D526" s="17"/>
      <c r="E526" s="14"/>
      <c r="F526" s="18"/>
      <c r="G526" s="12" t="str">
        <f>IFERROR(VLOOKUP(D526,Data!$A:$B,2,0),"Revisar")</f>
        <v>Revisar</v>
      </c>
      <c r="H526" s="20"/>
      <c r="I526" s="157">
        <f t="array" ref="I526">_xlfn.XLOOKUP($H526,Data!$E:$E,Data!$F:$F,"Revisar",0)</f>
        <v>0</v>
      </c>
      <c r="J526" s="157">
        <f t="array" ref="J526">_xlfn.XLOOKUP($H526,Data!$E:$E,Data!$G:$G,"Revisar",0)</f>
        <v>0</v>
      </c>
      <c r="K526" s="20"/>
      <c r="L526" s="18"/>
      <c r="M526" s="20"/>
      <c r="N526" s="14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ht="15" customHeight="1" x14ac:dyDescent="0.3">
      <c r="A527" s="13"/>
      <c r="B527" s="14"/>
      <c r="C527" s="15"/>
      <c r="D527" s="17"/>
      <c r="E527" s="14"/>
      <c r="F527" s="18"/>
      <c r="G527" s="12" t="str">
        <f>IFERROR(VLOOKUP(D527,Data!$A:$B,2,0),"Revisar")</f>
        <v>Revisar</v>
      </c>
      <c r="H527" s="20"/>
      <c r="I527" s="157">
        <f t="array" ref="I527">_xlfn.XLOOKUP($H527,Data!$E:$E,Data!$F:$F,"Revisar",0)</f>
        <v>0</v>
      </c>
      <c r="J527" s="157">
        <f t="array" ref="J527">_xlfn.XLOOKUP($H527,Data!$E:$E,Data!$G:$G,"Revisar",0)</f>
        <v>0</v>
      </c>
      <c r="K527" s="20"/>
      <c r="L527" s="18"/>
      <c r="M527" s="20"/>
      <c r="N527" s="14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ht="15" customHeight="1" x14ac:dyDescent="0.3">
      <c r="A528" s="13"/>
      <c r="B528" s="14"/>
      <c r="C528" s="15"/>
      <c r="D528" s="17"/>
      <c r="E528" s="14"/>
      <c r="F528" s="18"/>
      <c r="G528" s="12" t="str">
        <f>IFERROR(VLOOKUP(D528,Data!$A:$B,2,0),"Revisar")</f>
        <v>Revisar</v>
      </c>
      <c r="H528" s="20"/>
      <c r="I528" s="157">
        <f t="array" ref="I528">_xlfn.XLOOKUP($H528,Data!$E:$E,Data!$F:$F,"Revisar",0)</f>
        <v>0</v>
      </c>
      <c r="J528" s="157">
        <f t="array" ref="J528">_xlfn.XLOOKUP($H528,Data!$E:$E,Data!$G:$G,"Revisar",0)</f>
        <v>0</v>
      </c>
      <c r="K528" s="20"/>
      <c r="L528" s="18"/>
      <c r="M528" s="20"/>
      <c r="N528" s="14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ht="15" customHeight="1" x14ac:dyDescent="0.3">
      <c r="A529" s="13"/>
      <c r="B529" s="14"/>
      <c r="C529" s="15"/>
      <c r="D529" s="17"/>
      <c r="E529" s="14"/>
      <c r="F529" s="18"/>
      <c r="G529" s="12" t="str">
        <f>IFERROR(VLOOKUP(D529,Data!$A:$B,2,0),"Revisar")</f>
        <v>Revisar</v>
      </c>
      <c r="H529" s="20"/>
      <c r="I529" s="157">
        <f t="array" ref="I529">_xlfn.XLOOKUP($H529,Data!$E:$E,Data!$F:$F,"Revisar",0)</f>
        <v>0</v>
      </c>
      <c r="J529" s="157">
        <f t="array" ref="J529">_xlfn.XLOOKUP($H529,Data!$E:$E,Data!$G:$G,"Revisar",0)</f>
        <v>0</v>
      </c>
      <c r="K529" s="20"/>
      <c r="L529" s="18"/>
      <c r="M529" s="20"/>
      <c r="N529" s="14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ht="15" customHeight="1" x14ac:dyDescent="0.3">
      <c r="A530" s="13"/>
      <c r="B530" s="14"/>
      <c r="C530" s="15"/>
      <c r="D530" s="17"/>
      <c r="E530" s="14"/>
      <c r="F530" s="18"/>
      <c r="G530" s="12" t="str">
        <f>IFERROR(VLOOKUP(D530,Data!$A:$B,2,0),"Revisar")</f>
        <v>Revisar</v>
      </c>
      <c r="H530" s="20"/>
      <c r="I530" s="157">
        <f t="array" ref="I530">_xlfn.XLOOKUP($H530,Data!$E:$E,Data!$F:$F,"Revisar",0)</f>
        <v>0</v>
      </c>
      <c r="J530" s="157">
        <f t="array" ref="J530">_xlfn.XLOOKUP($H530,Data!$E:$E,Data!$G:$G,"Revisar",0)</f>
        <v>0</v>
      </c>
      <c r="K530" s="20"/>
      <c r="L530" s="18"/>
      <c r="M530" s="20"/>
      <c r="N530" s="14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ht="15" customHeight="1" x14ac:dyDescent="0.3">
      <c r="A531" s="13"/>
      <c r="B531" s="14"/>
      <c r="C531" s="15"/>
      <c r="D531" s="17"/>
      <c r="E531" s="14"/>
      <c r="F531" s="18"/>
      <c r="G531" s="12" t="str">
        <f>IFERROR(VLOOKUP(D531,Data!$A:$B,2,0),"Revisar")</f>
        <v>Revisar</v>
      </c>
      <c r="H531" s="20"/>
      <c r="I531" s="157">
        <f t="array" ref="I531">_xlfn.XLOOKUP($H531,Data!$E:$E,Data!$F:$F,"Revisar",0)</f>
        <v>0</v>
      </c>
      <c r="J531" s="157">
        <f t="array" ref="J531">_xlfn.XLOOKUP($H531,Data!$E:$E,Data!$G:$G,"Revisar",0)</f>
        <v>0</v>
      </c>
      <c r="K531" s="20"/>
      <c r="L531" s="18"/>
      <c r="M531" s="20"/>
      <c r="N531" s="14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ht="15" customHeight="1" x14ac:dyDescent="0.3">
      <c r="A532" s="13"/>
      <c r="B532" s="14"/>
      <c r="C532" s="15"/>
      <c r="D532" s="17"/>
      <c r="E532" s="14"/>
      <c r="F532" s="18"/>
      <c r="G532" s="12" t="str">
        <f>IFERROR(VLOOKUP(D532,Data!$A:$B,2,0),"Revisar")</f>
        <v>Revisar</v>
      </c>
      <c r="H532" s="20"/>
      <c r="I532" s="157">
        <f t="array" ref="I532">_xlfn.XLOOKUP($H532,Data!$E:$E,Data!$F:$F,"Revisar",0)</f>
        <v>0</v>
      </c>
      <c r="J532" s="157">
        <f t="array" ref="J532">_xlfn.XLOOKUP($H532,Data!$E:$E,Data!$G:$G,"Revisar",0)</f>
        <v>0</v>
      </c>
      <c r="K532" s="20"/>
      <c r="L532" s="18"/>
      <c r="M532" s="20"/>
      <c r="N532" s="14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ht="15" customHeight="1" x14ac:dyDescent="0.3">
      <c r="A533" s="13"/>
      <c r="B533" s="14"/>
      <c r="C533" s="15"/>
      <c r="D533" s="17"/>
      <c r="E533" s="14"/>
      <c r="F533" s="18"/>
      <c r="G533" s="12" t="str">
        <f>IFERROR(VLOOKUP(D533,Data!$A:$B,2,0),"Revisar")</f>
        <v>Revisar</v>
      </c>
      <c r="H533" s="20"/>
      <c r="I533" s="157">
        <f t="array" ref="I533">_xlfn.XLOOKUP($H533,Data!$E:$E,Data!$F:$F,"Revisar",0)</f>
        <v>0</v>
      </c>
      <c r="J533" s="157">
        <f t="array" ref="J533">_xlfn.XLOOKUP($H533,Data!$E:$E,Data!$G:$G,"Revisar",0)</f>
        <v>0</v>
      </c>
      <c r="K533" s="20"/>
      <c r="L533" s="18"/>
      <c r="M533" s="20"/>
      <c r="N533" s="14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ht="15" customHeight="1" x14ac:dyDescent="0.3">
      <c r="A534" s="13"/>
      <c r="B534" s="14"/>
      <c r="C534" s="15"/>
      <c r="D534" s="17"/>
      <c r="E534" s="14"/>
      <c r="F534" s="18"/>
      <c r="G534" s="12" t="str">
        <f>IFERROR(VLOOKUP(D534,Data!$A:$B,2,0),"Revisar")</f>
        <v>Revisar</v>
      </c>
      <c r="H534" s="20"/>
      <c r="I534" s="157">
        <f t="array" ref="I534">_xlfn.XLOOKUP($H534,Data!$E:$E,Data!$F:$F,"Revisar",0)</f>
        <v>0</v>
      </c>
      <c r="J534" s="157">
        <f t="array" ref="J534">_xlfn.XLOOKUP($H534,Data!$E:$E,Data!$G:$G,"Revisar",0)</f>
        <v>0</v>
      </c>
      <c r="K534" s="20"/>
      <c r="L534" s="18"/>
      <c r="M534" s="20"/>
      <c r="N534" s="14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ht="15" customHeight="1" x14ac:dyDescent="0.3">
      <c r="A535" s="13"/>
      <c r="B535" s="14"/>
      <c r="C535" s="15"/>
      <c r="D535" s="17"/>
      <c r="E535" s="14"/>
      <c r="F535" s="18"/>
      <c r="G535" s="12" t="str">
        <f>IFERROR(VLOOKUP(D535,Data!$A:$B,2,0),"Revisar")</f>
        <v>Revisar</v>
      </c>
      <c r="H535" s="20"/>
      <c r="I535" s="157">
        <f t="array" ref="I535">_xlfn.XLOOKUP($H535,Data!$E:$E,Data!$F:$F,"Revisar",0)</f>
        <v>0</v>
      </c>
      <c r="J535" s="157">
        <f t="array" ref="J535">_xlfn.XLOOKUP($H535,Data!$E:$E,Data!$G:$G,"Revisar",0)</f>
        <v>0</v>
      </c>
      <c r="K535" s="20"/>
      <c r="L535" s="18"/>
      <c r="M535" s="20"/>
      <c r="N535" s="14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ht="15" customHeight="1" x14ac:dyDescent="0.3">
      <c r="A536" s="13"/>
      <c r="B536" s="14"/>
      <c r="C536" s="15"/>
      <c r="D536" s="17"/>
      <c r="E536" s="14"/>
      <c r="F536" s="18"/>
      <c r="G536" s="12" t="str">
        <f>IFERROR(VLOOKUP(D536,Data!$A:$B,2,0),"Revisar")</f>
        <v>Revisar</v>
      </c>
      <c r="H536" s="20"/>
      <c r="I536" s="157">
        <f t="array" ref="I536">_xlfn.XLOOKUP($H536,Data!$E:$E,Data!$F:$F,"Revisar",0)</f>
        <v>0</v>
      </c>
      <c r="J536" s="157">
        <f t="array" ref="J536">_xlfn.XLOOKUP($H536,Data!$E:$E,Data!$G:$G,"Revisar",0)</f>
        <v>0</v>
      </c>
      <c r="K536" s="20"/>
      <c r="L536" s="18"/>
      <c r="M536" s="20"/>
      <c r="N536" s="14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ht="15" customHeight="1" x14ac:dyDescent="0.3">
      <c r="A537" s="13"/>
      <c r="B537" s="14"/>
      <c r="C537" s="15"/>
      <c r="D537" s="17"/>
      <c r="E537" s="14"/>
      <c r="F537" s="18"/>
      <c r="G537" s="12" t="str">
        <f>IFERROR(VLOOKUP(D537,Data!$A:$B,2,0),"Revisar")</f>
        <v>Revisar</v>
      </c>
      <c r="H537" s="20"/>
      <c r="I537" s="157">
        <f t="array" ref="I537">_xlfn.XLOOKUP($H537,Data!$E:$E,Data!$F:$F,"Revisar",0)</f>
        <v>0</v>
      </c>
      <c r="J537" s="157">
        <f t="array" ref="J537">_xlfn.XLOOKUP($H537,Data!$E:$E,Data!$G:$G,"Revisar",0)</f>
        <v>0</v>
      </c>
      <c r="K537" s="20"/>
      <c r="L537" s="18"/>
      <c r="M537" s="20"/>
      <c r="N537" s="14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ht="15" customHeight="1" x14ac:dyDescent="0.3">
      <c r="A538" s="13"/>
      <c r="B538" s="14"/>
      <c r="C538" s="15"/>
      <c r="D538" s="17"/>
      <c r="E538" s="14"/>
      <c r="F538" s="18"/>
      <c r="G538" s="12" t="str">
        <f>IFERROR(VLOOKUP(D538,Data!$A:$B,2,0),"Revisar")</f>
        <v>Revisar</v>
      </c>
      <c r="H538" s="20"/>
      <c r="I538" s="157">
        <f t="array" ref="I538">_xlfn.XLOOKUP($H538,Data!$E:$E,Data!$F:$F,"Revisar",0)</f>
        <v>0</v>
      </c>
      <c r="J538" s="157">
        <f t="array" ref="J538">_xlfn.XLOOKUP($H538,Data!$E:$E,Data!$G:$G,"Revisar",0)</f>
        <v>0</v>
      </c>
      <c r="K538" s="20"/>
      <c r="L538" s="18"/>
      <c r="M538" s="20"/>
      <c r="N538" s="14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ht="15" customHeight="1" x14ac:dyDescent="0.3">
      <c r="A539" s="13"/>
      <c r="B539" s="14"/>
      <c r="C539" s="15"/>
      <c r="D539" s="17"/>
      <c r="E539" s="14"/>
      <c r="F539" s="18"/>
      <c r="G539" s="12" t="str">
        <f>IFERROR(VLOOKUP(D539,Data!$A:$B,2,0),"Revisar")</f>
        <v>Revisar</v>
      </c>
      <c r="H539" s="20"/>
      <c r="I539" s="157">
        <f t="array" ref="I539">_xlfn.XLOOKUP($H539,Data!$E:$E,Data!$F:$F,"Revisar",0)</f>
        <v>0</v>
      </c>
      <c r="J539" s="157">
        <f t="array" ref="J539">_xlfn.XLOOKUP($H539,Data!$E:$E,Data!$G:$G,"Revisar",0)</f>
        <v>0</v>
      </c>
      <c r="K539" s="20"/>
      <c r="L539" s="18"/>
      <c r="M539" s="20"/>
      <c r="N539" s="14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ht="15" customHeight="1" x14ac:dyDescent="0.3">
      <c r="A540" s="13"/>
      <c r="B540" s="14"/>
      <c r="C540" s="15"/>
      <c r="D540" s="17"/>
      <c r="E540" s="14"/>
      <c r="F540" s="18"/>
      <c r="G540" s="12" t="str">
        <f>IFERROR(VLOOKUP(D540,Data!$A:$B,2,0),"Revisar")</f>
        <v>Revisar</v>
      </c>
      <c r="H540" s="20"/>
      <c r="I540" s="157">
        <f t="array" ref="I540">_xlfn.XLOOKUP($H540,Data!$E:$E,Data!$F:$F,"Revisar",0)</f>
        <v>0</v>
      </c>
      <c r="J540" s="157">
        <f t="array" ref="J540">_xlfn.XLOOKUP($H540,Data!$E:$E,Data!$G:$G,"Revisar",0)</f>
        <v>0</v>
      </c>
      <c r="K540" s="20"/>
      <c r="L540" s="18"/>
      <c r="M540" s="20"/>
      <c r="N540" s="14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ht="15" customHeight="1" x14ac:dyDescent="0.3">
      <c r="A541" s="13"/>
      <c r="B541" s="14"/>
      <c r="C541" s="15"/>
      <c r="D541" s="17"/>
      <c r="E541" s="14"/>
      <c r="F541" s="18"/>
      <c r="G541" s="12" t="str">
        <f>IFERROR(VLOOKUP(D541,Data!$A:$B,2,0),"Revisar")</f>
        <v>Revisar</v>
      </c>
      <c r="H541" s="20"/>
      <c r="I541" s="157">
        <f t="array" ref="I541">_xlfn.XLOOKUP($H541,Data!$E:$E,Data!$F:$F,"Revisar",0)</f>
        <v>0</v>
      </c>
      <c r="J541" s="157">
        <f t="array" ref="J541">_xlfn.XLOOKUP($H541,Data!$E:$E,Data!$G:$G,"Revisar",0)</f>
        <v>0</v>
      </c>
      <c r="K541" s="20"/>
      <c r="L541" s="18"/>
      <c r="M541" s="20"/>
      <c r="N541" s="14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ht="15" customHeight="1" x14ac:dyDescent="0.3">
      <c r="A542" s="13"/>
      <c r="B542" s="14"/>
      <c r="C542" s="15"/>
      <c r="D542" s="17"/>
      <c r="E542" s="14"/>
      <c r="F542" s="18"/>
      <c r="G542" s="12" t="str">
        <f>IFERROR(VLOOKUP(D542,Data!$A:$B,2,0),"Revisar")</f>
        <v>Revisar</v>
      </c>
      <c r="H542" s="20"/>
      <c r="I542" s="157">
        <f t="array" ref="I542">_xlfn.XLOOKUP($H542,Data!$E:$E,Data!$F:$F,"Revisar",0)</f>
        <v>0</v>
      </c>
      <c r="J542" s="157">
        <f t="array" ref="J542">_xlfn.XLOOKUP($H542,Data!$E:$E,Data!$G:$G,"Revisar",0)</f>
        <v>0</v>
      </c>
      <c r="K542" s="20"/>
      <c r="L542" s="18"/>
      <c r="M542" s="20"/>
      <c r="N542" s="14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ht="15" customHeight="1" x14ac:dyDescent="0.3">
      <c r="A543" s="13"/>
      <c r="B543" s="14"/>
      <c r="C543" s="15"/>
      <c r="D543" s="17"/>
      <c r="E543" s="14"/>
      <c r="F543" s="18"/>
      <c r="G543" s="12" t="str">
        <f>IFERROR(VLOOKUP(D543,Data!$A:$B,2,0),"Revisar")</f>
        <v>Revisar</v>
      </c>
      <c r="H543" s="20"/>
      <c r="I543" s="157">
        <f t="array" ref="I543">_xlfn.XLOOKUP($H543,Data!$E:$E,Data!$F:$F,"Revisar",0)</f>
        <v>0</v>
      </c>
      <c r="J543" s="157">
        <f t="array" ref="J543">_xlfn.XLOOKUP($H543,Data!$E:$E,Data!$G:$G,"Revisar",0)</f>
        <v>0</v>
      </c>
      <c r="K543" s="20"/>
      <c r="L543" s="18"/>
      <c r="M543" s="20"/>
      <c r="N543" s="14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ht="15" customHeight="1" x14ac:dyDescent="0.3">
      <c r="A544" s="13"/>
      <c r="B544" s="14"/>
      <c r="C544" s="15"/>
      <c r="D544" s="17"/>
      <c r="E544" s="14"/>
      <c r="F544" s="18"/>
      <c r="G544" s="12" t="str">
        <f>IFERROR(VLOOKUP(D544,Data!$A:$B,2,0),"Revisar")</f>
        <v>Revisar</v>
      </c>
      <c r="H544" s="20"/>
      <c r="I544" s="157">
        <f t="array" ref="I544">_xlfn.XLOOKUP($H544,Data!$E:$E,Data!$F:$F,"Revisar",0)</f>
        <v>0</v>
      </c>
      <c r="J544" s="157">
        <f t="array" ref="J544">_xlfn.XLOOKUP($H544,Data!$E:$E,Data!$G:$G,"Revisar",0)</f>
        <v>0</v>
      </c>
      <c r="K544" s="20"/>
      <c r="L544" s="18"/>
      <c r="M544" s="20"/>
      <c r="N544" s="14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ht="15" customHeight="1" x14ac:dyDescent="0.3">
      <c r="A545" s="13"/>
      <c r="B545" s="14"/>
      <c r="C545" s="15"/>
      <c r="D545" s="17"/>
      <c r="E545" s="14"/>
      <c r="F545" s="18"/>
      <c r="G545" s="12" t="str">
        <f>IFERROR(VLOOKUP(D545,Data!$A:$B,2,0),"Revisar")</f>
        <v>Revisar</v>
      </c>
      <c r="H545" s="20"/>
      <c r="I545" s="157">
        <f t="array" ref="I545">_xlfn.XLOOKUP($H545,Data!$E:$E,Data!$F:$F,"Revisar",0)</f>
        <v>0</v>
      </c>
      <c r="J545" s="157">
        <f t="array" ref="J545">_xlfn.XLOOKUP($H545,Data!$E:$E,Data!$G:$G,"Revisar",0)</f>
        <v>0</v>
      </c>
      <c r="K545" s="20"/>
      <c r="L545" s="18"/>
      <c r="M545" s="20"/>
      <c r="N545" s="14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ht="15" customHeight="1" x14ac:dyDescent="0.3">
      <c r="A546" s="13"/>
      <c r="B546" s="14"/>
      <c r="C546" s="15"/>
      <c r="D546" s="17"/>
      <c r="E546" s="14"/>
      <c r="F546" s="18"/>
      <c r="G546" s="12" t="str">
        <f>IFERROR(VLOOKUP(D546,Data!$A:$B,2,0),"Revisar")</f>
        <v>Revisar</v>
      </c>
      <c r="H546" s="20"/>
      <c r="I546" s="157">
        <f t="array" ref="I546">_xlfn.XLOOKUP($H546,Data!$E:$E,Data!$F:$F,"Revisar",0)</f>
        <v>0</v>
      </c>
      <c r="J546" s="157">
        <f t="array" ref="J546">_xlfn.XLOOKUP($H546,Data!$E:$E,Data!$G:$G,"Revisar",0)</f>
        <v>0</v>
      </c>
      <c r="K546" s="20"/>
      <c r="L546" s="18"/>
      <c r="M546" s="20"/>
      <c r="N546" s="14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 ht="15" customHeight="1" x14ac:dyDescent="0.3">
      <c r="A547" s="13"/>
      <c r="B547" s="14"/>
      <c r="C547" s="15"/>
      <c r="D547" s="17"/>
      <c r="E547" s="14"/>
      <c r="F547" s="18"/>
      <c r="G547" s="12" t="str">
        <f>IFERROR(VLOOKUP(D547,Data!$A:$B,2,0),"Revisar")</f>
        <v>Revisar</v>
      </c>
      <c r="H547" s="20"/>
      <c r="I547" s="157">
        <f t="array" ref="I547">_xlfn.XLOOKUP($H547,Data!$E:$E,Data!$F:$F,"Revisar",0)</f>
        <v>0</v>
      </c>
      <c r="J547" s="157">
        <f t="array" ref="J547">_xlfn.XLOOKUP($H547,Data!$E:$E,Data!$G:$G,"Revisar",0)</f>
        <v>0</v>
      </c>
      <c r="K547" s="20"/>
      <c r="L547" s="18"/>
      <c r="M547" s="20"/>
      <c r="N547" s="14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ht="15" customHeight="1" x14ac:dyDescent="0.3">
      <c r="A548" s="13"/>
      <c r="B548" s="14"/>
      <c r="C548" s="15"/>
      <c r="D548" s="17"/>
      <c r="E548" s="14"/>
      <c r="F548" s="18"/>
      <c r="G548" s="12" t="str">
        <f>IFERROR(VLOOKUP(D548,Data!$A:$B,2,0),"Revisar")</f>
        <v>Revisar</v>
      </c>
      <c r="H548" s="20"/>
      <c r="I548" s="157">
        <f t="array" ref="I548">_xlfn.XLOOKUP($H548,Data!$E:$E,Data!$F:$F,"Revisar",0)</f>
        <v>0</v>
      </c>
      <c r="J548" s="157">
        <f t="array" ref="J548">_xlfn.XLOOKUP($H548,Data!$E:$E,Data!$G:$G,"Revisar",0)</f>
        <v>0</v>
      </c>
      <c r="K548" s="20"/>
      <c r="L548" s="18"/>
      <c r="M548" s="20"/>
      <c r="N548" s="14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ht="15" customHeight="1" x14ac:dyDescent="0.3">
      <c r="A549" s="13"/>
      <c r="B549" s="14"/>
      <c r="C549" s="15"/>
      <c r="D549" s="17"/>
      <c r="E549" s="14"/>
      <c r="F549" s="18"/>
      <c r="G549" s="12" t="str">
        <f>IFERROR(VLOOKUP(D549,Data!$A:$B,2,0),"Revisar")</f>
        <v>Revisar</v>
      </c>
      <c r="H549" s="20"/>
      <c r="I549" s="157">
        <f t="array" ref="I549">_xlfn.XLOOKUP($H549,Data!$E:$E,Data!$F:$F,"Revisar",0)</f>
        <v>0</v>
      </c>
      <c r="J549" s="157">
        <f t="array" ref="J549">_xlfn.XLOOKUP($H549,Data!$E:$E,Data!$G:$G,"Revisar",0)</f>
        <v>0</v>
      </c>
      <c r="K549" s="20"/>
      <c r="L549" s="18"/>
      <c r="M549" s="20"/>
      <c r="N549" s="14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ht="15" customHeight="1" x14ac:dyDescent="0.3">
      <c r="A550" s="13"/>
      <c r="B550" s="14"/>
      <c r="C550" s="15"/>
      <c r="D550" s="17"/>
      <c r="E550" s="14"/>
      <c r="F550" s="18"/>
      <c r="G550" s="12" t="str">
        <f>IFERROR(VLOOKUP(D550,Data!$A:$B,2,0),"Revisar")</f>
        <v>Revisar</v>
      </c>
      <c r="H550" s="20"/>
      <c r="I550" s="157">
        <f t="array" ref="I550">_xlfn.XLOOKUP($H550,Data!$E:$E,Data!$F:$F,"Revisar",0)</f>
        <v>0</v>
      </c>
      <c r="J550" s="157">
        <f t="array" ref="J550">_xlfn.XLOOKUP($H550,Data!$E:$E,Data!$G:$G,"Revisar",0)</f>
        <v>0</v>
      </c>
      <c r="K550" s="20"/>
      <c r="L550" s="18"/>
      <c r="M550" s="20"/>
      <c r="N550" s="14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ht="15" customHeight="1" x14ac:dyDescent="0.3">
      <c r="A551" s="13"/>
      <c r="B551" s="14"/>
      <c r="C551" s="15"/>
      <c r="D551" s="17"/>
      <c r="E551" s="14"/>
      <c r="F551" s="18"/>
      <c r="G551" s="12" t="str">
        <f>IFERROR(VLOOKUP(D551,Data!$A:$B,2,0),"Revisar")</f>
        <v>Revisar</v>
      </c>
      <c r="H551" s="20"/>
      <c r="I551" s="157">
        <f t="array" ref="I551">_xlfn.XLOOKUP($H551,Data!$E:$E,Data!$F:$F,"Revisar",0)</f>
        <v>0</v>
      </c>
      <c r="J551" s="157">
        <f t="array" ref="J551">_xlfn.XLOOKUP($H551,Data!$E:$E,Data!$G:$G,"Revisar",0)</f>
        <v>0</v>
      </c>
      <c r="K551" s="20"/>
      <c r="L551" s="18"/>
      <c r="M551" s="20"/>
      <c r="N551" s="14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ht="15" customHeight="1" x14ac:dyDescent="0.3">
      <c r="A552" s="13"/>
      <c r="B552" s="14"/>
      <c r="C552" s="15"/>
      <c r="D552" s="17"/>
      <c r="E552" s="14"/>
      <c r="F552" s="18"/>
      <c r="G552" s="12" t="str">
        <f>IFERROR(VLOOKUP(D552,Data!$A:$B,2,0),"Revisar")</f>
        <v>Revisar</v>
      </c>
      <c r="H552" s="20"/>
      <c r="I552" s="157">
        <f t="array" ref="I552">_xlfn.XLOOKUP($H552,Data!$E:$E,Data!$F:$F,"Revisar",0)</f>
        <v>0</v>
      </c>
      <c r="J552" s="157">
        <f t="array" ref="J552">_xlfn.XLOOKUP($H552,Data!$E:$E,Data!$G:$G,"Revisar",0)</f>
        <v>0</v>
      </c>
      <c r="K552" s="20"/>
      <c r="L552" s="18"/>
      <c r="M552" s="20"/>
      <c r="N552" s="14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ht="15" customHeight="1" x14ac:dyDescent="0.3">
      <c r="A553" s="13"/>
      <c r="B553" s="14"/>
      <c r="C553" s="15"/>
      <c r="D553" s="17"/>
      <c r="E553" s="14"/>
      <c r="F553" s="18"/>
      <c r="G553" s="12" t="str">
        <f>IFERROR(VLOOKUP(D553,Data!$A:$B,2,0),"Revisar")</f>
        <v>Revisar</v>
      </c>
      <c r="H553" s="20"/>
      <c r="I553" s="157">
        <f t="array" ref="I553">_xlfn.XLOOKUP($H553,Data!$E:$E,Data!$F:$F,"Revisar",0)</f>
        <v>0</v>
      </c>
      <c r="J553" s="157">
        <f t="array" ref="J553">_xlfn.XLOOKUP($H553,Data!$E:$E,Data!$G:$G,"Revisar",0)</f>
        <v>0</v>
      </c>
      <c r="K553" s="20"/>
      <c r="L553" s="18"/>
      <c r="M553" s="20"/>
      <c r="N553" s="14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ht="15" customHeight="1" x14ac:dyDescent="0.3">
      <c r="A554" s="13"/>
      <c r="B554" s="14"/>
      <c r="C554" s="15"/>
      <c r="D554" s="17"/>
      <c r="E554" s="14"/>
      <c r="F554" s="18"/>
      <c r="G554" s="12" t="str">
        <f>IFERROR(VLOOKUP(D554,Data!$A:$B,2,0),"Revisar")</f>
        <v>Revisar</v>
      </c>
      <c r="H554" s="20"/>
      <c r="I554" s="157">
        <f t="array" ref="I554">_xlfn.XLOOKUP($H554,Data!$E:$E,Data!$F:$F,"Revisar",0)</f>
        <v>0</v>
      </c>
      <c r="J554" s="157">
        <f t="array" ref="J554">_xlfn.XLOOKUP($H554,Data!$E:$E,Data!$G:$G,"Revisar",0)</f>
        <v>0</v>
      </c>
      <c r="K554" s="20"/>
      <c r="L554" s="18"/>
      <c r="M554" s="20"/>
      <c r="N554" s="14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ht="15" customHeight="1" x14ac:dyDescent="0.3">
      <c r="A555" s="13"/>
      <c r="B555" s="14"/>
      <c r="C555" s="15"/>
      <c r="D555" s="17"/>
      <c r="E555" s="14"/>
      <c r="F555" s="18"/>
      <c r="G555" s="12" t="str">
        <f>IFERROR(VLOOKUP(D555,Data!$A:$B,2,0),"Revisar")</f>
        <v>Revisar</v>
      </c>
      <c r="H555" s="20"/>
      <c r="I555" s="157">
        <f t="array" ref="I555">_xlfn.XLOOKUP($H555,Data!$E:$E,Data!$F:$F,"Revisar",0)</f>
        <v>0</v>
      </c>
      <c r="J555" s="157">
        <f t="array" ref="J555">_xlfn.XLOOKUP($H555,Data!$E:$E,Data!$G:$G,"Revisar",0)</f>
        <v>0</v>
      </c>
      <c r="K555" s="20"/>
      <c r="L555" s="18"/>
      <c r="M555" s="20"/>
      <c r="N555" s="14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ht="15" customHeight="1" x14ac:dyDescent="0.3">
      <c r="A556" s="13"/>
      <c r="B556" s="14"/>
      <c r="C556" s="15"/>
      <c r="D556" s="17"/>
      <c r="E556" s="14"/>
      <c r="F556" s="18"/>
      <c r="G556" s="12" t="str">
        <f>IFERROR(VLOOKUP(D556,Data!$A:$B,2,0),"Revisar")</f>
        <v>Revisar</v>
      </c>
      <c r="H556" s="20"/>
      <c r="I556" s="157">
        <f t="array" ref="I556">_xlfn.XLOOKUP($H556,Data!$E:$E,Data!$F:$F,"Revisar",0)</f>
        <v>0</v>
      </c>
      <c r="J556" s="157">
        <f t="array" ref="J556">_xlfn.XLOOKUP($H556,Data!$E:$E,Data!$G:$G,"Revisar",0)</f>
        <v>0</v>
      </c>
      <c r="K556" s="20"/>
      <c r="L556" s="18"/>
      <c r="M556" s="20"/>
      <c r="N556" s="14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ht="15" customHeight="1" x14ac:dyDescent="0.3">
      <c r="A557" s="13"/>
      <c r="B557" s="14"/>
      <c r="C557" s="15"/>
      <c r="D557" s="17"/>
      <c r="E557" s="14"/>
      <c r="F557" s="18"/>
      <c r="G557" s="12" t="str">
        <f>IFERROR(VLOOKUP(D557,Data!$A:$B,2,0),"Revisar")</f>
        <v>Revisar</v>
      </c>
      <c r="H557" s="20"/>
      <c r="I557" s="157">
        <f t="array" ref="I557">_xlfn.XLOOKUP($H557,Data!$E:$E,Data!$F:$F,"Revisar",0)</f>
        <v>0</v>
      </c>
      <c r="J557" s="157">
        <f t="array" ref="J557">_xlfn.XLOOKUP($H557,Data!$E:$E,Data!$G:$G,"Revisar",0)</f>
        <v>0</v>
      </c>
      <c r="K557" s="20"/>
      <c r="L557" s="18"/>
      <c r="M557" s="20"/>
      <c r="N557" s="14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ht="15" customHeight="1" x14ac:dyDescent="0.3">
      <c r="A558" s="13"/>
      <c r="B558" s="14"/>
      <c r="C558" s="15"/>
      <c r="D558" s="17"/>
      <c r="E558" s="14"/>
      <c r="F558" s="18"/>
      <c r="G558" s="12" t="str">
        <f>IFERROR(VLOOKUP(D558,Data!$A:$B,2,0),"Revisar")</f>
        <v>Revisar</v>
      </c>
      <c r="H558" s="20"/>
      <c r="I558" s="157">
        <f t="array" ref="I558">_xlfn.XLOOKUP($H558,Data!$E:$E,Data!$F:$F,"Revisar",0)</f>
        <v>0</v>
      </c>
      <c r="J558" s="157">
        <f t="array" ref="J558">_xlfn.XLOOKUP($H558,Data!$E:$E,Data!$G:$G,"Revisar",0)</f>
        <v>0</v>
      </c>
      <c r="K558" s="20"/>
      <c r="L558" s="18"/>
      <c r="M558" s="20"/>
      <c r="N558" s="14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ht="15" customHeight="1" x14ac:dyDescent="0.3">
      <c r="A559" s="13"/>
      <c r="B559" s="14"/>
      <c r="C559" s="15"/>
      <c r="D559" s="17"/>
      <c r="E559" s="14"/>
      <c r="F559" s="18"/>
      <c r="G559" s="12" t="str">
        <f>IFERROR(VLOOKUP(D559,Data!$A:$B,2,0),"Revisar")</f>
        <v>Revisar</v>
      </c>
      <c r="H559" s="20"/>
      <c r="I559" s="157">
        <f t="array" ref="I559">_xlfn.XLOOKUP($H559,Data!$E:$E,Data!$F:$F,"Revisar",0)</f>
        <v>0</v>
      </c>
      <c r="J559" s="157">
        <f t="array" ref="J559">_xlfn.XLOOKUP($H559,Data!$E:$E,Data!$G:$G,"Revisar",0)</f>
        <v>0</v>
      </c>
      <c r="K559" s="20"/>
      <c r="L559" s="18"/>
      <c r="M559" s="20"/>
      <c r="N559" s="14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ht="15" customHeight="1" x14ac:dyDescent="0.3">
      <c r="A560" s="13"/>
      <c r="B560" s="14"/>
      <c r="C560" s="15"/>
      <c r="D560" s="17"/>
      <c r="E560" s="14"/>
      <c r="F560" s="18"/>
      <c r="G560" s="12" t="str">
        <f>IFERROR(VLOOKUP(D560,Data!$A:$B,2,0),"Revisar")</f>
        <v>Revisar</v>
      </c>
      <c r="H560" s="20"/>
      <c r="I560" s="157">
        <f t="array" ref="I560">_xlfn.XLOOKUP($H560,Data!$E:$E,Data!$F:$F,"Revisar",0)</f>
        <v>0</v>
      </c>
      <c r="J560" s="157">
        <f t="array" ref="J560">_xlfn.XLOOKUP($H560,Data!$E:$E,Data!$G:$G,"Revisar",0)</f>
        <v>0</v>
      </c>
      <c r="K560" s="20"/>
      <c r="L560" s="18"/>
      <c r="M560" s="20"/>
      <c r="N560" s="14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ht="15" customHeight="1" x14ac:dyDescent="0.3">
      <c r="A561" s="13"/>
      <c r="B561" s="14"/>
      <c r="C561" s="15"/>
      <c r="D561" s="17"/>
      <c r="E561" s="14"/>
      <c r="F561" s="18"/>
      <c r="G561" s="12" t="str">
        <f>IFERROR(VLOOKUP(D561,Data!$A:$B,2,0),"Revisar")</f>
        <v>Revisar</v>
      </c>
      <c r="H561" s="20"/>
      <c r="I561" s="157">
        <f t="array" ref="I561">_xlfn.XLOOKUP($H561,Data!$E:$E,Data!$F:$F,"Revisar",0)</f>
        <v>0</v>
      </c>
      <c r="J561" s="157">
        <f t="array" ref="J561">_xlfn.XLOOKUP($H561,Data!$E:$E,Data!$G:$G,"Revisar",0)</f>
        <v>0</v>
      </c>
      <c r="K561" s="20"/>
      <c r="L561" s="18"/>
      <c r="M561" s="20"/>
      <c r="N561" s="14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ht="15" customHeight="1" x14ac:dyDescent="0.3">
      <c r="A562" s="13"/>
      <c r="B562" s="14"/>
      <c r="C562" s="15"/>
      <c r="D562" s="17"/>
      <c r="E562" s="14"/>
      <c r="F562" s="18"/>
      <c r="G562" s="12" t="str">
        <f>IFERROR(VLOOKUP(D562,Data!$A:$B,2,0),"Revisar")</f>
        <v>Revisar</v>
      </c>
      <c r="H562" s="20"/>
      <c r="I562" s="157">
        <f t="array" ref="I562">_xlfn.XLOOKUP($H562,Data!$E:$E,Data!$F:$F,"Revisar",0)</f>
        <v>0</v>
      </c>
      <c r="J562" s="157">
        <f t="array" ref="J562">_xlfn.XLOOKUP($H562,Data!$E:$E,Data!$G:$G,"Revisar",0)</f>
        <v>0</v>
      </c>
      <c r="K562" s="20"/>
      <c r="L562" s="18"/>
      <c r="M562" s="20"/>
      <c r="N562" s="14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ht="15" customHeight="1" x14ac:dyDescent="0.3">
      <c r="A563" s="13"/>
      <c r="B563" s="14"/>
      <c r="C563" s="15"/>
      <c r="D563" s="17"/>
      <c r="E563" s="14"/>
      <c r="F563" s="18"/>
      <c r="G563" s="12" t="str">
        <f>IFERROR(VLOOKUP(D563,Data!$A:$B,2,0),"Revisar")</f>
        <v>Revisar</v>
      </c>
      <c r="H563" s="20"/>
      <c r="I563" s="157">
        <f t="array" ref="I563">_xlfn.XLOOKUP($H563,Data!$E:$E,Data!$F:$F,"Revisar",0)</f>
        <v>0</v>
      </c>
      <c r="J563" s="157">
        <f t="array" ref="J563">_xlfn.XLOOKUP($H563,Data!$E:$E,Data!$G:$G,"Revisar",0)</f>
        <v>0</v>
      </c>
      <c r="K563" s="20"/>
      <c r="L563" s="18"/>
      <c r="M563" s="20"/>
      <c r="N563" s="14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ht="15" customHeight="1" x14ac:dyDescent="0.3">
      <c r="A564" s="13"/>
      <c r="B564" s="14"/>
      <c r="C564" s="15"/>
      <c r="D564" s="17"/>
      <c r="E564" s="14"/>
      <c r="F564" s="18"/>
      <c r="G564" s="12" t="str">
        <f>IFERROR(VLOOKUP(D564,Data!$A:$B,2,0),"Revisar")</f>
        <v>Revisar</v>
      </c>
      <c r="H564" s="20"/>
      <c r="I564" s="157">
        <f t="array" ref="I564">_xlfn.XLOOKUP($H564,Data!$E:$E,Data!$F:$F,"Revisar",0)</f>
        <v>0</v>
      </c>
      <c r="J564" s="157">
        <f t="array" ref="J564">_xlfn.XLOOKUP($H564,Data!$E:$E,Data!$G:$G,"Revisar",0)</f>
        <v>0</v>
      </c>
      <c r="K564" s="20"/>
      <c r="L564" s="18"/>
      <c r="M564" s="20"/>
      <c r="N564" s="14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ht="15" customHeight="1" x14ac:dyDescent="0.3">
      <c r="A565" s="13"/>
      <c r="B565" s="14"/>
      <c r="C565" s="15"/>
      <c r="D565" s="17"/>
      <c r="E565" s="14"/>
      <c r="F565" s="18"/>
      <c r="G565" s="12" t="str">
        <f>IFERROR(VLOOKUP(D565,Data!$A:$B,2,0),"Revisar")</f>
        <v>Revisar</v>
      </c>
      <c r="H565" s="20"/>
      <c r="I565" s="157">
        <f t="array" ref="I565">_xlfn.XLOOKUP($H565,Data!$E:$E,Data!$F:$F,"Revisar",0)</f>
        <v>0</v>
      </c>
      <c r="J565" s="157">
        <f t="array" ref="J565">_xlfn.XLOOKUP($H565,Data!$E:$E,Data!$G:$G,"Revisar",0)</f>
        <v>0</v>
      </c>
      <c r="K565" s="20"/>
      <c r="L565" s="18"/>
      <c r="M565" s="20"/>
      <c r="N565" s="14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ht="15" customHeight="1" x14ac:dyDescent="0.3">
      <c r="A566" s="13"/>
      <c r="B566" s="14"/>
      <c r="C566" s="15"/>
      <c r="D566" s="17"/>
      <c r="E566" s="14"/>
      <c r="F566" s="18"/>
      <c r="G566" s="12" t="str">
        <f>IFERROR(VLOOKUP(D566,Data!$A:$B,2,0),"Revisar")</f>
        <v>Revisar</v>
      </c>
      <c r="H566" s="20"/>
      <c r="I566" s="157">
        <f t="array" ref="I566">_xlfn.XLOOKUP($H566,Data!$E:$E,Data!$F:$F,"Revisar",0)</f>
        <v>0</v>
      </c>
      <c r="J566" s="157">
        <f t="array" ref="J566">_xlfn.XLOOKUP($H566,Data!$E:$E,Data!$G:$G,"Revisar",0)</f>
        <v>0</v>
      </c>
      <c r="K566" s="20"/>
      <c r="L566" s="18"/>
      <c r="M566" s="20"/>
      <c r="N566" s="14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ht="15" customHeight="1" x14ac:dyDescent="0.3">
      <c r="A567" s="13"/>
      <c r="B567" s="14"/>
      <c r="C567" s="15"/>
      <c r="D567" s="17"/>
      <c r="E567" s="14"/>
      <c r="F567" s="18"/>
      <c r="G567" s="12" t="str">
        <f>IFERROR(VLOOKUP(D567,Data!$A:$B,2,0),"Revisar")</f>
        <v>Revisar</v>
      </c>
      <c r="H567" s="20"/>
      <c r="I567" s="157">
        <f t="array" ref="I567">_xlfn.XLOOKUP($H567,Data!$E:$E,Data!$F:$F,"Revisar",0)</f>
        <v>0</v>
      </c>
      <c r="J567" s="157">
        <f t="array" ref="J567">_xlfn.XLOOKUP($H567,Data!$E:$E,Data!$G:$G,"Revisar",0)</f>
        <v>0</v>
      </c>
      <c r="K567" s="20"/>
      <c r="L567" s="18"/>
      <c r="M567" s="20"/>
      <c r="N567" s="14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ht="15" customHeight="1" x14ac:dyDescent="0.3">
      <c r="A568" s="13"/>
      <c r="B568" s="14"/>
      <c r="C568" s="15"/>
      <c r="D568" s="17"/>
      <c r="E568" s="14"/>
      <c r="F568" s="18"/>
      <c r="G568" s="12" t="str">
        <f>IFERROR(VLOOKUP(D568,Data!$A:$B,2,0),"Revisar")</f>
        <v>Revisar</v>
      </c>
      <c r="H568" s="20"/>
      <c r="I568" s="157">
        <f t="array" ref="I568">_xlfn.XLOOKUP($H568,Data!$E:$E,Data!$F:$F,"Revisar",0)</f>
        <v>0</v>
      </c>
      <c r="J568" s="157">
        <f t="array" ref="J568">_xlfn.XLOOKUP($H568,Data!$E:$E,Data!$G:$G,"Revisar",0)</f>
        <v>0</v>
      </c>
      <c r="K568" s="20"/>
      <c r="L568" s="18"/>
      <c r="M568" s="20"/>
      <c r="N568" s="14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ht="15" customHeight="1" x14ac:dyDescent="0.3">
      <c r="A569" s="13"/>
      <c r="B569" s="14"/>
      <c r="C569" s="15"/>
      <c r="D569" s="17"/>
      <c r="E569" s="14"/>
      <c r="F569" s="18"/>
      <c r="G569" s="12" t="str">
        <f>IFERROR(VLOOKUP(D569,Data!$A:$B,2,0),"Revisar")</f>
        <v>Revisar</v>
      </c>
      <c r="H569" s="20"/>
      <c r="I569" s="157">
        <f t="array" ref="I569">_xlfn.XLOOKUP($H569,Data!$E:$E,Data!$F:$F,"Revisar",0)</f>
        <v>0</v>
      </c>
      <c r="J569" s="157">
        <f t="array" ref="J569">_xlfn.XLOOKUP($H569,Data!$E:$E,Data!$G:$G,"Revisar",0)</f>
        <v>0</v>
      </c>
      <c r="K569" s="20"/>
      <c r="L569" s="18"/>
      <c r="M569" s="20"/>
      <c r="N569" s="14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ht="15" customHeight="1" x14ac:dyDescent="0.3">
      <c r="A570" s="13"/>
      <c r="B570" s="14"/>
      <c r="C570" s="15"/>
      <c r="D570" s="17"/>
      <c r="E570" s="14"/>
      <c r="F570" s="18"/>
      <c r="G570" s="12" t="str">
        <f>IFERROR(VLOOKUP(D570,Data!$A:$B,2,0),"Revisar")</f>
        <v>Revisar</v>
      </c>
      <c r="H570" s="20"/>
      <c r="I570" s="157">
        <f t="array" ref="I570">_xlfn.XLOOKUP($H570,Data!$E:$E,Data!$F:$F,"Revisar",0)</f>
        <v>0</v>
      </c>
      <c r="J570" s="157">
        <f t="array" ref="J570">_xlfn.XLOOKUP($H570,Data!$E:$E,Data!$G:$G,"Revisar",0)</f>
        <v>0</v>
      </c>
      <c r="K570" s="20"/>
      <c r="L570" s="18"/>
      <c r="M570" s="20"/>
      <c r="N570" s="14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ht="15" customHeight="1" x14ac:dyDescent="0.3">
      <c r="A571" s="13"/>
      <c r="B571" s="14"/>
      <c r="C571" s="15"/>
      <c r="D571" s="17"/>
      <c r="E571" s="14"/>
      <c r="F571" s="18"/>
      <c r="G571" s="12" t="str">
        <f>IFERROR(VLOOKUP(D571,Data!$A:$B,2,0),"Revisar")</f>
        <v>Revisar</v>
      </c>
      <c r="H571" s="20"/>
      <c r="I571" s="157">
        <f t="array" ref="I571">_xlfn.XLOOKUP($H571,Data!$E:$E,Data!$F:$F,"Revisar",0)</f>
        <v>0</v>
      </c>
      <c r="J571" s="157">
        <f t="array" ref="J571">_xlfn.XLOOKUP($H571,Data!$E:$E,Data!$G:$G,"Revisar",0)</f>
        <v>0</v>
      </c>
      <c r="K571" s="20"/>
      <c r="L571" s="18"/>
      <c r="M571" s="20"/>
      <c r="N571" s="14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ht="15" customHeight="1" x14ac:dyDescent="0.3">
      <c r="A572" s="13"/>
      <c r="B572" s="14"/>
      <c r="C572" s="15"/>
      <c r="D572" s="17"/>
      <c r="E572" s="14"/>
      <c r="F572" s="18"/>
      <c r="G572" s="12" t="str">
        <f>IFERROR(VLOOKUP(D572,Data!$A:$B,2,0),"Revisar")</f>
        <v>Revisar</v>
      </c>
      <c r="H572" s="20"/>
      <c r="I572" s="157">
        <f t="array" ref="I572">_xlfn.XLOOKUP($H572,Data!$E:$E,Data!$F:$F,"Revisar",0)</f>
        <v>0</v>
      </c>
      <c r="J572" s="157">
        <f t="array" ref="J572">_xlfn.XLOOKUP($H572,Data!$E:$E,Data!$G:$G,"Revisar",0)</f>
        <v>0</v>
      </c>
      <c r="K572" s="20"/>
      <c r="L572" s="18"/>
      <c r="M572" s="20"/>
      <c r="N572" s="14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ht="15" customHeight="1" x14ac:dyDescent="0.3">
      <c r="A573" s="13"/>
      <c r="B573" s="14"/>
      <c r="C573" s="15"/>
      <c r="D573" s="17"/>
      <c r="E573" s="14"/>
      <c r="F573" s="18"/>
      <c r="G573" s="12" t="str">
        <f>IFERROR(VLOOKUP(D573,Data!$A:$B,2,0),"Revisar")</f>
        <v>Revisar</v>
      </c>
      <c r="H573" s="20"/>
      <c r="I573" s="157">
        <f t="array" ref="I573">_xlfn.XLOOKUP($H573,Data!$E:$E,Data!$F:$F,"Revisar",0)</f>
        <v>0</v>
      </c>
      <c r="J573" s="157">
        <f t="array" ref="J573">_xlfn.XLOOKUP($H573,Data!$E:$E,Data!$G:$G,"Revisar",0)</f>
        <v>0</v>
      </c>
      <c r="K573" s="20"/>
      <c r="L573" s="18"/>
      <c r="M573" s="20"/>
      <c r="N573" s="14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ht="15" customHeight="1" x14ac:dyDescent="0.3">
      <c r="A574" s="13"/>
      <c r="B574" s="14"/>
      <c r="C574" s="15"/>
      <c r="D574" s="17"/>
      <c r="E574" s="14"/>
      <c r="F574" s="18"/>
      <c r="G574" s="12" t="str">
        <f>IFERROR(VLOOKUP(D574,Data!$A:$B,2,0),"Revisar")</f>
        <v>Revisar</v>
      </c>
      <c r="H574" s="20"/>
      <c r="I574" s="157">
        <f t="array" ref="I574">_xlfn.XLOOKUP($H574,Data!$E:$E,Data!$F:$F,"Revisar",0)</f>
        <v>0</v>
      </c>
      <c r="J574" s="157">
        <f t="array" ref="J574">_xlfn.XLOOKUP($H574,Data!$E:$E,Data!$G:$G,"Revisar",0)</f>
        <v>0</v>
      </c>
      <c r="K574" s="20"/>
      <c r="L574" s="18"/>
      <c r="M574" s="20"/>
      <c r="N574" s="14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ht="15" customHeight="1" x14ac:dyDescent="0.3">
      <c r="A575" s="13"/>
      <c r="B575" s="14"/>
      <c r="C575" s="15"/>
      <c r="D575" s="17"/>
      <c r="E575" s="14"/>
      <c r="F575" s="18"/>
      <c r="G575" s="12" t="str">
        <f>IFERROR(VLOOKUP(D575,Data!$A:$B,2,0),"Revisar")</f>
        <v>Revisar</v>
      </c>
      <c r="H575" s="20"/>
      <c r="I575" s="157">
        <f t="array" ref="I575">_xlfn.XLOOKUP($H575,Data!$E:$E,Data!$F:$F,"Revisar",0)</f>
        <v>0</v>
      </c>
      <c r="J575" s="157">
        <f t="array" ref="J575">_xlfn.XLOOKUP($H575,Data!$E:$E,Data!$G:$G,"Revisar",0)</f>
        <v>0</v>
      </c>
      <c r="K575" s="20"/>
      <c r="L575" s="18"/>
      <c r="M575" s="20"/>
      <c r="N575" s="14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ht="15" customHeight="1" x14ac:dyDescent="0.3">
      <c r="A576" s="13"/>
      <c r="B576" s="14"/>
      <c r="C576" s="15"/>
      <c r="D576" s="17"/>
      <c r="E576" s="14"/>
      <c r="F576" s="18"/>
      <c r="G576" s="12" t="str">
        <f>IFERROR(VLOOKUP(D576,Data!$A:$B,2,0),"Revisar")</f>
        <v>Revisar</v>
      </c>
      <c r="H576" s="20"/>
      <c r="I576" s="157">
        <f t="array" ref="I576">_xlfn.XLOOKUP($H576,Data!$E:$E,Data!$F:$F,"Revisar",0)</f>
        <v>0</v>
      </c>
      <c r="J576" s="157">
        <f t="array" ref="J576">_xlfn.XLOOKUP($H576,Data!$E:$E,Data!$G:$G,"Revisar",0)</f>
        <v>0</v>
      </c>
      <c r="K576" s="20"/>
      <c r="L576" s="18"/>
      <c r="M576" s="20"/>
      <c r="N576" s="14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ht="15" customHeight="1" x14ac:dyDescent="0.3">
      <c r="A577" s="13"/>
      <c r="B577" s="14"/>
      <c r="C577" s="15"/>
      <c r="D577" s="17"/>
      <c r="E577" s="14"/>
      <c r="F577" s="18"/>
      <c r="G577" s="12" t="str">
        <f>IFERROR(VLOOKUP(D577,Data!$A:$B,2,0),"Revisar")</f>
        <v>Revisar</v>
      </c>
      <c r="H577" s="20"/>
      <c r="I577" s="157">
        <f t="array" ref="I577">_xlfn.XLOOKUP($H577,Data!$E:$E,Data!$F:$F,"Revisar",0)</f>
        <v>0</v>
      </c>
      <c r="J577" s="157">
        <f t="array" ref="J577">_xlfn.XLOOKUP($H577,Data!$E:$E,Data!$G:$G,"Revisar",0)</f>
        <v>0</v>
      </c>
      <c r="K577" s="20"/>
      <c r="L577" s="18"/>
      <c r="M577" s="20"/>
      <c r="N577" s="14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ht="15" customHeight="1" x14ac:dyDescent="0.3">
      <c r="A578" s="13"/>
      <c r="B578" s="14"/>
      <c r="C578" s="15"/>
      <c r="D578" s="17"/>
      <c r="E578" s="14"/>
      <c r="F578" s="18"/>
      <c r="G578" s="12" t="str">
        <f>IFERROR(VLOOKUP(D578,Data!$A:$B,2,0),"Revisar")</f>
        <v>Revisar</v>
      </c>
      <c r="H578" s="20"/>
      <c r="I578" s="157">
        <f t="array" ref="I578">_xlfn.XLOOKUP($H578,Data!$E:$E,Data!$F:$F,"Revisar",0)</f>
        <v>0</v>
      </c>
      <c r="J578" s="157">
        <f t="array" ref="J578">_xlfn.XLOOKUP($H578,Data!$E:$E,Data!$G:$G,"Revisar",0)</f>
        <v>0</v>
      </c>
      <c r="K578" s="20"/>
      <c r="L578" s="18"/>
      <c r="M578" s="20"/>
      <c r="N578" s="14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 ht="15" customHeight="1" x14ac:dyDescent="0.3">
      <c r="A579" s="13"/>
      <c r="B579" s="14"/>
      <c r="C579" s="15"/>
      <c r="D579" s="17"/>
      <c r="E579" s="14"/>
      <c r="F579" s="18"/>
      <c r="G579" s="12" t="str">
        <f>IFERROR(VLOOKUP(D579,Data!$A:$B,2,0),"Revisar")</f>
        <v>Revisar</v>
      </c>
      <c r="H579" s="20"/>
      <c r="I579" s="157">
        <f t="array" ref="I579">_xlfn.XLOOKUP($H579,Data!$E:$E,Data!$F:$F,"Revisar",0)</f>
        <v>0</v>
      </c>
      <c r="J579" s="157">
        <f t="array" ref="J579">_xlfn.XLOOKUP($H579,Data!$E:$E,Data!$G:$G,"Revisar",0)</f>
        <v>0</v>
      </c>
      <c r="K579" s="20"/>
      <c r="L579" s="18"/>
      <c r="M579" s="20"/>
      <c r="N579" s="14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ht="15" customHeight="1" x14ac:dyDescent="0.3">
      <c r="A580" s="13"/>
      <c r="B580" s="14"/>
      <c r="C580" s="15"/>
      <c r="D580" s="17"/>
      <c r="E580" s="14"/>
      <c r="F580" s="18"/>
      <c r="G580" s="12" t="str">
        <f>IFERROR(VLOOKUP(D580,Data!$A:$B,2,0),"Revisar")</f>
        <v>Revisar</v>
      </c>
      <c r="H580" s="20"/>
      <c r="I580" s="157">
        <f t="array" ref="I580">_xlfn.XLOOKUP($H580,Data!$E:$E,Data!$F:$F,"Revisar",0)</f>
        <v>0</v>
      </c>
      <c r="J580" s="157">
        <f t="array" ref="J580">_xlfn.XLOOKUP($H580,Data!$E:$E,Data!$G:$G,"Revisar",0)</f>
        <v>0</v>
      </c>
      <c r="K580" s="20"/>
      <c r="L580" s="18"/>
      <c r="M580" s="20"/>
      <c r="N580" s="14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ht="15" customHeight="1" x14ac:dyDescent="0.3">
      <c r="A581" s="13"/>
      <c r="B581" s="14"/>
      <c r="C581" s="15"/>
      <c r="D581" s="17"/>
      <c r="E581" s="14"/>
      <c r="F581" s="18"/>
      <c r="G581" s="12" t="str">
        <f>IFERROR(VLOOKUP(D581,Data!$A:$B,2,0),"Revisar")</f>
        <v>Revisar</v>
      </c>
      <c r="H581" s="20"/>
      <c r="I581" s="157">
        <f t="array" ref="I581">_xlfn.XLOOKUP($H581,Data!$E:$E,Data!$F:$F,"Revisar",0)</f>
        <v>0</v>
      </c>
      <c r="J581" s="157">
        <f t="array" ref="J581">_xlfn.XLOOKUP($H581,Data!$E:$E,Data!$G:$G,"Revisar",0)</f>
        <v>0</v>
      </c>
      <c r="K581" s="20"/>
      <c r="L581" s="18"/>
      <c r="M581" s="20"/>
      <c r="N581" s="14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ht="15" customHeight="1" x14ac:dyDescent="0.3">
      <c r="A582" s="13"/>
      <c r="B582" s="14"/>
      <c r="C582" s="15"/>
      <c r="D582" s="17"/>
      <c r="E582" s="14"/>
      <c r="F582" s="18"/>
      <c r="G582" s="12" t="str">
        <f>IFERROR(VLOOKUP(D582,Data!$A:$B,2,0),"Revisar")</f>
        <v>Revisar</v>
      </c>
      <c r="H582" s="20"/>
      <c r="I582" s="157">
        <f t="array" ref="I582">_xlfn.XLOOKUP($H582,Data!$E:$E,Data!$F:$F,"Revisar",0)</f>
        <v>0</v>
      </c>
      <c r="J582" s="157">
        <f t="array" ref="J582">_xlfn.XLOOKUP($H582,Data!$E:$E,Data!$G:$G,"Revisar",0)</f>
        <v>0</v>
      </c>
      <c r="K582" s="20"/>
      <c r="L582" s="18"/>
      <c r="M582" s="20"/>
      <c r="N582" s="14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ht="15" customHeight="1" x14ac:dyDescent="0.3">
      <c r="A583" s="13"/>
      <c r="B583" s="14"/>
      <c r="C583" s="15"/>
      <c r="D583" s="17"/>
      <c r="E583" s="14"/>
      <c r="F583" s="18"/>
      <c r="G583" s="12" t="str">
        <f>IFERROR(VLOOKUP(D583,Data!$A:$B,2,0),"Revisar")</f>
        <v>Revisar</v>
      </c>
      <c r="H583" s="20"/>
      <c r="I583" s="157">
        <f t="array" ref="I583">_xlfn.XLOOKUP($H583,Data!$E:$E,Data!$F:$F,"Revisar",0)</f>
        <v>0</v>
      </c>
      <c r="J583" s="157">
        <f t="array" ref="J583">_xlfn.XLOOKUP($H583,Data!$E:$E,Data!$G:$G,"Revisar",0)</f>
        <v>0</v>
      </c>
      <c r="K583" s="20"/>
      <c r="L583" s="18"/>
      <c r="M583" s="20"/>
      <c r="N583" s="14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ht="15" customHeight="1" x14ac:dyDescent="0.3">
      <c r="A584" s="13"/>
      <c r="B584" s="14"/>
      <c r="C584" s="15"/>
      <c r="D584" s="17"/>
      <c r="E584" s="14"/>
      <c r="F584" s="18"/>
      <c r="G584" s="12" t="str">
        <f>IFERROR(VLOOKUP(D584,Data!$A:$B,2,0),"Revisar")</f>
        <v>Revisar</v>
      </c>
      <c r="H584" s="20"/>
      <c r="I584" s="157">
        <f t="array" ref="I584">_xlfn.XLOOKUP($H584,Data!$E:$E,Data!$F:$F,"Revisar",0)</f>
        <v>0</v>
      </c>
      <c r="J584" s="157">
        <f t="array" ref="J584">_xlfn.XLOOKUP($H584,Data!$E:$E,Data!$G:$G,"Revisar",0)</f>
        <v>0</v>
      </c>
      <c r="K584" s="20"/>
      <c r="L584" s="18"/>
      <c r="M584" s="20"/>
      <c r="N584" s="14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ht="15" customHeight="1" x14ac:dyDescent="0.3">
      <c r="A585" s="13"/>
      <c r="B585" s="14"/>
      <c r="C585" s="15"/>
      <c r="D585" s="17"/>
      <c r="E585" s="14"/>
      <c r="F585" s="18"/>
      <c r="G585" s="12" t="str">
        <f>IFERROR(VLOOKUP(D585,Data!$A:$B,2,0),"Revisar")</f>
        <v>Revisar</v>
      </c>
      <c r="H585" s="20"/>
      <c r="I585" s="157">
        <f t="array" ref="I585">_xlfn.XLOOKUP($H585,Data!$E:$E,Data!$F:$F,"Revisar",0)</f>
        <v>0</v>
      </c>
      <c r="J585" s="157">
        <f t="array" ref="J585">_xlfn.XLOOKUP($H585,Data!$E:$E,Data!$G:$G,"Revisar",0)</f>
        <v>0</v>
      </c>
      <c r="K585" s="20"/>
      <c r="L585" s="18"/>
      <c r="M585" s="20"/>
      <c r="N585" s="14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ht="15" customHeight="1" x14ac:dyDescent="0.3">
      <c r="A586" s="13"/>
      <c r="B586" s="14"/>
      <c r="C586" s="15"/>
      <c r="D586" s="17"/>
      <c r="E586" s="14"/>
      <c r="F586" s="18"/>
      <c r="G586" s="12" t="str">
        <f>IFERROR(VLOOKUP(D586,Data!$A:$B,2,0),"Revisar")</f>
        <v>Revisar</v>
      </c>
      <c r="H586" s="20"/>
      <c r="I586" s="157">
        <f t="array" ref="I586">_xlfn.XLOOKUP($H586,Data!$E:$E,Data!$F:$F,"Revisar",0)</f>
        <v>0</v>
      </c>
      <c r="J586" s="157">
        <f t="array" ref="J586">_xlfn.XLOOKUP($H586,Data!$E:$E,Data!$G:$G,"Revisar",0)</f>
        <v>0</v>
      </c>
      <c r="K586" s="20"/>
      <c r="L586" s="18"/>
      <c r="M586" s="20"/>
      <c r="N586" s="14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ht="15" customHeight="1" x14ac:dyDescent="0.3">
      <c r="A587" s="13"/>
      <c r="B587" s="14"/>
      <c r="C587" s="15"/>
      <c r="D587" s="17"/>
      <c r="E587" s="14"/>
      <c r="F587" s="18"/>
      <c r="G587" s="12" t="str">
        <f>IFERROR(VLOOKUP(D587,Data!$A:$B,2,0),"Revisar")</f>
        <v>Revisar</v>
      </c>
      <c r="H587" s="20"/>
      <c r="I587" s="157">
        <f t="array" ref="I587">_xlfn.XLOOKUP($H587,Data!$E:$E,Data!$F:$F,"Revisar",0)</f>
        <v>0</v>
      </c>
      <c r="J587" s="157">
        <f t="array" ref="J587">_xlfn.XLOOKUP($H587,Data!$E:$E,Data!$G:$G,"Revisar",0)</f>
        <v>0</v>
      </c>
      <c r="K587" s="20"/>
      <c r="L587" s="18"/>
      <c r="M587" s="20"/>
      <c r="N587" s="14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ht="15" customHeight="1" x14ac:dyDescent="0.3">
      <c r="A588" s="13"/>
      <c r="B588" s="14"/>
      <c r="C588" s="15"/>
      <c r="D588" s="17"/>
      <c r="E588" s="14"/>
      <c r="F588" s="18"/>
      <c r="G588" s="12" t="str">
        <f>IFERROR(VLOOKUP(D588,Data!$A:$B,2,0),"Revisar")</f>
        <v>Revisar</v>
      </c>
      <c r="H588" s="20"/>
      <c r="I588" s="157">
        <f t="array" ref="I588">_xlfn.XLOOKUP($H588,Data!$E:$E,Data!$F:$F,"Revisar",0)</f>
        <v>0</v>
      </c>
      <c r="J588" s="157">
        <f t="array" ref="J588">_xlfn.XLOOKUP($H588,Data!$E:$E,Data!$G:$G,"Revisar",0)</f>
        <v>0</v>
      </c>
      <c r="K588" s="20"/>
      <c r="L588" s="18"/>
      <c r="M588" s="20"/>
      <c r="N588" s="14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 ht="15" customHeight="1" x14ac:dyDescent="0.3">
      <c r="A589" s="13"/>
      <c r="B589" s="14"/>
      <c r="C589" s="15"/>
      <c r="D589" s="17"/>
      <c r="E589" s="14"/>
      <c r="F589" s="18"/>
      <c r="G589" s="12" t="str">
        <f>IFERROR(VLOOKUP(D589,Data!$A:$B,2,0),"Revisar")</f>
        <v>Revisar</v>
      </c>
      <c r="H589" s="20"/>
      <c r="I589" s="157">
        <f t="array" ref="I589">_xlfn.XLOOKUP($H589,Data!$E:$E,Data!$F:$F,"Revisar",0)</f>
        <v>0</v>
      </c>
      <c r="J589" s="157">
        <f t="array" ref="J589">_xlfn.XLOOKUP($H589,Data!$E:$E,Data!$G:$G,"Revisar",0)</f>
        <v>0</v>
      </c>
      <c r="K589" s="20"/>
      <c r="L589" s="18"/>
      <c r="M589" s="20"/>
      <c r="N589" s="14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ht="15" customHeight="1" x14ac:dyDescent="0.3">
      <c r="A590" s="13"/>
      <c r="B590" s="14"/>
      <c r="C590" s="15"/>
      <c r="D590" s="17"/>
      <c r="E590" s="14"/>
      <c r="F590" s="18"/>
      <c r="G590" s="12" t="str">
        <f>IFERROR(VLOOKUP(D590,Data!$A:$B,2,0),"Revisar")</f>
        <v>Revisar</v>
      </c>
      <c r="H590" s="20"/>
      <c r="I590" s="157">
        <f t="array" ref="I590">_xlfn.XLOOKUP($H590,Data!$E:$E,Data!$F:$F,"Revisar",0)</f>
        <v>0</v>
      </c>
      <c r="J590" s="157">
        <f t="array" ref="J590">_xlfn.XLOOKUP($H590,Data!$E:$E,Data!$G:$G,"Revisar",0)</f>
        <v>0</v>
      </c>
      <c r="K590" s="20"/>
      <c r="L590" s="18"/>
      <c r="M590" s="20"/>
      <c r="N590" s="14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ht="15" customHeight="1" x14ac:dyDescent="0.3">
      <c r="A591" s="13"/>
      <c r="B591" s="14"/>
      <c r="C591" s="15"/>
      <c r="D591" s="17"/>
      <c r="E591" s="14"/>
      <c r="F591" s="18"/>
      <c r="G591" s="12" t="str">
        <f>IFERROR(VLOOKUP(D591,Data!$A:$B,2,0),"Revisar")</f>
        <v>Revisar</v>
      </c>
      <c r="H591" s="20"/>
      <c r="I591" s="157">
        <f t="array" ref="I591">_xlfn.XLOOKUP($H591,Data!$E:$E,Data!$F:$F,"Revisar",0)</f>
        <v>0</v>
      </c>
      <c r="J591" s="157">
        <f t="array" ref="J591">_xlfn.XLOOKUP($H591,Data!$E:$E,Data!$G:$G,"Revisar",0)</f>
        <v>0</v>
      </c>
      <c r="K591" s="20"/>
      <c r="L591" s="18"/>
      <c r="M591" s="20"/>
      <c r="N591" s="14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 ht="15" customHeight="1" x14ac:dyDescent="0.3">
      <c r="A592" s="13"/>
      <c r="B592" s="14"/>
      <c r="C592" s="15"/>
      <c r="D592" s="17"/>
      <c r="E592" s="14"/>
      <c r="F592" s="18"/>
      <c r="G592" s="12" t="str">
        <f>IFERROR(VLOOKUP(D592,Data!$A:$B,2,0),"Revisar")</f>
        <v>Revisar</v>
      </c>
      <c r="H592" s="20"/>
      <c r="I592" s="157">
        <f t="array" ref="I592">_xlfn.XLOOKUP($H592,Data!$E:$E,Data!$F:$F,"Revisar",0)</f>
        <v>0</v>
      </c>
      <c r="J592" s="157">
        <f t="array" ref="J592">_xlfn.XLOOKUP($H592,Data!$E:$E,Data!$G:$G,"Revisar",0)</f>
        <v>0</v>
      </c>
      <c r="K592" s="20"/>
      <c r="L592" s="18"/>
      <c r="M592" s="20"/>
      <c r="N592" s="14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 ht="15" customHeight="1" x14ac:dyDescent="0.3">
      <c r="A593" s="13"/>
      <c r="B593" s="14"/>
      <c r="C593" s="15"/>
      <c r="D593" s="17"/>
      <c r="E593" s="14"/>
      <c r="F593" s="18"/>
      <c r="G593" s="12" t="str">
        <f>IFERROR(VLOOKUP(D593,Data!$A:$B,2,0),"Revisar")</f>
        <v>Revisar</v>
      </c>
      <c r="H593" s="20"/>
      <c r="I593" s="157">
        <f t="array" ref="I593">_xlfn.XLOOKUP($H593,Data!$E:$E,Data!$F:$F,"Revisar",0)</f>
        <v>0</v>
      </c>
      <c r="J593" s="157">
        <f t="array" ref="J593">_xlfn.XLOOKUP($H593,Data!$E:$E,Data!$G:$G,"Revisar",0)</f>
        <v>0</v>
      </c>
      <c r="K593" s="20"/>
      <c r="L593" s="18"/>
      <c r="M593" s="20"/>
      <c r="N593" s="14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ht="15" customHeight="1" x14ac:dyDescent="0.3">
      <c r="A594" s="13"/>
      <c r="B594" s="14"/>
      <c r="C594" s="15"/>
      <c r="D594" s="17"/>
      <c r="E594" s="14"/>
      <c r="F594" s="18"/>
      <c r="G594" s="12" t="str">
        <f>IFERROR(VLOOKUP(D594,Data!$A:$B,2,0),"Revisar")</f>
        <v>Revisar</v>
      </c>
      <c r="H594" s="20"/>
      <c r="I594" s="157">
        <f t="array" ref="I594">_xlfn.XLOOKUP($H594,Data!$E:$E,Data!$F:$F,"Revisar",0)</f>
        <v>0</v>
      </c>
      <c r="J594" s="157">
        <f t="array" ref="J594">_xlfn.XLOOKUP($H594,Data!$E:$E,Data!$G:$G,"Revisar",0)</f>
        <v>0</v>
      </c>
      <c r="K594" s="20"/>
      <c r="L594" s="18"/>
      <c r="M594" s="20"/>
      <c r="N594" s="14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ht="15" customHeight="1" x14ac:dyDescent="0.3">
      <c r="A595" s="13"/>
      <c r="B595" s="14"/>
      <c r="C595" s="15"/>
      <c r="D595" s="17"/>
      <c r="E595" s="14"/>
      <c r="F595" s="18"/>
      <c r="G595" s="12" t="str">
        <f>IFERROR(VLOOKUP(D595,Data!$A:$B,2,0),"Revisar")</f>
        <v>Revisar</v>
      </c>
      <c r="H595" s="20"/>
      <c r="I595" s="157">
        <f t="array" ref="I595">_xlfn.XLOOKUP($H595,Data!$E:$E,Data!$F:$F,"Revisar",0)</f>
        <v>0</v>
      </c>
      <c r="J595" s="157">
        <f t="array" ref="J595">_xlfn.XLOOKUP($H595,Data!$E:$E,Data!$G:$G,"Revisar",0)</f>
        <v>0</v>
      </c>
      <c r="K595" s="20"/>
      <c r="L595" s="18"/>
      <c r="M595" s="20"/>
      <c r="N595" s="14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ht="15" customHeight="1" x14ac:dyDescent="0.3">
      <c r="A596" s="13"/>
      <c r="B596" s="14"/>
      <c r="C596" s="15"/>
      <c r="D596" s="17"/>
      <c r="E596" s="14"/>
      <c r="F596" s="18"/>
      <c r="G596" s="12" t="str">
        <f>IFERROR(VLOOKUP(D596,Data!$A:$B,2,0),"Revisar")</f>
        <v>Revisar</v>
      </c>
      <c r="H596" s="20"/>
      <c r="I596" s="157">
        <f t="array" ref="I596">_xlfn.XLOOKUP($H596,Data!$E:$E,Data!$F:$F,"Revisar",0)</f>
        <v>0</v>
      </c>
      <c r="J596" s="157">
        <f t="array" ref="J596">_xlfn.XLOOKUP($H596,Data!$E:$E,Data!$G:$G,"Revisar",0)</f>
        <v>0</v>
      </c>
      <c r="K596" s="20"/>
      <c r="L596" s="18"/>
      <c r="M596" s="20"/>
      <c r="N596" s="14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ht="15" customHeight="1" x14ac:dyDescent="0.3">
      <c r="A597" s="13"/>
      <c r="B597" s="14"/>
      <c r="C597" s="15"/>
      <c r="D597" s="17"/>
      <c r="E597" s="14"/>
      <c r="F597" s="18"/>
      <c r="G597" s="12" t="str">
        <f>IFERROR(VLOOKUP(D597,Data!$A:$B,2,0),"Revisar")</f>
        <v>Revisar</v>
      </c>
      <c r="H597" s="20"/>
      <c r="I597" s="157">
        <f t="array" ref="I597">_xlfn.XLOOKUP($H597,Data!$E:$E,Data!$F:$F,"Revisar",0)</f>
        <v>0</v>
      </c>
      <c r="J597" s="157">
        <f t="array" ref="J597">_xlfn.XLOOKUP($H597,Data!$E:$E,Data!$G:$G,"Revisar",0)</f>
        <v>0</v>
      </c>
      <c r="K597" s="20"/>
      <c r="L597" s="18"/>
      <c r="M597" s="20"/>
      <c r="N597" s="14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ht="15" customHeight="1" x14ac:dyDescent="0.3">
      <c r="A598" s="13"/>
      <c r="B598" s="14"/>
      <c r="C598" s="15"/>
      <c r="D598" s="17"/>
      <c r="E598" s="14"/>
      <c r="F598" s="18"/>
      <c r="G598" s="12" t="str">
        <f>IFERROR(VLOOKUP(D598,Data!$A:$B,2,0),"Revisar")</f>
        <v>Revisar</v>
      </c>
      <c r="H598" s="20"/>
      <c r="I598" s="157">
        <f t="array" ref="I598">_xlfn.XLOOKUP($H598,Data!$E:$E,Data!$F:$F,"Revisar",0)</f>
        <v>0</v>
      </c>
      <c r="J598" s="157">
        <f t="array" ref="J598">_xlfn.XLOOKUP($H598,Data!$E:$E,Data!$G:$G,"Revisar",0)</f>
        <v>0</v>
      </c>
      <c r="K598" s="20"/>
      <c r="L598" s="18"/>
      <c r="M598" s="20"/>
      <c r="N598" s="14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ht="15" customHeight="1" x14ac:dyDescent="0.3">
      <c r="A599" s="13"/>
      <c r="B599" s="14"/>
      <c r="C599" s="15"/>
      <c r="D599" s="17"/>
      <c r="E599" s="14"/>
      <c r="F599" s="18"/>
      <c r="G599" s="12" t="str">
        <f>IFERROR(VLOOKUP(D599,Data!$A:$B,2,0),"Revisar")</f>
        <v>Revisar</v>
      </c>
      <c r="H599" s="20"/>
      <c r="I599" s="157">
        <f t="array" ref="I599">_xlfn.XLOOKUP($H599,Data!$E:$E,Data!$F:$F,"Revisar",0)</f>
        <v>0</v>
      </c>
      <c r="J599" s="157">
        <f t="array" ref="J599">_xlfn.XLOOKUP($H599,Data!$E:$E,Data!$G:$G,"Revisar",0)</f>
        <v>0</v>
      </c>
      <c r="K599" s="20"/>
      <c r="L599" s="18"/>
      <c r="M599" s="20"/>
      <c r="N599" s="14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ht="15" customHeight="1" x14ac:dyDescent="0.3">
      <c r="A600" s="13"/>
      <c r="B600" s="14"/>
      <c r="C600" s="15"/>
      <c r="D600" s="17"/>
      <c r="E600" s="14"/>
      <c r="F600" s="18"/>
      <c r="G600" s="12" t="str">
        <f>IFERROR(VLOOKUP(D600,Data!$A:$B,2,0),"Revisar")</f>
        <v>Revisar</v>
      </c>
      <c r="H600" s="20"/>
      <c r="I600" s="157">
        <f t="array" ref="I600">_xlfn.XLOOKUP($H600,Data!$E:$E,Data!$F:$F,"Revisar",0)</f>
        <v>0</v>
      </c>
      <c r="J600" s="157">
        <f t="array" ref="J600">_xlfn.XLOOKUP($H600,Data!$E:$E,Data!$G:$G,"Revisar",0)</f>
        <v>0</v>
      </c>
      <c r="K600" s="20"/>
      <c r="L600" s="18"/>
      <c r="M600" s="20"/>
      <c r="N600" s="14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ht="15" customHeight="1" x14ac:dyDescent="0.3">
      <c r="A601" s="13"/>
      <c r="B601" s="14"/>
      <c r="C601" s="15"/>
      <c r="D601" s="17"/>
      <c r="E601" s="14"/>
      <c r="F601" s="18"/>
      <c r="G601" s="12" t="str">
        <f>IFERROR(VLOOKUP(D601,Data!$A:$B,2,0),"Revisar")</f>
        <v>Revisar</v>
      </c>
      <c r="H601" s="20"/>
      <c r="I601" s="157">
        <f t="array" ref="I601">_xlfn.XLOOKUP($H601,Data!$E:$E,Data!$F:$F,"Revisar",0)</f>
        <v>0</v>
      </c>
      <c r="J601" s="157">
        <f t="array" ref="J601">_xlfn.XLOOKUP($H601,Data!$E:$E,Data!$G:$G,"Revisar",0)</f>
        <v>0</v>
      </c>
      <c r="K601" s="20"/>
      <c r="L601" s="18"/>
      <c r="M601" s="20"/>
      <c r="N601" s="14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ht="15" customHeight="1" x14ac:dyDescent="0.3">
      <c r="A602" s="13"/>
      <c r="B602" s="14"/>
      <c r="C602" s="15"/>
      <c r="D602" s="17"/>
      <c r="E602" s="14"/>
      <c r="F602" s="18"/>
      <c r="G602" s="12" t="str">
        <f>IFERROR(VLOOKUP(D602,Data!$A:$B,2,0),"Revisar")</f>
        <v>Revisar</v>
      </c>
      <c r="H602" s="20"/>
      <c r="I602" s="157">
        <f t="array" ref="I602">_xlfn.XLOOKUP($H602,Data!$E:$E,Data!$F:$F,"Revisar",0)</f>
        <v>0</v>
      </c>
      <c r="J602" s="157">
        <f t="array" ref="J602">_xlfn.XLOOKUP($H602,Data!$E:$E,Data!$G:$G,"Revisar",0)</f>
        <v>0</v>
      </c>
      <c r="K602" s="20"/>
      <c r="L602" s="18"/>
      <c r="M602" s="20"/>
      <c r="N602" s="14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ht="15" customHeight="1" x14ac:dyDescent="0.3">
      <c r="A603" s="13"/>
      <c r="B603" s="14"/>
      <c r="C603" s="15"/>
      <c r="D603" s="17"/>
      <c r="E603" s="14"/>
      <c r="F603" s="18"/>
      <c r="G603" s="12" t="str">
        <f>IFERROR(VLOOKUP(D603,Data!$A:$B,2,0),"Revisar")</f>
        <v>Revisar</v>
      </c>
      <c r="H603" s="20"/>
      <c r="I603" s="157">
        <f t="array" ref="I603">_xlfn.XLOOKUP($H603,Data!$E:$E,Data!$F:$F,"Revisar",0)</f>
        <v>0</v>
      </c>
      <c r="J603" s="157">
        <f t="array" ref="J603">_xlfn.XLOOKUP($H603,Data!$E:$E,Data!$G:$G,"Revisar",0)</f>
        <v>0</v>
      </c>
      <c r="K603" s="20"/>
      <c r="L603" s="18"/>
      <c r="M603" s="20"/>
      <c r="N603" s="14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ht="15" customHeight="1" x14ac:dyDescent="0.3">
      <c r="A604" s="13"/>
      <c r="B604" s="14"/>
      <c r="C604" s="15"/>
      <c r="D604" s="17"/>
      <c r="E604" s="14"/>
      <c r="F604" s="18"/>
      <c r="G604" s="12" t="str">
        <f>IFERROR(VLOOKUP(D604,Data!$A:$B,2,0),"Revisar")</f>
        <v>Revisar</v>
      </c>
      <c r="H604" s="20"/>
      <c r="I604" s="157">
        <f t="array" ref="I604">_xlfn.XLOOKUP($H604,Data!$E:$E,Data!$F:$F,"Revisar",0)</f>
        <v>0</v>
      </c>
      <c r="J604" s="157">
        <f t="array" ref="J604">_xlfn.XLOOKUP($H604,Data!$E:$E,Data!$G:$G,"Revisar",0)</f>
        <v>0</v>
      </c>
      <c r="K604" s="20"/>
      <c r="L604" s="18"/>
      <c r="M604" s="20"/>
      <c r="N604" s="14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ht="15" customHeight="1" x14ac:dyDescent="0.3">
      <c r="A605" s="13"/>
      <c r="B605" s="14"/>
      <c r="C605" s="15"/>
      <c r="D605" s="17"/>
      <c r="E605" s="14"/>
      <c r="F605" s="18"/>
      <c r="G605" s="12" t="str">
        <f>IFERROR(VLOOKUP(D605,Data!$A:$B,2,0),"Revisar")</f>
        <v>Revisar</v>
      </c>
      <c r="H605" s="20"/>
      <c r="I605" s="157">
        <f t="array" ref="I605">_xlfn.XLOOKUP($H605,Data!$E:$E,Data!$F:$F,"Revisar",0)</f>
        <v>0</v>
      </c>
      <c r="J605" s="157">
        <f t="array" ref="J605">_xlfn.XLOOKUP($H605,Data!$E:$E,Data!$G:$G,"Revisar",0)</f>
        <v>0</v>
      </c>
      <c r="K605" s="20"/>
      <c r="L605" s="18"/>
      <c r="M605" s="20"/>
      <c r="N605" s="14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ht="15" customHeight="1" x14ac:dyDescent="0.3">
      <c r="A606" s="13"/>
      <c r="B606" s="14"/>
      <c r="C606" s="15"/>
      <c r="D606" s="17"/>
      <c r="E606" s="14"/>
      <c r="F606" s="18"/>
      <c r="G606" s="12" t="str">
        <f>IFERROR(VLOOKUP(D606,Data!$A:$B,2,0),"Revisar")</f>
        <v>Revisar</v>
      </c>
      <c r="H606" s="20"/>
      <c r="I606" s="157">
        <f t="array" ref="I606">_xlfn.XLOOKUP($H606,Data!$E:$E,Data!$F:$F,"Revisar",0)</f>
        <v>0</v>
      </c>
      <c r="J606" s="157">
        <f t="array" ref="J606">_xlfn.XLOOKUP($H606,Data!$E:$E,Data!$G:$G,"Revisar",0)</f>
        <v>0</v>
      </c>
      <c r="K606" s="20"/>
      <c r="L606" s="18"/>
      <c r="M606" s="20"/>
      <c r="N606" s="14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ht="15" customHeight="1" x14ac:dyDescent="0.3">
      <c r="A607" s="13"/>
      <c r="B607" s="14"/>
      <c r="C607" s="15"/>
      <c r="D607" s="17"/>
      <c r="E607" s="14"/>
      <c r="F607" s="18"/>
      <c r="G607" s="12" t="str">
        <f>IFERROR(VLOOKUP(D607,Data!$A:$B,2,0),"Revisar")</f>
        <v>Revisar</v>
      </c>
      <c r="H607" s="20"/>
      <c r="I607" s="157">
        <f t="array" ref="I607">_xlfn.XLOOKUP($H607,Data!$E:$E,Data!$F:$F,"Revisar",0)</f>
        <v>0</v>
      </c>
      <c r="J607" s="157">
        <f t="array" ref="J607">_xlfn.XLOOKUP($H607,Data!$E:$E,Data!$G:$G,"Revisar",0)</f>
        <v>0</v>
      </c>
      <c r="K607" s="20"/>
      <c r="L607" s="18"/>
      <c r="M607" s="20"/>
      <c r="N607" s="14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ht="15" customHeight="1" x14ac:dyDescent="0.3">
      <c r="A608" s="13"/>
      <c r="B608" s="14"/>
      <c r="C608" s="15"/>
      <c r="D608" s="17"/>
      <c r="E608" s="14"/>
      <c r="F608" s="18"/>
      <c r="G608" s="12" t="str">
        <f>IFERROR(VLOOKUP(D608,Data!$A:$B,2,0),"Revisar")</f>
        <v>Revisar</v>
      </c>
      <c r="H608" s="20"/>
      <c r="I608" s="157">
        <f t="array" ref="I608">_xlfn.XLOOKUP($H608,Data!$E:$E,Data!$F:$F,"Revisar",0)</f>
        <v>0</v>
      </c>
      <c r="J608" s="157">
        <f t="array" ref="J608">_xlfn.XLOOKUP($H608,Data!$E:$E,Data!$G:$G,"Revisar",0)</f>
        <v>0</v>
      </c>
      <c r="K608" s="20"/>
      <c r="L608" s="18"/>
      <c r="M608" s="20"/>
      <c r="N608" s="14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ht="15" customHeight="1" x14ac:dyDescent="0.3">
      <c r="A609" s="13"/>
      <c r="B609" s="14"/>
      <c r="C609" s="15"/>
      <c r="D609" s="17"/>
      <c r="E609" s="14"/>
      <c r="F609" s="18"/>
      <c r="G609" s="12" t="str">
        <f>IFERROR(VLOOKUP(D609,Data!$A:$B,2,0),"Revisar")</f>
        <v>Revisar</v>
      </c>
      <c r="H609" s="20"/>
      <c r="I609" s="157">
        <f t="array" ref="I609">_xlfn.XLOOKUP($H609,Data!$E:$E,Data!$F:$F,"Revisar",0)</f>
        <v>0</v>
      </c>
      <c r="J609" s="157">
        <f t="array" ref="J609">_xlfn.XLOOKUP($H609,Data!$E:$E,Data!$G:$G,"Revisar",0)</f>
        <v>0</v>
      </c>
      <c r="K609" s="20"/>
      <c r="L609" s="18"/>
      <c r="M609" s="20"/>
      <c r="N609" s="14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ht="15" customHeight="1" x14ac:dyDescent="0.3">
      <c r="A610" s="13"/>
      <c r="B610" s="14"/>
      <c r="C610" s="15"/>
      <c r="D610" s="17"/>
      <c r="E610" s="14"/>
      <c r="F610" s="18"/>
      <c r="G610" s="12" t="str">
        <f>IFERROR(VLOOKUP(D610,Data!$A:$B,2,0),"Revisar")</f>
        <v>Revisar</v>
      </c>
      <c r="H610" s="20"/>
      <c r="I610" s="157">
        <f t="array" ref="I610">_xlfn.XLOOKUP($H610,Data!$E:$E,Data!$F:$F,"Revisar",0)</f>
        <v>0</v>
      </c>
      <c r="J610" s="157">
        <f t="array" ref="J610">_xlfn.XLOOKUP($H610,Data!$E:$E,Data!$G:$G,"Revisar",0)</f>
        <v>0</v>
      </c>
      <c r="K610" s="20"/>
      <c r="L610" s="18"/>
      <c r="M610" s="20"/>
      <c r="N610" s="14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ht="15" customHeight="1" x14ac:dyDescent="0.3">
      <c r="A611" s="13"/>
      <c r="B611" s="14"/>
      <c r="C611" s="15"/>
      <c r="D611" s="17"/>
      <c r="E611" s="14"/>
      <c r="F611" s="18"/>
      <c r="G611" s="12" t="str">
        <f>IFERROR(VLOOKUP(D611,Data!$A:$B,2,0),"Revisar")</f>
        <v>Revisar</v>
      </c>
      <c r="H611" s="20"/>
      <c r="I611" s="157">
        <f t="array" ref="I611">_xlfn.XLOOKUP($H611,Data!$E:$E,Data!$F:$F,"Revisar",0)</f>
        <v>0</v>
      </c>
      <c r="J611" s="157">
        <f t="array" ref="J611">_xlfn.XLOOKUP($H611,Data!$E:$E,Data!$G:$G,"Revisar",0)</f>
        <v>0</v>
      </c>
      <c r="K611" s="20"/>
      <c r="L611" s="18"/>
      <c r="M611" s="20"/>
      <c r="N611" s="14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ht="15" customHeight="1" x14ac:dyDescent="0.3">
      <c r="A612" s="13"/>
      <c r="B612" s="14"/>
      <c r="C612" s="15"/>
      <c r="D612" s="17"/>
      <c r="E612" s="14"/>
      <c r="F612" s="18"/>
      <c r="G612" s="12" t="str">
        <f>IFERROR(VLOOKUP(D612,Data!$A:$B,2,0),"Revisar")</f>
        <v>Revisar</v>
      </c>
      <c r="H612" s="20"/>
      <c r="I612" s="157">
        <f t="array" ref="I612">_xlfn.XLOOKUP($H612,Data!$E:$E,Data!$F:$F,"Revisar",0)</f>
        <v>0</v>
      </c>
      <c r="J612" s="157">
        <f t="array" ref="J612">_xlfn.XLOOKUP($H612,Data!$E:$E,Data!$G:$G,"Revisar",0)</f>
        <v>0</v>
      </c>
      <c r="K612" s="20"/>
      <c r="L612" s="18"/>
      <c r="M612" s="20"/>
      <c r="N612" s="14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ht="15" customHeight="1" x14ac:dyDescent="0.3">
      <c r="A613" s="13"/>
      <c r="B613" s="14"/>
      <c r="C613" s="15"/>
      <c r="D613" s="17"/>
      <c r="E613" s="14"/>
      <c r="F613" s="18"/>
      <c r="G613" s="12" t="str">
        <f>IFERROR(VLOOKUP(D613,Data!$A:$B,2,0),"Revisar")</f>
        <v>Revisar</v>
      </c>
      <c r="H613" s="20"/>
      <c r="I613" s="157">
        <f t="array" ref="I613">_xlfn.XLOOKUP($H613,Data!$E:$E,Data!$F:$F,"Revisar",0)</f>
        <v>0</v>
      </c>
      <c r="J613" s="157">
        <f t="array" ref="J613">_xlfn.XLOOKUP($H613,Data!$E:$E,Data!$G:$G,"Revisar",0)</f>
        <v>0</v>
      </c>
      <c r="K613" s="20"/>
      <c r="L613" s="18"/>
      <c r="M613" s="20"/>
      <c r="N613" s="14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ht="15" customHeight="1" x14ac:dyDescent="0.3">
      <c r="A614" s="13"/>
      <c r="B614" s="14"/>
      <c r="C614" s="15"/>
      <c r="D614" s="17"/>
      <c r="E614" s="14"/>
      <c r="F614" s="18"/>
      <c r="G614" s="12" t="str">
        <f>IFERROR(VLOOKUP(D614,Data!$A:$B,2,0),"Revisar")</f>
        <v>Revisar</v>
      </c>
      <c r="H614" s="20"/>
      <c r="I614" s="157">
        <f t="array" ref="I614">_xlfn.XLOOKUP($H614,Data!$E:$E,Data!$F:$F,"Revisar",0)</f>
        <v>0</v>
      </c>
      <c r="J614" s="157">
        <f t="array" ref="J614">_xlfn.XLOOKUP($H614,Data!$E:$E,Data!$G:$G,"Revisar",0)</f>
        <v>0</v>
      </c>
      <c r="K614" s="20"/>
      <c r="L614" s="18"/>
      <c r="M614" s="20"/>
      <c r="N614" s="14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ht="15" customHeight="1" x14ac:dyDescent="0.3">
      <c r="A615" s="13"/>
      <c r="B615" s="14"/>
      <c r="C615" s="15"/>
      <c r="D615" s="17"/>
      <c r="E615" s="14"/>
      <c r="F615" s="18"/>
      <c r="G615" s="12" t="str">
        <f>IFERROR(VLOOKUP(D615,Data!$A:$B,2,0),"Revisar")</f>
        <v>Revisar</v>
      </c>
      <c r="H615" s="20"/>
      <c r="I615" s="157">
        <f t="array" ref="I615">_xlfn.XLOOKUP($H615,Data!$E:$E,Data!$F:$F,"Revisar",0)</f>
        <v>0</v>
      </c>
      <c r="J615" s="157">
        <f t="array" ref="J615">_xlfn.XLOOKUP($H615,Data!$E:$E,Data!$G:$G,"Revisar",0)</f>
        <v>0</v>
      </c>
      <c r="K615" s="20"/>
      <c r="L615" s="18"/>
      <c r="M615" s="20"/>
      <c r="N615" s="14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ht="15" customHeight="1" x14ac:dyDescent="0.3">
      <c r="A616" s="13"/>
      <c r="B616" s="14"/>
      <c r="C616" s="15"/>
      <c r="D616" s="17"/>
      <c r="E616" s="14"/>
      <c r="F616" s="18"/>
      <c r="G616" s="12" t="str">
        <f>IFERROR(VLOOKUP(D616,Data!$A:$B,2,0),"Revisar")</f>
        <v>Revisar</v>
      </c>
      <c r="H616" s="20"/>
      <c r="I616" s="157">
        <f t="array" ref="I616">_xlfn.XLOOKUP($H616,Data!$E:$E,Data!$F:$F,"Revisar",0)</f>
        <v>0</v>
      </c>
      <c r="J616" s="157">
        <f t="array" ref="J616">_xlfn.XLOOKUP($H616,Data!$E:$E,Data!$G:$G,"Revisar",0)</f>
        <v>0</v>
      </c>
      <c r="K616" s="20"/>
      <c r="L616" s="18"/>
      <c r="M616" s="20"/>
      <c r="N616" s="14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ht="15" customHeight="1" x14ac:dyDescent="0.3">
      <c r="A617" s="13"/>
      <c r="B617" s="14"/>
      <c r="C617" s="15"/>
      <c r="D617" s="17"/>
      <c r="E617" s="14"/>
      <c r="F617" s="18"/>
      <c r="G617" s="12" t="str">
        <f>IFERROR(VLOOKUP(D617,Data!$A:$B,2,0),"Revisar")</f>
        <v>Revisar</v>
      </c>
      <c r="H617" s="20"/>
      <c r="I617" s="157">
        <f t="array" ref="I617">_xlfn.XLOOKUP($H617,Data!$E:$E,Data!$F:$F,"Revisar",0)</f>
        <v>0</v>
      </c>
      <c r="J617" s="157">
        <f t="array" ref="J617">_xlfn.XLOOKUP($H617,Data!$E:$E,Data!$G:$G,"Revisar",0)</f>
        <v>0</v>
      </c>
      <c r="K617" s="20"/>
      <c r="L617" s="18"/>
      <c r="M617" s="20"/>
      <c r="N617" s="14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ht="15" customHeight="1" x14ac:dyDescent="0.3">
      <c r="A618" s="13"/>
      <c r="B618" s="14"/>
      <c r="C618" s="15"/>
      <c r="D618" s="17"/>
      <c r="E618" s="14"/>
      <c r="F618" s="18"/>
      <c r="G618" s="12" t="str">
        <f>IFERROR(VLOOKUP(D618,Data!$A:$B,2,0),"Revisar")</f>
        <v>Revisar</v>
      </c>
      <c r="H618" s="20"/>
      <c r="I618" s="157">
        <f t="array" ref="I618">_xlfn.XLOOKUP($H618,Data!$E:$E,Data!$F:$F,"Revisar",0)</f>
        <v>0</v>
      </c>
      <c r="J618" s="157">
        <f t="array" ref="J618">_xlfn.XLOOKUP($H618,Data!$E:$E,Data!$G:$G,"Revisar",0)</f>
        <v>0</v>
      </c>
      <c r="K618" s="20"/>
      <c r="L618" s="18"/>
      <c r="M618" s="20"/>
      <c r="N618" s="14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ht="15" customHeight="1" x14ac:dyDescent="0.3">
      <c r="A619" s="13"/>
      <c r="B619" s="14"/>
      <c r="C619" s="15"/>
      <c r="D619" s="17"/>
      <c r="E619" s="14"/>
      <c r="F619" s="18"/>
      <c r="G619" s="12" t="str">
        <f>IFERROR(VLOOKUP(D619,Data!$A:$B,2,0),"Revisar")</f>
        <v>Revisar</v>
      </c>
      <c r="H619" s="20"/>
      <c r="I619" s="157">
        <f t="array" ref="I619">_xlfn.XLOOKUP($H619,Data!$E:$E,Data!$F:$F,"Revisar",0)</f>
        <v>0</v>
      </c>
      <c r="J619" s="157">
        <f t="array" ref="J619">_xlfn.XLOOKUP($H619,Data!$E:$E,Data!$G:$G,"Revisar",0)</f>
        <v>0</v>
      </c>
      <c r="K619" s="20"/>
      <c r="L619" s="18"/>
      <c r="M619" s="20"/>
      <c r="N619" s="14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ht="15" customHeight="1" x14ac:dyDescent="0.3">
      <c r="A620" s="13"/>
      <c r="B620" s="14"/>
      <c r="C620" s="15"/>
      <c r="D620" s="17"/>
      <c r="E620" s="14"/>
      <c r="F620" s="18"/>
      <c r="G620" s="12" t="str">
        <f>IFERROR(VLOOKUP(D620,Data!$A:$B,2,0),"Revisar")</f>
        <v>Revisar</v>
      </c>
      <c r="H620" s="20"/>
      <c r="I620" s="157">
        <f t="array" ref="I620">_xlfn.XLOOKUP($H620,Data!$E:$E,Data!$F:$F,"Revisar",0)</f>
        <v>0</v>
      </c>
      <c r="J620" s="157">
        <f t="array" ref="J620">_xlfn.XLOOKUP($H620,Data!$E:$E,Data!$G:$G,"Revisar",0)</f>
        <v>0</v>
      </c>
      <c r="K620" s="20"/>
      <c r="L620" s="18"/>
      <c r="M620" s="20"/>
      <c r="N620" s="14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ht="15" customHeight="1" x14ac:dyDescent="0.3">
      <c r="A621" s="13"/>
      <c r="B621" s="14"/>
      <c r="C621" s="15"/>
      <c r="D621" s="17"/>
      <c r="E621" s="14"/>
      <c r="F621" s="18"/>
      <c r="G621" s="12" t="str">
        <f>IFERROR(VLOOKUP(D621,Data!$A:$B,2,0),"Revisar")</f>
        <v>Revisar</v>
      </c>
      <c r="H621" s="20"/>
      <c r="I621" s="157">
        <f t="array" ref="I621">_xlfn.XLOOKUP($H621,Data!$E:$E,Data!$F:$F,"Revisar",0)</f>
        <v>0</v>
      </c>
      <c r="J621" s="157">
        <f t="array" ref="J621">_xlfn.XLOOKUP($H621,Data!$E:$E,Data!$G:$G,"Revisar",0)</f>
        <v>0</v>
      </c>
      <c r="K621" s="20"/>
      <c r="L621" s="18"/>
      <c r="M621" s="20"/>
      <c r="N621" s="14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ht="15" customHeight="1" x14ac:dyDescent="0.3">
      <c r="A622" s="13"/>
      <c r="B622" s="14"/>
      <c r="C622" s="15"/>
      <c r="D622" s="17"/>
      <c r="E622" s="14"/>
      <c r="F622" s="18"/>
      <c r="G622" s="12" t="str">
        <f>IFERROR(VLOOKUP(D622,Data!$A:$B,2,0),"Revisar")</f>
        <v>Revisar</v>
      </c>
      <c r="H622" s="20"/>
      <c r="I622" s="157">
        <f t="array" ref="I622">_xlfn.XLOOKUP($H622,Data!$E:$E,Data!$F:$F,"Revisar",0)</f>
        <v>0</v>
      </c>
      <c r="J622" s="157">
        <f t="array" ref="J622">_xlfn.XLOOKUP($H622,Data!$E:$E,Data!$G:$G,"Revisar",0)</f>
        <v>0</v>
      </c>
      <c r="K622" s="20"/>
      <c r="L622" s="18"/>
      <c r="M622" s="20"/>
      <c r="N622" s="14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ht="15" customHeight="1" x14ac:dyDescent="0.3">
      <c r="A623" s="13"/>
      <c r="B623" s="14"/>
      <c r="C623" s="15"/>
      <c r="D623" s="17"/>
      <c r="E623" s="14"/>
      <c r="F623" s="18"/>
      <c r="G623" s="12" t="str">
        <f>IFERROR(VLOOKUP(D623,Data!$A:$B,2,0),"Revisar")</f>
        <v>Revisar</v>
      </c>
      <c r="H623" s="20"/>
      <c r="I623" s="157">
        <f t="array" ref="I623">_xlfn.XLOOKUP($H623,Data!$E:$E,Data!$F:$F,"Revisar",0)</f>
        <v>0</v>
      </c>
      <c r="J623" s="157">
        <f t="array" ref="J623">_xlfn.XLOOKUP($H623,Data!$E:$E,Data!$G:$G,"Revisar",0)</f>
        <v>0</v>
      </c>
      <c r="K623" s="20"/>
      <c r="L623" s="18"/>
      <c r="M623" s="20"/>
      <c r="N623" s="14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ht="15" customHeight="1" x14ac:dyDescent="0.3">
      <c r="A624" s="13"/>
      <c r="B624" s="14"/>
      <c r="C624" s="15"/>
      <c r="D624" s="17"/>
      <c r="E624" s="14"/>
      <c r="F624" s="18"/>
      <c r="G624" s="12" t="str">
        <f>IFERROR(VLOOKUP(D624,Data!$A:$B,2,0),"Revisar")</f>
        <v>Revisar</v>
      </c>
      <c r="H624" s="20"/>
      <c r="I624" s="157">
        <f t="array" ref="I624">_xlfn.XLOOKUP($H624,Data!$E:$E,Data!$F:$F,"Revisar",0)</f>
        <v>0</v>
      </c>
      <c r="J624" s="157">
        <f t="array" ref="J624">_xlfn.XLOOKUP($H624,Data!$E:$E,Data!$G:$G,"Revisar",0)</f>
        <v>0</v>
      </c>
      <c r="K624" s="20"/>
      <c r="L624" s="18"/>
      <c r="M624" s="20"/>
      <c r="N624" s="14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ht="15" customHeight="1" x14ac:dyDescent="0.3">
      <c r="A625" s="13"/>
      <c r="B625" s="14"/>
      <c r="C625" s="15"/>
      <c r="D625" s="17"/>
      <c r="E625" s="14"/>
      <c r="F625" s="18"/>
      <c r="G625" s="12" t="str">
        <f>IFERROR(VLOOKUP(D625,Data!$A:$B,2,0),"Revisar")</f>
        <v>Revisar</v>
      </c>
      <c r="H625" s="20"/>
      <c r="I625" s="157">
        <f t="array" ref="I625">_xlfn.XLOOKUP($H625,Data!$E:$E,Data!$F:$F,"Revisar",0)</f>
        <v>0</v>
      </c>
      <c r="J625" s="157">
        <f t="array" ref="J625">_xlfn.XLOOKUP($H625,Data!$E:$E,Data!$G:$G,"Revisar",0)</f>
        <v>0</v>
      </c>
      <c r="K625" s="20"/>
      <c r="L625" s="18"/>
      <c r="M625" s="20"/>
      <c r="N625" s="14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ht="15" customHeight="1" x14ac:dyDescent="0.3">
      <c r="A626" s="13"/>
      <c r="B626" s="14"/>
      <c r="C626" s="15"/>
      <c r="D626" s="17"/>
      <c r="E626" s="14"/>
      <c r="F626" s="18"/>
      <c r="G626" s="12" t="str">
        <f>IFERROR(VLOOKUP(D626,Data!$A:$B,2,0),"Revisar")</f>
        <v>Revisar</v>
      </c>
      <c r="H626" s="20"/>
      <c r="I626" s="157">
        <f t="array" ref="I626">_xlfn.XLOOKUP($H626,Data!$E:$E,Data!$F:$F,"Revisar",0)</f>
        <v>0</v>
      </c>
      <c r="J626" s="157">
        <f t="array" ref="J626">_xlfn.XLOOKUP($H626,Data!$E:$E,Data!$G:$G,"Revisar",0)</f>
        <v>0</v>
      </c>
      <c r="K626" s="20"/>
      <c r="L626" s="18"/>
      <c r="M626" s="20"/>
      <c r="N626" s="14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ht="15" customHeight="1" x14ac:dyDescent="0.3">
      <c r="A627" s="13"/>
      <c r="B627" s="14"/>
      <c r="C627" s="15"/>
      <c r="D627" s="17"/>
      <c r="E627" s="14"/>
      <c r="F627" s="18"/>
      <c r="G627" s="12" t="str">
        <f>IFERROR(VLOOKUP(D627,Data!$A:$B,2,0),"Revisar")</f>
        <v>Revisar</v>
      </c>
      <c r="H627" s="20"/>
      <c r="I627" s="157">
        <f t="array" ref="I627">_xlfn.XLOOKUP($H627,Data!$E:$E,Data!$F:$F,"Revisar",0)</f>
        <v>0</v>
      </c>
      <c r="J627" s="157">
        <f t="array" ref="J627">_xlfn.XLOOKUP($H627,Data!$E:$E,Data!$G:$G,"Revisar",0)</f>
        <v>0</v>
      </c>
      <c r="K627" s="20"/>
      <c r="L627" s="18"/>
      <c r="M627" s="20"/>
      <c r="N627" s="14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ht="15" customHeight="1" x14ac:dyDescent="0.3">
      <c r="A628" s="13"/>
      <c r="B628" s="14"/>
      <c r="C628" s="15"/>
      <c r="D628" s="17"/>
      <c r="E628" s="14"/>
      <c r="F628" s="18"/>
      <c r="G628" s="12" t="str">
        <f>IFERROR(VLOOKUP(D628,Data!$A:$B,2,0),"Revisar")</f>
        <v>Revisar</v>
      </c>
      <c r="H628" s="20"/>
      <c r="I628" s="157">
        <f t="array" ref="I628">_xlfn.XLOOKUP($H628,Data!$E:$E,Data!$F:$F,"Revisar",0)</f>
        <v>0</v>
      </c>
      <c r="J628" s="157">
        <f t="array" ref="J628">_xlfn.XLOOKUP($H628,Data!$E:$E,Data!$G:$G,"Revisar",0)</f>
        <v>0</v>
      </c>
      <c r="K628" s="20"/>
      <c r="L628" s="18"/>
      <c r="M628" s="20"/>
      <c r="N628" s="14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ht="15" customHeight="1" x14ac:dyDescent="0.3">
      <c r="A629" s="13"/>
      <c r="B629" s="14"/>
      <c r="C629" s="15"/>
      <c r="D629" s="17"/>
      <c r="E629" s="14"/>
      <c r="F629" s="18"/>
      <c r="G629" s="12" t="str">
        <f>IFERROR(VLOOKUP(D629,Data!$A:$B,2,0),"Revisar")</f>
        <v>Revisar</v>
      </c>
      <c r="H629" s="20"/>
      <c r="I629" s="157">
        <f t="array" ref="I629">_xlfn.XLOOKUP($H629,Data!$E:$E,Data!$F:$F,"Revisar",0)</f>
        <v>0</v>
      </c>
      <c r="J629" s="157">
        <f t="array" ref="J629">_xlfn.XLOOKUP($H629,Data!$E:$E,Data!$G:$G,"Revisar",0)</f>
        <v>0</v>
      </c>
      <c r="K629" s="20"/>
      <c r="L629" s="18"/>
      <c r="M629" s="20"/>
      <c r="N629" s="14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ht="15" customHeight="1" x14ac:dyDescent="0.3">
      <c r="A630" s="13"/>
      <c r="B630" s="14"/>
      <c r="C630" s="15"/>
      <c r="D630" s="17"/>
      <c r="E630" s="14"/>
      <c r="F630" s="18"/>
      <c r="G630" s="12" t="str">
        <f>IFERROR(VLOOKUP(D630,Data!$A:$B,2,0),"Revisar")</f>
        <v>Revisar</v>
      </c>
      <c r="H630" s="20"/>
      <c r="I630" s="157">
        <f t="array" ref="I630">_xlfn.XLOOKUP($H630,Data!$E:$E,Data!$F:$F,"Revisar",0)</f>
        <v>0</v>
      </c>
      <c r="J630" s="157">
        <f t="array" ref="J630">_xlfn.XLOOKUP($H630,Data!$E:$E,Data!$G:$G,"Revisar",0)</f>
        <v>0</v>
      </c>
      <c r="K630" s="20"/>
      <c r="L630" s="18"/>
      <c r="M630" s="20"/>
      <c r="N630" s="14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ht="15" customHeight="1" x14ac:dyDescent="0.3">
      <c r="A631" s="13"/>
      <c r="B631" s="14"/>
      <c r="C631" s="15"/>
      <c r="D631" s="17"/>
      <c r="E631" s="14"/>
      <c r="F631" s="18"/>
      <c r="G631" s="12" t="str">
        <f>IFERROR(VLOOKUP(D631,Data!$A:$B,2,0),"Revisar")</f>
        <v>Revisar</v>
      </c>
      <c r="H631" s="20"/>
      <c r="I631" s="157">
        <f t="array" ref="I631">_xlfn.XLOOKUP($H631,Data!$E:$E,Data!$F:$F,"Revisar",0)</f>
        <v>0</v>
      </c>
      <c r="J631" s="157">
        <f t="array" ref="J631">_xlfn.XLOOKUP($H631,Data!$E:$E,Data!$G:$G,"Revisar",0)</f>
        <v>0</v>
      </c>
      <c r="K631" s="20"/>
      <c r="L631" s="18"/>
      <c r="M631" s="20"/>
      <c r="N631" s="14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ht="15" customHeight="1" x14ac:dyDescent="0.3">
      <c r="A632" s="13"/>
      <c r="B632" s="14"/>
      <c r="C632" s="15"/>
      <c r="D632" s="17"/>
      <c r="E632" s="14"/>
      <c r="F632" s="18"/>
      <c r="G632" s="12" t="str">
        <f>IFERROR(VLOOKUP(D632,Data!$A:$B,2,0),"Revisar")</f>
        <v>Revisar</v>
      </c>
      <c r="H632" s="20"/>
      <c r="I632" s="157">
        <f t="array" ref="I632">_xlfn.XLOOKUP($H632,Data!$E:$E,Data!$F:$F,"Revisar",0)</f>
        <v>0</v>
      </c>
      <c r="J632" s="157">
        <f t="array" ref="J632">_xlfn.XLOOKUP($H632,Data!$E:$E,Data!$G:$G,"Revisar",0)</f>
        <v>0</v>
      </c>
      <c r="K632" s="20"/>
      <c r="L632" s="18"/>
      <c r="M632" s="20"/>
      <c r="N632" s="14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ht="15" customHeight="1" x14ac:dyDescent="0.3">
      <c r="A633" s="13"/>
      <c r="B633" s="14"/>
      <c r="C633" s="15"/>
      <c r="D633" s="17"/>
      <c r="E633" s="14"/>
      <c r="F633" s="18"/>
      <c r="G633" s="12" t="str">
        <f>IFERROR(VLOOKUP(D633,Data!$A:$B,2,0),"Revisar")</f>
        <v>Revisar</v>
      </c>
      <c r="H633" s="20"/>
      <c r="I633" s="157">
        <f t="array" ref="I633">_xlfn.XLOOKUP($H633,Data!$E:$E,Data!$F:$F,"Revisar",0)</f>
        <v>0</v>
      </c>
      <c r="J633" s="157">
        <f t="array" ref="J633">_xlfn.XLOOKUP($H633,Data!$E:$E,Data!$G:$G,"Revisar",0)</f>
        <v>0</v>
      </c>
      <c r="K633" s="20"/>
      <c r="L633" s="18"/>
      <c r="M633" s="20"/>
      <c r="N633" s="14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ht="15" customHeight="1" x14ac:dyDescent="0.3">
      <c r="A634" s="13"/>
      <c r="B634" s="14"/>
      <c r="C634" s="15"/>
      <c r="D634" s="17"/>
      <c r="E634" s="14"/>
      <c r="F634" s="18"/>
      <c r="G634" s="12" t="str">
        <f>IFERROR(VLOOKUP(D634,Data!$A:$B,2,0),"Revisar")</f>
        <v>Revisar</v>
      </c>
      <c r="H634" s="20"/>
      <c r="I634" s="157">
        <f t="array" ref="I634">_xlfn.XLOOKUP($H634,Data!$E:$E,Data!$F:$F,"Revisar",0)</f>
        <v>0</v>
      </c>
      <c r="J634" s="157">
        <f t="array" ref="J634">_xlfn.XLOOKUP($H634,Data!$E:$E,Data!$G:$G,"Revisar",0)</f>
        <v>0</v>
      </c>
      <c r="K634" s="20"/>
      <c r="L634" s="18"/>
      <c r="M634" s="20"/>
      <c r="N634" s="14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ht="15" customHeight="1" x14ac:dyDescent="0.3">
      <c r="A635" s="13"/>
      <c r="B635" s="14"/>
      <c r="C635" s="15"/>
      <c r="D635" s="17"/>
      <c r="E635" s="14"/>
      <c r="F635" s="18"/>
      <c r="G635" s="12" t="str">
        <f>IFERROR(VLOOKUP(D635,Data!$A:$B,2,0),"Revisar")</f>
        <v>Revisar</v>
      </c>
      <c r="H635" s="20"/>
      <c r="I635" s="157">
        <f t="array" ref="I635">_xlfn.XLOOKUP($H635,Data!$E:$E,Data!$F:$F,"Revisar",0)</f>
        <v>0</v>
      </c>
      <c r="J635" s="157">
        <f t="array" ref="J635">_xlfn.XLOOKUP($H635,Data!$E:$E,Data!$G:$G,"Revisar",0)</f>
        <v>0</v>
      </c>
      <c r="K635" s="20"/>
      <c r="L635" s="18"/>
      <c r="M635" s="20"/>
      <c r="N635" s="14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ht="15" customHeight="1" x14ac:dyDescent="0.3">
      <c r="A636" s="13"/>
      <c r="B636" s="14"/>
      <c r="C636" s="15"/>
      <c r="D636" s="17"/>
      <c r="E636" s="14"/>
      <c r="F636" s="18"/>
      <c r="G636" s="12" t="str">
        <f>IFERROR(VLOOKUP(D636,Data!$A:$B,2,0),"Revisar")</f>
        <v>Revisar</v>
      </c>
      <c r="H636" s="20"/>
      <c r="I636" s="157">
        <f t="array" ref="I636">_xlfn.XLOOKUP($H636,Data!$E:$E,Data!$F:$F,"Revisar",0)</f>
        <v>0</v>
      </c>
      <c r="J636" s="157">
        <f t="array" ref="J636">_xlfn.XLOOKUP($H636,Data!$E:$E,Data!$G:$G,"Revisar",0)</f>
        <v>0</v>
      </c>
      <c r="K636" s="20"/>
      <c r="L636" s="18"/>
      <c r="M636" s="20"/>
      <c r="N636" s="14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ht="15" customHeight="1" x14ac:dyDescent="0.3">
      <c r="A637" s="13"/>
      <c r="B637" s="14"/>
      <c r="C637" s="15"/>
      <c r="D637" s="17"/>
      <c r="E637" s="14"/>
      <c r="F637" s="18"/>
      <c r="G637" s="12" t="str">
        <f>IFERROR(VLOOKUP(D637,Data!$A:$B,2,0),"Revisar")</f>
        <v>Revisar</v>
      </c>
      <c r="H637" s="20"/>
      <c r="I637" s="157">
        <f t="array" ref="I637">_xlfn.XLOOKUP($H637,Data!$E:$E,Data!$F:$F,"Revisar",0)</f>
        <v>0</v>
      </c>
      <c r="J637" s="157">
        <f t="array" ref="J637">_xlfn.XLOOKUP($H637,Data!$E:$E,Data!$G:$G,"Revisar",0)</f>
        <v>0</v>
      </c>
      <c r="K637" s="20"/>
      <c r="L637" s="18"/>
      <c r="M637" s="20"/>
      <c r="N637" s="14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 ht="15" customHeight="1" x14ac:dyDescent="0.3">
      <c r="A638" s="13"/>
      <c r="B638" s="14"/>
      <c r="C638" s="15"/>
      <c r="D638" s="17"/>
      <c r="E638" s="14"/>
      <c r="F638" s="18"/>
      <c r="G638" s="12" t="str">
        <f>IFERROR(VLOOKUP(D638,Data!$A:$B,2,0),"Revisar")</f>
        <v>Revisar</v>
      </c>
      <c r="H638" s="20"/>
      <c r="I638" s="157">
        <f t="array" ref="I638">_xlfn.XLOOKUP($H638,Data!$E:$E,Data!$F:$F,"Revisar",0)</f>
        <v>0</v>
      </c>
      <c r="J638" s="157">
        <f t="array" ref="J638">_xlfn.XLOOKUP($H638,Data!$E:$E,Data!$G:$G,"Revisar",0)</f>
        <v>0</v>
      </c>
      <c r="K638" s="20"/>
      <c r="L638" s="18"/>
      <c r="M638" s="20"/>
      <c r="N638" s="14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 ht="15" customHeight="1" x14ac:dyDescent="0.3">
      <c r="A639" s="13"/>
      <c r="B639" s="14"/>
      <c r="C639" s="15"/>
      <c r="D639" s="17"/>
      <c r="E639" s="14"/>
      <c r="F639" s="18"/>
      <c r="G639" s="12" t="str">
        <f>IFERROR(VLOOKUP(D639,Data!$A:$B,2,0),"Revisar")</f>
        <v>Revisar</v>
      </c>
      <c r="H639" s="20"/>
      <c r="I639" s="157">
        <f t="array" ref="I639">_xlfn.XLOOKUP($H639,Data!$E:$E,Data!$F:$F,"Revisar",0)</f>
        <v>0</v>
      </c>
      <c r="J639" s="157">
        <f t="array" ref="J639">_xlfn.XLOOKUP($H639,Data!$E:$E,Data!$G:$G,"Revisar",0)</f>
        <v>0</v>
      </c>
      <c r="K639" s="20"/>
      <c r="L639" s="18"/>
      <c r="M639" s="20"/>
      <c r="N639" s="14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ht="15" customHeight="1" x14ac:dyDescent="0.3">
      <c r="A640" s="13"/>
      <c r="B640" s="14"/>
      <c r="C640" s="15"/>
      <c r="D640" s="17"/>
      <c r="E640" s="14"/>
      <c r="F640" s="18"/>
      <c r="G640" s="12" t="str">
        <f>IFERROR(VLOOKUP(D640,Data!$A:$B,2,0),"Revisar")</f>
        <v>Revisar</v>
      </c>
      <c r="H640" s="20"/>
      <c r="I640" s="157">
        <f t="array" ref="I640">_xlfn.XLOOKUP($H640,Data!$E:$E,Data!$F:$F,"Revisar",0)</f>
        <v>0</v>
      </c>
      <c r="J640" s="157">
        <f t="array" ref="J640">_xlfn.XLOOKUP($H640,Data!$E:$E,Data!$G:$G,"Revisar",0)</f>
        <v>0</v>
      </c>
      <c r="K640" s="20"/>
      <c r="L640" s="18"/>
      <c r="M640" s="20"/>
      <c r="N640" s="14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ht="15" customHeight="1" x14ac:dyDescent="0.3">
      <c r="A641" s="13"/>
      <c r="B641" s="14"/>
      <c r="C641" s="15"/>
      <c r="D641" s="17"/>
      <c r="E641" s="14"/>
      <c r="F641" s="18"/>
      <c r="G641" s="12" t="str">
        <f>IFERROR(VLOOKUP(D641,Data!$A:$B,2,0),"Revisar")</f>
        <v>Revisar</v>
      </c>
      <c r="H641" s="20"/>
      <c r="I641" s="157">
        <f t="array" ref="I641">_xlfn.XLOOKUP($H641,Data!$E:$E,Data!$F:$F,"Revisar",0)</f>
        <v>0</v>
      </c>
      <c r="J641" s="157">
        <f t="array" ref="J641">_xlfn.XLOOKUP($H641,Data!$E:$E,Data!$G:$G,"Revisar",0)</f>
        <v>0</v>
      </c>
      <c r="K641" s="20"/>
      <c r="L641" s="18"/>
      <c r="M641" s="20"/>
      <c r="N641" s="14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ht="15" customHeight="1" x14ac:dyDescent="0.3">
      <c r="A642" s="13"/>
      <c r="B642" s="14"/>
      <c r="C642" s="15"/>
      <c r="D642" s="17"/>
      <c r="E642" s="14"/>
      <c r="F642" s="18"/>
      <c r="G642" s="12" t="str">
        <f>IFERROR(VLOOKUP(D642,Data!$A:$B,2,0),"Revisar")</f>
        <v>Revisar</v>
      </c>
      <c r="H642" s="20"/>
      <c r="I642" s="157">
        <f t="array" ref="I642">_xlfn.XLOOKUP($H642,Data!$E:$E,Data!$F:$F,"Revisar",0)</f>
        <v>0</v>
      </c>
      <c r="J642" s="157">
        <f t="array" ref="J642">_xlfn.XLOOKUP($H642,Data!$E:$E,Data!$G:$G,"Revisar",0)</f>
        <v>0</v>
      </c>
      <c r="K642" s="20"/>
      <c r="L642" s="18"/>
      <c r="M642" s="20"/>
      <c r="N642" s="14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ht="15" customHeight="1" x14ac:dyDescent="0.3">
      <c r="A643" s="13"/>
      <c r="B643" s="14"/>
      <c r="C643" s="15"/>
      <c r="D643" s="17"/>
      <c r="E643" s="14"/>
      <c r="F643" s="18"/>
      <c r="G643" s="12" t="str">
        <f>IFERROR(VLOOKUP(D643,Data!$A:$B,2,0),"Revisar")</f>
        <v>Revisar</v>
      </c>
      <c r="H643" s="20"/>
      <c r="I643" s="157">
        <f t="array" ref="I643">_xlfn.XLOOKUP($H643,Data!$E:$E,Data!$F:$F,"Revisar",0)</f>
        <v>0</v>
      </c>
      <c r="J643" s="157">
        <f t="array" ref="J643">_xlfn.XLOOKUP($H643,Data!$E:$E,Data!$G:$G,"Revisar",0)</f>
        <v>0</v>
      </c>
      <c r="K643" s="20"/>
      <c r="L643" s="18"/>
      <c r="M643" s="20"/>
      <c r="N643" s="14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ht="15" customHeight="1" x14ac:dyDescent="0.3">
      <c r="A644" s="13"/>
      <c r="B644" s="14"/>
      <c r="C644" s="15"/>
      <c r="D644" s="17"/>
      <c r="E644" s="14"/>
      <c r="F644" s="18"/>
      <c r="G644" s="12" t="str">
        <f>IFERROR(VLOOKUP(D644,Data!$A:$B,2,0),"Revisar")</f>
        <v>Revisar</v>
      </c>
      <c r="H644" s="20"/>
      <c r="I644" s="157">
        <f t="array" ref="I644">_xlfn.XLOOKUP($H644,Data!$E:$E,Data!$F:$F,"Revisar",0)</f>
        <v>0</v>
      </c>
      <c r="J644" s="157">
        <f t="array" ref="J644">_xlfn.XLOOKUP($H644,Data!$E:$E,Data!$G:$G,"Revisar",0)</f>
        <v>0</v>
      </c>
      <c r="K644" s="20"/>
      <c r="L644" s="18"/>
      <c r="M644" s="20"/>
      <c r="N644" s="14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ht="15" customHeight="1" x14ac:dyDescent="0.3">
      <c r="A645" s="13"/>
      <c r="B645" s="14"/>
      <c r="C645" s="15"/>
      <c r="D645" s="17"/>
      <c r="E645" s="14"/>
      <c r="F645" s="18"/>
      <c r="G645" s="12" t="str">
        <f>IFERROR(VLOOKUP(D645,Data!$A:$B,2,0),"Revisar")</f>
        <v>Revisar</v>
      </c>
      <c r="H645" s="20"/>
      <c r="I645" s="157">
        <f t="array" ref="I645">_xlfn.XLOOKUP($H645,Data!$E:$E,Data!$F:$F,"Revisar",0)</f>
        <v>0</v>
      </c>
      <c r="J645" s="157">
        <f t="array" ref="J645">_xlfn.XLOOKUP($H645,Data!$E:$E,Data!$G:$G,"Revisar",0)</f>
        <v>0</v>
      </c>
      <c r="K645" s="20"/>
      <c r="L645" s="18"/>
      <c r="M645" s="20"/>
      <c r="N645" s="14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ht="15" customHeight="1" x14ac:dyDescent="0.3">
      <c r="A646" s="13"/>
      <c r="B646" s="14"/>
      <c r="C646" s="15"/>
      <c r="D646" s="17"/>
      <c r="E646" s="14"/>
      <c r="F646" s="18"/>
      <c r="G646" s="12" t="str">
        <f>IFERROR(VLOOKUP(D646,Data!$A:$B,2,0),"Revisar")</f>
        <v>Revisar</v>
      </c>
      <c r="H646" s="20"/>
      <c r="I646" s="157">
        <f t="array" ref="I646">_xlfn.XLOOKUP($H646,Data!$E:$E,Data!$F:$F,"Revisar",0)</f>
        <v>0</v>
      </c>
      <c r="J646" s="157">
        <f t="array" ref="J646">_xlfn.XLOOKUP($H646,Data!$E:$E,Data!$G:$G,"Revisar",0)</f>
        <v>0</v>
      </c>
      <c r="K646" s="20"/>
      <c r="L646" s="18"/>
      <c r="M646" s="20"/>
      <c r="N646" s="14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ht="15" customHeight="1" x14ac:dyDescent="0.3">
      <c r="A647" s="13"/>
      <c r="B647" s="14"/>
      <c r="C647" s="15"/>
      <c r="D647" s="17"/>
      <c r="E647" s="14"/>
      <c r="F647" s="18"/>
      <c r="G647" s="12" t="str">
        <f>IFERROR(VLOOKUP(D647,Data!$A:$B,2,0),"Revisar")</f>
        <v>Revisar</v>
      </c>
      <c r="H647" s="20"/>
      <c r="I647" s="157">
        <f t="array" ref="I647">_xlfn.XLOOKUP($H647,Data!$E:$E,Data!$F:$F,"Revisar",0)</f>
        <v>0</v>
      </c>
      <c r="J647" s="157">
        <f t="array" ref="J647">_xlfn.XLOOKUP($H647,Data!$E:$E,Data!$G:$G,"Revisar",0)</f>
        <v>0</v>
      </c>
      <c r="K647" s="20"/>
      <c r="L647" s="18"/>
      <c r="M647" s="20"/>
      <c r="N647" s="14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ht="15" customHeight="1" x14ac:dyDescent="0.3">
      <c r="A648" s="13"/>
      <c r="B648" s="14"/>
      <c r="C648" s="15"/>
      <c r="D648" s="17"/>
      <c r="E648" s="14"/>
      <c r="F648" s="18"/>
      <c r="G648" s="12" t="str">
        <f>IFERROR(VLOOKUP(D648,Data!$A:$B,2,0),"Revisar")</f>
        <v>Revisar</v>
      </c>
      <c r="H648" s="20"/>
      <c r="I648" s="157">
        <f t="array" ref="I648">_xlfn.XLOOKUP($H648,Data!$E:$E,Data!$F:$F,"Revisar",0)</f>
        <v>0</v>
      </c>
      <c r="J648" s="157">
        <f t="array" ref="J648">_xlfn.XLOOKUP($H648,Data!$E:$E,Data!$G:$G,"Revisar",0)</f>
        <v>0</v>
      </c>
      <c r="K648" s="20"/>
      <c r="L648" s="18"/>
      <c r="M648" s="20"/>
      <c r="N648" s="14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ht="15" customHeight="1" x14ac:dyDescent="0.3">
      <c r="A649" s="13"/>
      <c r="B649" s="14"/>
      <c r="C649" s="15"/>
      <c r="D649" s="17"/>
      <c r="E649" s="14"/>
      <c r="F649" s="18"/>
      <c r="G649" s="12" t="str">
        <f>IFERROR(VLOOKUP(D649,Data!$A:$B,2,0),"Revisar")</f>
        <v>Revisar</v>
      </c>
      <c r="H649" s="20"/>
      <c r="I649" s="157">
        <f t="array" ref="I649">_xlfn.XLOOKUP($H649,Data!$E:$E,Data!$F:$F,"Revisar",0)</f>
        <v>0</v>
      </c>
      <c r="J649" s="157">
        <f t="array" ref="J649">_xlfn.XLOOKUP($H649,Data!$E:$E,Data!$G:$G,"Revisar",0)</f>
        <v>0</v>
      </c>
      <c r="K649" s="20"/>
      <c r="L649" s="18"/>
      <c r="M649" s="20"/>
      <c r="N649" s="14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ht="15" customHeight="1" x14ac:dyDescent="0.3">
      <c r="A650" s="13"/>
      <c r="B650" s="14"/>
      <c r="C650" s="15"/>
      <c r="D650" s="17"/>
      <c r="E650" s="14"/>
      <c r="F650" s="18"/>
      <c r="G650" s="12" t="str">
        <f>IFERROR(VLOOKUP(D650,Data!$A:$B,2,0),"Revisar")</f>
        <v>Revisar</v>
      </c>
      <c r="H650" s="20"/>
      <c r="I650" s="157">
        <f t="array" ref="I650">_xlfn.XLOOKUP($H650,Data!$E:$E,Data!$F:$F,"Revisar",0)</f>
        <v>0</v>
      </c>
      <c r="J650" s="157">
        <f t="array" ref="J650">_xlfn.XLOOKUP($H650,Data!$E:$E,Data!$G:$G,"Revisar",0)</f>
        <v>0</v>
      </c>
      <c r="K650" s="20"/>
      <c r="L650" s="18"/>
      <c r="M650" s="20"/>
      <c r="N650" s="14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ht="15" customHeight="1" x14ac:dyDescent="0.3">
      <c r="A651" s="13"/>
      <c r="B651" s="14"/>
      <c r="C651" s="15"/>
      <c r="D651" s="17"/>
      <c r="E651" s="14"/>
      <c r="F651" s="18"/>
      <c r="G651" s="12" t="str">
        <f>IFERROR(VLOOKUP(D651,Data!$A:$B,2,0),"Revisar")</f>
        <v>Revisar</v>
      </c>
      <c r="H651" s="20"/>
      <c r="I651" s="157">
        <f t="array" ref="I651">_xlfn.XLOOKUP($H651,Data!$E:$E,Data!$F:$F,"Revisar",0)</f>
        <v>0</v>
      </c>
      <c r="J651" s="157">
        <f t="array" ref="J651">_xlfn.XLOOKUP($H651,Data!$E:$E,Data!$G:$G,"Revisar",0)</f>
        <v>0</v>
      </c>
      <c r="K651" s="20"/>
      <c r="L651" s="18"/>
      <c r="M651" s="20"/>
      <c r="N651" s="14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 ht="15" customHeight="1" x14ac:dyDescent="0.3">
      <c r="A652" s="13"/>
      <c r="B652" s="14"/>
      <c r="C652" s="15"/>
      <c r="D652" s="17"/>
      <c r="E652" s="14"/>
      <c r="F652" s="18"/>
      <c r="G652" s="12" t="str">
        <f>IFERROR(VLOOKUP(D652,Data!$A:$B,2,0),"Revisar")</f>
        <v>Revisar</v>
      </c>
      <c r="H652" s="20"/>
      <c r="I652" s="157">
        <f t="array" ref="I652">_xlfn.XLOOKUP($H652,Data!$E:$E,Data!$F:$F,"Revisar",0)</f>
        <v>0</v>
      </c>
      <c r="J652" s="157">
        <f t="array" ref="J652">_xlfn.XLOOKUP($H652,Data!$E:$E,Data!$G:$G,"Revisar",0)</f>
        <v>0</v>
      </c>
      <c r="K652" s="20"/>
      <c r="L652" s="18"/>
      <c r="M652" s="20"/>
      <c r="N652" s="14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ht="15" customHeight="1" x14ac:dyDescent="0.3">
      <c r="A653" s="13"/>
      <c r="B653" s="14"/>
      <c r="C653" s="15"/>
      <c r="D653" s="17"/>
      <c r="E653" s="14"/>
      <c r="F653" s="18"/>
      <c r="G653" s="12" t="str">
        <f>IFERROR(VLOOKUP(D653,Data!$A:$B,2,0),"Revisar")</f>
        <v>Revisar</v>
      </c>
      <c r="H653" s="20"/>
      <c r="I653" s="157">
        <f t="array" ref="I653">_xlfn.XLOOKUP($H653,Data!$E:$E,Data!$F:$F,"Revisar",0)</f>
        <v>0</v>
      </c>
      <c r="J653" s="157">
        <f t="array" ref="J653">_xlfn.XLOOKUP($H653,Data!$E:$E,Data!$G:$G,"Revisar",0)</f>
        <v>0</v>
      </c>
      <c r="K653" s="20"/>
      <c r="L653" s="18"/>
      <c r="M653" s="20"/>
      <c r="N653" s="14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 ht="15" customHeight="1" x14ac:dyDescent="0.3">
      <c r="A654" s="13"/>
      <c r="B654" s="14"/>
      <c r="C654" s="15"/>
      <c r="D654" s="17"/>
      <c r="E654" s="14"/>
      <c r="F654" s="18"/>
      <c r="G654" s="12" t="str">
        <f>IFERROR(VLOOKUP(D654,Data!$A:$B,2,0),"Revisar")</f>
        <v>Revisar</v>
      </c>
      <c r="H654" s="20"/>
      <c r="I654" s="157">
        <f t="array" ref="I654">_xlfn.XLOOKUP($H654,Data!$E:$E,Data!$F:$F,"Revisar",0)</f>
        <v>0</v>
      </c>
      <c r="J654" s="157">
        <f t="array" ref="J654">_xlfn.XLOOKUP($H654,Data!$E:$E,Data!$G:$G,"Revisar",0)</f>
        <v>0</v>
      </c>
      <c r="K654" s="20"/>
      <c r="L654" s="18"/>
      <c r="M654" s="20"/>
      <c r="N654" s="14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 ht="15" customHeight="1" x14ac:dyDescent="0.3">
      <c r="A655" s="13"/>
      <c r="B655" s="14"/>
      <c r="C655" s="15"/>
      <c r="D655" s="17"/>
      <c r="E655" s="14"/>
      <c r="F655" s="18"/>
      <c r="G655" s="12" t="str">
        <f>IFERROR(VLOOKUP(D655,Data!$A:$B,2,0),"Revisar")</f>
        <v>Revisar</v>
      </c>
      <c r="H655" s="20"/>
      <c r="I655" s="157">
        <f t="array" ref="I655">_xlfn.XLOOKUP($H655,Data!$E:$E,Data!$F:$F,"Revisar",0)</f>
        <v>0</v>
      </c>
      <c r="J655" s="157">
        <f t="array" ref="J655">_xlfn.XLOOKUP($H655,Data!$E:$E,Data!$G:$G,"Revisar",0)</f>
        <v>0</v>
      </c>
      <c r="K655" s="20"/>
      <c r="L655" s="18"/>
      <c r="M655" s="20"/>
      <c r="N655" s="14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ht="15" customHeight="1" x14ac:dyDescent="0.3">
      <c r="A656" s="13"/>
      <c r="B656" s="14"/>
      <c r="C656" s="15"/>
      <c r="D656" s="17"/>
      <c r="E656" s="14"/>
      <c r="F656" s="18"/>
      <c r="G656" s="12" t="str">
        <f>IFERROR(VLOOKUP(D656,Data!$A:$B,2,0),"Revisar")</f>
        <v>Revisar</v>
      </c>
      <c r="H656" s="20"/>
      <c r="I656" s="157">
        <f t="array" ref="I656">_xlfn.XLOOKUP($H656,Data!$E:$E,Data!$F:$F,"Revisar",0)</f>
        <v>0</v>
      </c>
      <c r="J656" s="157">
        <f t="array" ref="J656">_xlfn.XLOOKUP($H656,Data!$E:$E,Data!$G:$G,"Revisar",0)</f>
        <v>0</v>
      </c>
      <c r="K656" s="20"/>
      <c r="L656" s="18"/>
      <c r="M656" s="20"/>
      <c r="N656" s="14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ht="15" customHeight="1" x14ac:dyDescent="0.3">
      <c r="A657" s="13"/>
      <c r="B657" s="14"/>
      <c r="C657" s="15"/>
      <c r="D657" s="17"/>
      <c r="E657" s="14"/>
      <c r="F657" s="18"/>
      <c r="G657" s="12" t="str">
        <f>IFERROR(VLOOKUP(D657,Data!$A:$B,2,0),"Revisar")</f>
        <v>Revisar</v>
      </c>
      <c r="H657" s="20"/>
      <c r="I657" s="157">
        <f t="array" ref="I657">_xlfn.XLOOKUP($H657,Data!$E:$E,Data!$F:$F,"Revisar",0)</f>
        <v>0</v>
      </c>
      <c r="J657" s="157">
        <f t="array" ref="J657">_xlfn.XLOOKUP($H657,Data!$E:$E,Data!$G:$G,"Revisar",0)</f>
        <v>0</v>
      </c>
      <c r="K657" s="20"/>
      <c r="L657" s="18"/>
      <c r="M657" s="20"/>
      <c r="N657" s="14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ht="15" customHeight="1" x14ac:dyDescent="0.3">
      <c r="A658" s="13"/>
      <c r="B658" s="14"/>
      <c r="C658" s="15"/>
      <c r="D658" s="17"/>
      <c r="E658" s="14"/>
      <c r="F658" s="18"/>
      <c r="G658" s="12" t="str">
        <f>IFERROR(VLOOKUP(D658,Data!$A:$B,2,0),"Revisar")</f>
        <v>Revisar</v>
      </c>
      <c r="H658" s="20"/>
      <c r="I658" s="157">
        <f t="array" ref="I658">_xlfn.XLOOKUP($H658,Data!$E:$E,Data!$F:$F,"Revisar",0)</f>
        <v>0</v>
      </c>
      <c r="J658" s="157">
        <f t="array" ref="J658">_xlfn.XLOOKUP($H658,Data!$E:$E,Data!$G:$G,"Revisar",0)</f>
        <v>0</v>
      </c>
      <c r="K658" s="20"/>
      <c r="L658" s="18"/>
      <c r="M658" s="20"/>
      <c r="N658" s="14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 ht="15" customHeight="1" x14ac:dyDescent="0.3">
      <c r="A659" s="13"/>
      <c r="B659" s="14"/>
      <c r="C659" s="15"/>
      <c r="D659" s="17"/>
      <c r="E659" s="14"/>
      <c r="F659" s="18"/>
      <c r="G659" s="12" t="str">
        <f>IFERROR(VLOOKUP(D659,Data!$A:$B,2,0),"Revisar")</f>
        <v>Revisar</v>
      </c>
      <c r="H659" s="20"/>
      <c r="I659" s="157">
        <f t="array" ref="I659">_xlfn.XLOOKUP($H659,Data!$E:$E,Data!$F:$F,"Revisar",0)</f>
        <v>0</v>
      </c>
      <c r="J659" s="157">
        <f t="array" ref="J659">_xlfn.XLOOKUP($H659,Data!$E:$E,Data!$G:$G,"Revisar",0)</f>
        <v>0</v>
      </c>
      <c r="K659" s="20"/>
      <c r="L659" s="18"/>
      <c r="M659" s="20"/>
      <c r="N659" s="14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ht="15" customHeight="1" x14ac:dyDescent="0.3">
      <c r="A660" s="13"/>
      <c r="B660" s="14"/>
      <c r="C660" s="15"/>
      <c r="D660" s="17"/>
      <c r="E660" s="14"/>
      <c r="F660" s="18"/>
      <c r="G660" s="12" t="str">
        <f>IFERROR(VLOOKUP(D660,Data!$A:$B,2,0),"Revisar")</f>
        <v>Revisar</v>
      </c>
      <c r="H660" s="20"/>
      <c r="I660" s="157">
        <f t="array" ref="I660">_xlfn.XLOOKUP($H660,Data!$E:$E,Data!$F:$F,"Revisar",0)</f>
        <v>0</v>
      </c>
      <c r="J660" s="157">
        <f t="array" ref="J660">_xlfn.XLOOKUP($H660,Data!$E:$E,Data!$G:$G,"Revisar",0)</f>
        <v>0</v>
      </c>
      <c r="K660" s="20"/>
      <c r="L660" s="18"/>
      <c r="M660" s="20"/>
      <c r="N660" s="14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ht="15" customHeight="1" x14ac:dyDescent="0.3">
      <c r="A661" s="13"/>
      <c r="B661" s="14"/>
      <c r="C661" s="15"/>
      <c r="D661" s="17"/>
      <c r="E661" s="14"/>
      <c r="F661" s="18"/>
      <c r="G661" s="12" t="str">
        <f>IFERROR(VLOOKUP(D661,Data!$A:$B,2,0),"Revisar")</f>
        <v>Revisar</v>
      </c>
      <c r="H661" s="20"/>
      <c r="I661" s="157">
        <f t="array" ref="I661">_xlfn.XLOOKUP($H661,Data!$E:$E,Data!$F:$F,"Revisar",0)</f>
        <v>0</v>
      </c>
      <c r="J661" s="157">
        <f t="array" ref="J661">_xlfn.XLOOKUP($H661,Data!$E:$E,Data!$G:$G,"Revisar",0)</f>
        <v>0</v>
      </c>
      <c r="K661" s="20"/>
      <c r="L661" s="18"/>
      <c r="M661" s="20"/>
      <c r="N661" s="14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ht="15" customHeight="1" x14ac:dyDescent="0.3">
      <c r="A662" s="13"/>
      <c r="B662" s="14"/>
      <c r="C662" s="15"/>
      <c r="D662" s="17"/>
      <c r="E662" s="14"/>
      <c r="F662" s="18"/>
      <c r="G662" s="12" t="str">
        <f>IFERROR(VLOOKUP(D662,Data!$A:$B,2,0),"Revisar")</f>
        <v>Revisar</v>
      </c>
      <c r="H662" s="20"/>
      <c r="I662" s="157">
        <f t="array" ref="I662">_xlfn.XLOOKUP($H662,Data!$E:$E,Data!$F:$F,"Revisar",0)</f>
        <v>0</v>
      </c>
      <c r="J662" s="157">
        <f t="array" ref="J662">_xlfn.XLOOKUP($H662,Data!$E:$E,Data!$G:$G,"Revisar",0)</f>
        <v>0</v>
      </c>
      <c r="K662" s="20"/>
      <c r="L662" s="18"/>
      <c r="M662" s="20"/>
      <c r="N662" s="14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 ht="15" customHeight="1" x14ac:dyDescent="0.3">
      <c r="A663" s="13"/>
      <c r="B663" s="14"/>
      <c r="C663" s="15"/>
      <c r="D663" s="17"/>
      <c r="E663" s="14"/>
      <c r="F663" s="18"/>
      <c r="G663" s="12" t="str">
        <f>IFERROR(VLOOKUP(D663,Data!$A:$B,2,0),"Revisar")</f>
        <v>Revisar</v>
      </c>
      <c r="H663" s="20"/>
      <c r="I663" s="157">
        <f t="array" ref="I663">_xlfn.XLOOKUP($H663,Data!$E:$E,Data!$F:$F,"Revisar",0)</f>
        <v>0</v>
      </c>
      <c r="J663" s="157">
        <f t="array" ref="J663">_xlfn.XLOOKUP($H663,Data!$E:$E,Data!$G:$G,"Revisar",0)</f>
        <v>0</v>
      </c>
      <c r="K663" s="20"/>
      <c r="L663" s="18"/>
      <c r="M663" s="20"/>
      <c r="N663" s="14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ht="15" customHeight="1" x14ac:dyDescent="0.3">
      <c r="A664" s="13"/>
      <c r="B664" s="14"/>
      <c r="C664" s="15"/>
      <c r="D664" s="17"/>
      <c r="E664" s="14"/>
      <c r="F664" s="18"/>
      <c r="G664" s="12" t="str">
        <f>IFERROR(VLOOKUP(D664,Data!$A:$B,2,0),"Revisar")</f>
        <v>Revisar</v>
      </c>
      <c r="H664" s="20"/>
      <c r="I664" s="157">
        <f t="array" ref="I664">_xlfn.XLOOKUP($H664,Data!$E:$E,Data!$F:$F,"Revisar",0)</f>
        <v>0</v>
      </c>
      <c r="J664" s="157">
        <f t="array" ref="J664">_xlfn.XLOOKUP($H664,Data!$E:$E,Data!$G:$G,"Revisar",0)</f>
        <v>0</v>
      </c>
      <c r="K664" s="20"/>
      <c r="L664" s="18"/>
      <c r="M664" s="20"/>
      <c r="N664" s="14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ht="15" customHeight="1" x14ac:dyDescent="0.3">
      <c r="A665" s="13"/>
      <c r="B665" s="14"/>
      <c r="C665" s="15"/>
      <c r="D665" s="17"/>
      <c r="E665" s="14"/>
      <c r="F665" s="18"/>
      <c r="G665" s="12" t="str">
        <f>IFERROR(VLOOKUP(D665,Data!$A:$B,2,0),"Revisar")</f>
        <v>Revisar</v>
      </c>
      <c r="H665" s="20"/>
      <c r="I665" s="157">
        <f t="array" ref="I665">_xlfn.XLOOKUP($H665,Data!$E:$E,Data!$F:$F,"Revisar",0)</f>
        <v>0</v>
      </c>
      <c r="J665" s="157">
        <f t="array" ref="J665">_xlfn.XLOOKUP($H665,Data!$E:$E,Data!$G:$G,"Revisar",0)</f>
        <v>0</v>
      </c>
      <c r="K665" s="20"/>
      <c r="L665" s="18"/>
      <c r="M665" s="20"/>
      <c r="N665" s="14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ht="15" customHeight="1" x14ac:dyDescent="0.3">
      <c r="A666" s="13"/>
      <c r="B666" s="14"/>
      <c r="C666" s="15"/>
      <c r="D666" s="17"/>
      <c r="E666" s="14"/>
      <c r="F666" s="18"/>
      <c r="G666" s="12" t="str">
        <f>IFERROR(VLOOKUP(D666,Data!$A:$B,2,0),"Revisar")</f>
        <v>Revisar</v>
      </c>
      <c r="H666" s="20"/>
      <c r="I666" s="157">
        <f t="array" ref="I666">_xlfn.XLOOKUP($H666,Data!$E:$E,Data!$F:$F,"Revisar",0)</f>
        <v>0</v>
      </c>
      <c r="J666" s="157">
        <f t="array" ref="J666">_xlfn.XLOOKUP($H666,Data!$E:$E,Data!$G:$G,"Revisar",0)</f>
        <v>0</v>
      </c>
      <c r="K666" s="20"/>
      <c r="L666" s="18"/>
      <c r="M666" s="20"/>
      <c r="N666" s="14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 ht="15" customHeight="1" x14ac:dyDescent="0.3">
      <c r="A667" s="13"/>
      <c r="B667" s="14"/>
      <c r="C667" s="15"/>
      <c r="D667" s="17"/>
      <c r="E667" s="14"/>
      <c r="F667" s="18"/>
      <c r="G667" s="12" t="str">
        <f>IFERROR(VLOOKUP(D667,Data!$A:$B,2,0),"Revisar")</f>
        <v>Revisar</v>
      </c>
      <c r="H667" s="20"/>
      <c r="I667" s="157">
        <f t="array" ref="I667">_xlfn.XLOOKUP($H667,Data!$E:$E,Data!$F:$F,"Revisar",0)</f>
        <v>0</v>
      </c>
      <c r="J667" s="157">
        <f t="array" ref="J667">_xlfn.XLOOKUP($H667,Data!$E:$E,Data!$G:$G,"Revisar",0)</f>
        <v>0</v>
      </c>
      <c r="K667" s="20"/>
      <c r="L667" s="18"/>
      <c r="M667" s="20"/>
      <c r="N667" s="14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ht="15" customHeight="1" x14ac:dyDescent="0.3">
      <c r="A668" s="13"/>
      <c r="B668" s="14"/>
      <c r="C668" s="15"/>
      <c r="D668" s="17"/>
      <c r="E668" s="14"/>
      <c r="F668" s="18"/>
      <c r="G668" s="12" t="str">
        <f>IFERROR(VLOOKUP(D668,Data!$A:$B,2,0),"Revisar")</f>
        <v>Revisar</v>
      </c>
      <c r="H668" s="20"/>
      <c r="I668" s="157">
        <f t="array" ref="I668">_xlfn.XLOOKUP($H668,Data!$E:$E,Data!$F:$F,"Revisar",0)</f>
        <v>0</v>
      </c>
      <c r="J668" s="157">
        <f t="array" ref="J668">_xlfn.XLOOKUP($H668,Data!$E:$E,Data!$G:$G,"Revisar",0)</f>
        <v>0</v>
      </c>
      <c r="K668" s="20"/>
      <c r="L668" s="18"/>
      <c r="M668" s="20"/>
      <c r="N668" s="14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ht="15" customHeight="1" x14ac:dyDescent="0.3">
      <c r="A669" s="13"/>
      <c r="B669" s="14"/>
      <c r="C669" s="15"/>
      <c r="D669" s="17"/>
      <c r="E669" s="14"/>
      <c r="F669" s="18"/>
      <c r="G669" s="12" t="str">
        <f>IFERROR(VLOOKUP(D669,Data!$A:$B,2,0),"Revisar")</f>
        <v>Revisar</v>
      </c>
      <c r="H669" s="20"/>
      <c r="I669" s="157">
        <f t="array" ref="I669">_xlfn.XLOOKUP($H669,Data!$E:$E,Data!$F:$F,"Revisar",0)</f>
        <v>0</v>
      </c>
      <c r="J669" s="157">
        <f t="array" ref="J669">_xlfn.XLOOKUP($H669,Data!$E:$E,Data!$G:$G,"Revisar",0)</f>
        <v>0</v>
      </c>
      <c r="K669" s="20"/>
      <c r="L669" s="18"/>
      <c r="M669" s="20"/>
      <c r="N669" s="14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 ht="15" customHeight="1" x14ac:dyDescent="0.3">
      <c r="A670" s="13"/>
      <c r="B670" s="14"/>
      <c r="C670" s="15"/>
      <c r="D670" s="17"/>
      <c r="E670" s="14"/>
      <c r="F670" s="18"/>
      <c r="G670" s="12" t="str">
        <f>IFERROR(VLOOKUP(D670,Data!$A:$B,2,0),"Revisar")</f>
        <v>Revisar</v>
      </c>
      <c r="H670" s="20"/>
      <c r="I670" s="157">
        <f t="array" ref="I670">_xlfn.XLOOKUP($H670,Data!$E:$E,Data!$F:$F,"Revisar",0)</f>
        <v>0</v>
      </c>
      <c r="J670" s="157">
        <f t="array" ref="J670">_xlfn.XLOOKUP($H670,Data!$E:$E,Data!$G:$G,"Revisar",0)</f>
        <v>0</v>
      </c>
      <c r="K670" s="20"/>
      <c r="L670" s="18"/>
      <c r="M670" s="20"/>
      <c r="N670" s="14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 ht="15" customHeight="1" x14ac:dyDescent="0.3">
      <c r="A671" s="13"/>
      <c r="B671" s="14"/>
      <c r="C671" s="15"/>
      <c r="D671" s="17"/>
      <c r="E671" s="14"/>
      <c r="F671" s="18"/>
      <c r="G671" s="12" t="str">
        <f>IFERROR(VLOOKUP(D671,Data!$A:$B,2,0),"Revisar")</f>
        <v>Revisar</v>
      </c>
      <c r="H671" s="20"/>
      <c r="I671" s="157">
        <f t="array" ref="I671">_xlfn.XLOOKUP($H671,Data!$E:$E,Data!$F:$F,"Revisar",0)</f>
        <v>0</v>
      </c>
      <c r="J671" s="157">
        <f t="array" ref="J671">_xlfn.XLOOKUP($H671,Data!$E:$E,Data!$G:$G,"Revisar",0)</f>
        <v>0</v>
      </c>
      <c r="K671" s="20"/>
      <c r="L671" s="18"/>
      <c r="M671" s="20"/>
      <c r="N671" s="14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 ht="15" customHeight="1" x14ac:dyDescent="0.3">
      <c r="A672" s="13"/>
      <c r="B672" s="14"/>
      <c r="C672" s="15"/>
      <c r="D672" s="17"/>
      <c r="E672" s="14"/>
      <c r="F672" s="18"/>
      <c r="G672" s="12" t="str">
        <f>IFERROR(VLOOKUP(D672,Data!$A:$B,2,0),"Revisar")</f>
        <v>Revisar</v>
      </c>
      <c r="H672" s="20"/>
      <c r="I672" s="157">
        <f t="array" ref="I672">_xlfn.XLOOKUP($H672,Data!$E:$E,Data!$F:$F,"Revisar",0)</f>
        <v>0</v>
      </c>
      <c r="J672" s="157">
        <f t="array" ref="J672">_xlfn.XLOOKUP($H672,Data!$E:$E,Data!$G:$G,"Revisar",0)</f>
        <v>0</v>
      </c>
      <c r="K672" s="20"/>
      <c r="L672" s="18"/>
      <c r="M672" s="20"/>
      <c r="N672" s="14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ht="15" customHeight="1" x14ac:dyDescent="0.3">
      <c r="A673" s="13"/>
      <c r="B673" s="14"/>
      <c r="C673" s="15"/>
      <c r="D673" s="17"/>
      <c r="E673" s="14"/>
      <c r="F673" s="18"/>
      <c r="G673" s="12" t="str">
        <f>IFERROR(VLOOKUP(D673,Data!$A:$B,2,0),"Revisar")</f>
        <v>Revisar</v>
      </c>
      <c r="H673" s="20"/>
      <c r="I673" s="157">
        <f t="array" ref="I673">_xlfn.XLOOKUP($H673,Data!$E:$E,Data!$F:$F,"Revisar",0)</f>
        <v>0</v>
      </c>
      <c r="J673" s="157">
        <f t="array" ref="J673">_xlfn.XLOOKUP($H673,Data!$E:$E,Data!$G:$G,"Revisar",0)</f>
        <v>0</v>
      </c>
      <c r="K673" s="20"/>
      <c r="L673" s="18"/>
      <c r="M673" s="20"/>
      <c r="N673" s="14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ht="15" customHeight="1" x14ac:dyDescent="0.3">
      <c r="A674" s="13"/>
      <c r="B674" s="14"/>
      <c r="C674" s="15"/>
      <c r="D674" s="17"/>
      <c r="E674" s="14"/>
      <c r="F674" s="18"/>
      <c r="G674" s="12" t="str">
        <f>IFERROR(VLOOKUP(D674,Data!$A:$B,2,0),"Revisar")</f>
        <v>Revisar</v>
      </c>
      <c r="H674" s="20"/>
      <c r="I674" s="157">
        <f t="array" ref="I674">_xlfn.XLOOKUP($H674,Data!$E:$E,Data!$F:$F,"Revisar",0)</f>
        <v>0</v>
      </c>
      <c r="J674" s="157">
        <f t="array" ref="J674">_xlfn.XLOOKUP($H674,Data!$E:$E,Data!$G:$G,"Revisar",0)</f>
        <v>0</v>
      </c>
      <c r="K674" s="20"/>
      <c r="L674" s="18"/>
      <c r="M674" s="20"/>
      <c r="N674" s="14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ht="15" customHeight="1" x14ac:dyDescent="0.3">
      <c r="A675" s="13"/>
      <c r="B675" s="14"/>
      <c r="C675" s="15"/>
      <c r="D675" s="17"/>
      <c r="E675" s="14"/>
      <c r="F675" s="18"/>
      <c r="G675" s="12" t="str">
        <f>IFERROR(VLOOKUP(D675,Data!$A:$B,2,0),"Revisar")</f>
        <v>Revisar</v>
      </c>
      <c r="H675" s="20"/>
      <c r="I675" s="157">
        <f t="array" ref="I675">_xlfn.XLOOKUP($H675,Data!$E:$E,Data!$F:$F,"Revisar",0)</f>
        <v>0</v>
      </c>
      <c r="J675" s="157">
        <f t="array" ref="J675">_xlfn.XLOOKUP($H675,Data!$E:$E,Data!$G:$G,"Revisar",0)</f>
        <v>0</v>
      </c>
      <c r="K675" s="20"/>
      <c r="L675" s="18"/>
      <c r="M675" s="20"/>
      <c r="N675" s="14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ht="15" customHeight="1" x14ac:dyDescent="0.3">
      <c r="A676" s="13"/>
      <c r="B676" s="14"/>
      <c r="C676" s="15"/>
      <c r="D676" s="17"/>
      <c r="E676" s="14"/>
      <c r="F676" s="18"/>
      <c r="G676" s="12" t="str">
        <f>IFERROR(VLOOKUP(D676,Data!$A:$B,2,0),"Revisar")</f>
        <v>Revisar</v>
      </c>
      <c r="H676" s="20"/>
      <c r="I676" s="157">
        <f t="array" ref="I676">_xlfn.XLOOKUP($H676,Data!$E:$E,Data!$F:$F,"Revisar",0)</f>
        <v>0</v>
      </c>
      <c r="J676" s="157">
        <f t="array" ref="J676">_xlfn.XLOOKUP($H676,Data!$E:$E,Data!$G:$G,"Revisar",0)</f>
        <v>0</v>
      </c>
      <c r="K676" s="20"/>
      <c r="L676" s="18"/>
      <c r="M676" s="20"/>
      <c r="N676" s="14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ht="15" customHeight="1" x14ac:dyDescent="0.3">
      <c r="A677" s="13"/>
      <c r="B677" s="14"/>
      <c r="C677" s="15"/>
      <c r="D677" s="17"/>
      <c r="E677" s="14"/>
      <c r="F677" s="18"/>
      <c r="G677" s="12" t="str">
        <f>IFERROR(VLOOKUP(D677,Data!$A:$B,2,0),"Revisar")</f>
        <v>Revisar</v>
      </c>
      <c r="H677" s="20"/>
      <c r="I677" s="157">
        <f t="array" ref="I677">_xlfn.XLOOKUP($H677,Data!$E:$E,Data!$F:$F,"Revisar",0)</f>
        <v>0</v>
      </c>
      <c r="J677" s="157">
        <f t="array" ref="J677">_xlfn.XLOOKUP($H677,Data!$E:$E,Data!$G:$G,"Revisar",0)</f>
        <v>0</v>
      </c>
      <c r="K677" s="20"/>
      <c r="L677" s="18"/>
      <c r="M677" s="20"/>
      <c r="N677" s="14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ht="15" customHeight="1" x14ac:dyDescent="0.3">
      <c r="A678" s="13"/>
      <c r="B678" s="14"/>
      <c r="C678" s="15"/>
      <c r="D678" s="17"/>
      <c r="E678" s="14"/>
      <c r="F678" s="18"/>
      <c r="G678" s="12" t="str">
        <f>IFERROR(VLOOKUP(D678,Data!$A:$B,2,0),"Revisar")</f>
        <v>Revisar</v>
      </c>
      <c r="H678" s="20"/>
      <c r="I678" s="157">
        <f t="array" ref="I678">_xlfn.XLOOKUP($H678,Data!$E:$E,Data!$F:$F,"Revisar",0)</f>
        <v>0</v>
      </c>
      <c r="J678" s="157">
        <f t="array" ref="J678">_xlfn.XLOOKUP($H678,Data!$E:$E,Data!$G:$G,"Revisar",0)</f>
        <v>0</v>
      </c>
      <c r="K678" s="20"/>
      <c r="L678" s="18"/>
      <c r="M678" s="20"/>
      <c r="N678" s="14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 ht="15" customHeight="1" x14ac:dyDescent="0.3">
      <c r="A679" s="13"/>
      <c r="B679" s="14"/>
      <c r="C679" s="15"/>
      <c r="D679" s="17"/>
      <c r="E679" s="14"/>
      <c r="F679" s="18"/>
      <c r="G679" s="12" t="str">
        <f>IFERROR(VLOOKUP(D679,Data!$A:$B,2,0),"Revisar")</f>
        <v>Revisar</v>
      </c>
      <c r="H679" s="20"/>
      <c r="I679" s="157">
        <f t="array" ref="I679">_xlfn.XLOOKUP($H679,Data!$E:$E,Data!$F:$F,"Revisar",0)</f>
        <v>0</v>
      </c>
      <c r="J679" s="157">
        <f t="array" ref="J679">_xlfn.XLOOKUP($H679,Data!$E:$E,Data!$G:$G,"Revisar",0)</f>
        <v>0</v>
      </c>
      <c r="K679" s="20"/>
      <c r="L679" s="18"/>
      <c r="M679" s="20"/>
      <c r="N679" s="14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 ht="15" customHeight="1" x14ac:dyDescent="0.3">
      <c r="A680" s="13"/>
      <c r="B680" s="14"/>
      <c r="C680" s="15"/>
      <c r="D680" s="17"/>
      <c r="E680" s="14"/>
      <c r="F680" s="18"/>
      <c r="G680" s="12" t="str">
        <f>IFERROR(VLOOKUP(D680,Data!$A:$B,2,0),"Revisar")</f>
        <v>Revisar</v>
      </c>
      <c r="H680" s="20"/>
      <c r="I680" s="157">
        <f t="array" ref="I680">_xlfn.XLOOKUP($H680,Data!$E:$E,Data!$F:$F,"Revisar",0)</f>
        <v>0</v>
      </c>
      <c r="J680" s="157">
        <f t="array" ref="J680">_xlfn.XLOOKUP($H680,Data!$E:$E,Data!$G:$G,"Revisar",0)</f>
        <v>0</v>
      </c>
      <c r="K680" s="20"/>
      <c r="L680" s="18"/>
      <c r="M680" s="20"/>
      <c r="N680" s="14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 ht="15" customHeight="1" x14ac:dyDescent="0.3">
      <c r="A681" s="13"/>
      <c r="B681" s="14"/>
      <c r="C681" s="15"/>
      <c r="D681" s="17"/>
      <c r="E681" s="14"/>
      <c r="F681" s="18"/>
      <c r="G681" s="12" t="str">
        <f>IFERROR(VLOOKUP(D681,Data!$A:$B,2,0),"Revisar")</f>
        <v>Revisar</v>
      </c>
      <c r="H681" s="20"/>
      <c r="I681" s="157">
        <f t="array" ref="I681">_xlfn.XLOOKUP($H681,Data!$E:$E,Data!$F:$F,"Revisar",0)</f>
        <v>0</v>
      </c>
      <c r="J681" s="157">
        <f t="array" ref="J681">_xlfn.XLOOKUP($H681,Data!$E:$E,Data!$G:$G,"Revisar",0)</f>
        <v>0</v>
      </c>
      <c r="K681" s="20"/>
      <c r="L681" s="18"/>
      <c r="M681" s="20"/>
      <c r="N681" s="14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ht="15" customHeight="1" x14ac:dyDescent="0.3">
      <c r="A682" s="13"/>
      <c r="B682" s="14"/>
      <c r="C682" s="15"/>
      <c r="D682" s="17"/>
      <c r="E682" s="14"/>
      <c r="F682" s="18"/>
      <c r="G682" s="12" t="str">
        <f>IFERROR(VLOOKUP(D682,Data!$A:$B,2,0),"Revisar")</f>
        <v>Revisar</v>
      </c>
      <c r="H682" s="20"/>
      <c r="I682" s="157">
        <f t="array" ref="I682">_xlfn.XLOOKUP($H682,Data!$E:$E,Data!$F:$F,"Revisar",0)</f>
        <v>0</v>
      </c>
      <c r="J682" s="157">
        <f t="array" ref="J682">_xlfn.XLOOKUP($H682,Data!$E:$E,Data!$G:$G,"Revisar",0)</f>
        <v>0</v>
      </c>
      <c r="K682" s="20"/>
      <c r="L682" s="18"/>
      <c r="M682" s="20"/>
      <c r="N682" s="14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ht="15" customHeight="1" x14ac:dyDescent="0.3">
      <c r="A683" s="13"/>
      <c r="B683" s="14"/>
      <c r="C683" s="15"/>
      <c r="D683" s="17"/>
      <c r="E683" s="14"/>
      <c r="F683" s="18"/>
      <c r="G683" s="12" t="str">
        <f>IFERROR(VLOOKUP(D683,Data!$A:$B,2,0),"Revisar")</f>
        <v>Revisar</v>
      </c>
      <c r="H683" s="20"/>
      <c r="I683" s="157">
        <f t="array" ref="I683">_xlfn.XLOOKUP($H683,Data!$E:$E,Data!$F:$F,"Revisar",0)</f>
        <v>0</v>
      </c>
      <c r="J683" s="157">
        <f t="array" ref="J683">_xlfn.XLOOKUP($H683,Data!$E:$E,Data!$G:$G,"Revisar",0)</f>
        <v>0</v>
      </c>
      <c r="K683" s="20"/>
      <c r="L683" s="18"/>
      <c r="M683" s="20"/>
      <c r="N683" s="14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ht="15" customHeight="1" x14ac:dyDescent="0.3">
      <c r="A684" s="13"/>
      <c r="B684" s="14"/>
      <c r="C684" s="15"/>
      <c r="D684" s="17"/>
      <c r="E684" s="14"/>
      <c r="F684" s="18"/>
      <c r="G684" s="12" t="str">
        <f>IFERROR(VLOOKUP(D684,Data!$A:$B,2,0),"Revisar")</f>
        <v>Revisar</v>
      </c>
      <c r="H684" s="20"/>
      <c r="I684" s="157">
        <f t="array" ref="I684">_xlfn.XLOOKUP($H684,Data!$E:$E,Data!$F:$F,"Revisar",0)</f>
        <v>0</v>
      </c>
      <c r="J684" s="157">
        <f t="array" ref="J684">_xlfn.XLOOKUP($H684,Data!$E:$E,Data!$G:$G,"Revisar",0)</f>
        <v>0</v>
      </c>
      <c r="K684" s="20"/>
      <c r="L684" s="18"/>
      <c r="M684" s="20"/>
      <c r="N684" s="14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ht="15" customHeight="1" x14ac:dyDescent="0.3">
      <c r="A685" s="13"/>
      <c r="B685" s="14"/>
      <c r="C685" s="15"/>
      <c r="D685" s="17"/>
      <c r="E685" s="14"/>
      <c r="F685" s="18"/>
      <c r="G685" s="12" t="str">
        <f>IFERROR(VLOOKUP(D685,Data!$A:$B,2,0),"Revisar")</f>
        <v>Revisar</v>
      </c>
      <c r="H685" s="20"/>
      <c r="I685" s="157">
        <f t="array" ref="I685">_xlfn.XLOOKUP($H685,Data!$E:$E,Data!$F:$F,"Revisar",0)</f>
        <v>0</v>
      </c>
      <c r="J685" s="157">
        <f t="array" ref="J685">_xlfn.XLOOKUP($H685,Data!$E:$E,Data!$G:$G,"Revisar",0)</f>
        <v>0</v>
      </c>
      <c r="K685" s="20"/>
      <c r="L685" s="18"/>
      <c r="M685" s="20"/>
      <c r="N685" s="14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ht="15" customHeight="1" x14ac:dyDescent="0.3">
      <c r="A686" s="13"/>
      <c r="B686" s="14"/>
      <c r="C686" s="15"/>
      <c r="D686" s="17"/>
      <c r="E686" s="14"/>
      <c r="F686" s="18"/>
      <c r="G686" s="12" t="str">
        <f>IFERROR(VLOOKUP(D686,Data!$A:$B,2,0),"Revisar")</f>
        <v>Revisar</v>
      </c>
      <c r="H686" s="20"/>
      <c r="I686" s="157">
        <f t="array" ref="I686">_xlfn.XLOOKUP($H686,Data!$E:$E,Data!$F:$F,"Revisar",0)</f>
        <v>0</v>
      </c>
      <c r="J686" s="157">
        <f t="array" ref="J686">_xlfn.XLOOKUP($H686,Data!$E:$E,Data!$G:$G,"Revisar",0)</f>
        <v>0</v>
      </c>
      <c r="K686" s="20"/>
      <c r="L686" s="18"/>
      <c r="M686" s="20"/>
      <c r="N686" s="14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ht="15" customHeight="1" x14ac:dyDescent="0.3">
      <c r="A687" s="13"/>
      <c r="B687" s="14"/>
      <c r="C687" s="15"/>
      <c r="D687" s="17"/>
      <c r="E687" s="14"/>
      <c r="F687" s="18"/>
      <c r="G687" s="12" t="str">
        <f>IFERROR(VLOOKUP(D687,Data!$A:$B,2,0),"Revisar")</f>
        <v>Revisar</v>
      </c>
      <c r="H687" s="20"/>
      <c r="I687" s="157">
        <f t="array" ref="I687">_xlfn.XLOOKUP($H687,Data!$E:$E,Data!$F:$F,"Revisar",0)</f>
        <v>0</v>
      </c>
      <c r="J687" s="157">
        <f t="array" ref="J687">_xlfn.XLOOKUP($H687,Data!$E:$E,Data!$G:$G,"Revisar",0)</f>
        <v>0</v>
      </c>
      <c r="K687" s="20"/>
      <c r="L687" s="18"/>
      <c r="M687" s="20"/>
      <c r="N687" s="14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ht="15" customHeight="1" x14ac:dyDescent="0.3">
      <c r="A688" s="13"/>
      <c r="B688" s="14"/>
      <c r="C688" s="15"/>
      <c r="D688" s="17"/>
      <c r="E688" s="14"/>
      <c r="F688" s="18"/>
      <c r="G688" s="12" t="str">
        <f>IFERROR(VLOOKUP(D688,Data!$A:$B,2,0),"Revisar")</f>
        <v>Revisar</v>
      </c>
      <c r="H688" s="20"/>
      <c r="I688" s="157">
        <f t="array" ref="I688">_xlfn.XLOOKUP($H688,Data!$E:$E,Data!$F:$F,"Revisar",0)</f>
        <v>0</v>
      </c>
      <c r="J688" s="157">
        <f t="array" ref="J688">_xlfn.XLOOKUP($H688,Data!$E:$E,Data!$G:$G,"Revisar",0)</f>
        <v>0</v>
      </c>
      <c r="K688" s="20"/>
      <c r="L688" s="18"/>
      <c r="M688" s="20"/>
      <c r="N688" s="14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ht="15" customHeight="1" x14ac:dyDescent="0.3">
      <c r="A689" s="13"/>
      <c r="B689" s="14"/>
      <c r="C689" s="15"/>
      <c r="D689" s="17"/>
      <c r="E689" s="14"/>
      <c r="F689" s="18"/>
      <c r="G689" s="12" t="str">
        <f>IFERROR(VLOOKUP(D689,Data!$A:$B,2,0),"Revisar")</f>
        <v>Revisar</v>
      </c>
      <c r="H689" s="20"/>
      <c r="I689" s="157">
        <f t="array" ref="I689">_xlfn.XLOOKUP($H689,Data!$E:$E,Data!$F:$F,"Revisar",0)</f>
        <v>0</v>
      </c>
      <c r="J689" s="157">
        <f t="array" ref="J689">_xlfn.XLOOKUP($H689,Data!$E:$E,Data!$G:$G,"Revisar",0)</f>
        <v>0</v>
      </c>
      <c r="K689" s="20"/>
      <c r="L689" s="18"/>
      <c r="M689" s="20"/>
      <c r="N689" s="14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ht="15" customHeight="1" x14ac:dyDescent="0.3">
      <c r="A690" s="13"/>
      <c r="B690" s="14"/>
      <c r="C690" s="15"/>
      <c r="D690" s="17"/>
      <c r="E690" s="14"/>
      <c r="F690" s="18"/>
      <c r="G690" s="12" t="str">
        <f>IFERROR(VLOOKUP(D690,Data!$A:$B,2,0),"Revisar")</f>
        <v>Revisar</v>
      </c>
      <c r="H690" s="20"/>
      <c r="I690" s="157">
        <f t="array" ref="I690">_xlfn.XLOOKUP($H690,Data!$E:$E,Data!$F:$F,"Revisar",0)</f>
        <v>0</v>
      </c>
      <c r="J690" s="157">
        <f t="array" ref="J690">_xlfn.XLOOKUP($H690,Data!$E:$E,Data!$G:$G,"Revisar",0)</f>
        <v>0</v>
      </c>
      <c r="K690" s="20"/>
      <c r="L690" s="18"/>
      <c r="M690" s="20"/>
      <c r="N690" s="14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ht="15" customHeight="1" x14ac:dyDescent="0.3">
      <c r="A691" s="13"/>
      <c r="B691" s="14"/>
      <c r="C691" s="15"/>
      <c r="D691" s="17"/>
      <c r="E691" s="14"/>
      <c r="F691" s="18"/>
      <c r="G691" s="12" t="str">
        <f>IFERROR(VLOOKUP(D691,Data!$A:$B,2,0),"Revisar")</f>
        <v>Revisar</v>
      </c>
      <c r="H691" s="20"/>
      <c r="I691" s="157">
        <f t="array" ref="I691">_xlfn.XLOOKUP($H691,Data!$E:$E,Data!$F:$F,"Revisar",0)</f>
        <v>0</v>
      </c>
      <c r="J691" s="157">
        <f t="array" ref="J691">_xlfn.XLOOKUP($H691,Data!$E:$E,Data!$G:$G,"Revisar",0)</f>
        <v>0</v>
      </c>
      <c r="K691" s="20"/>
      <c r="L691" s="18"/>
      <c r="M691" s="20"/>
      <c r="N691" s="14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ht="15" customHeight="1" x14ac:dyDescent="0.3">
      <c r="A692" s="13"/>
      <c r="B692" s="14"/>
      <c r="C692" s="15"/>
      <c r="D692" s="17"/>
      <c r="E692" s="14"/>
      <c r="F692" s="18"/>
      <c r="G692" s="12" t="str">
        <f>IFERROR(VLOOKUP(D692,Data!$A:$B,2,0),"Revisar")</f>
        <v>Revisar</v>
      </c>
      <c r="H692" s="20"/>
      <c r="I692" s="157">
        <f t="array" ref="I692">_xlfn.XLOOKUP($H692,Data!$E:$E,Data!$F:$F,"Revisar",0)</f>
        <v>0</v>
      </c>
      <c r="J692" s="157">
        <f t="array" ref="J692">_xlfn.XLOOKUP($H692,Data!$E:$E,Data!$G:$G,"Revisar",0)</f>
        <v>0</v>
      </c>
      <c r="K692" s="20"/>
      <c r="L692" s="18"/>
      <c r="M692" s="20"/>
      <c r="N692" s="14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ht="15" customHeight="1" x14ac:dyDescent="0.3">
      <c r="A693" s="13"/>
      <c r="B693" s="14"/>
      <c r="C693" s="15"/>
      <c r="D693" s="17"/>
      <c r="E693" s="14"/>
      <c r="F693" s="18"/>
      <c r="G693" s="12" t="str">
        <f>IFERROR(VLOOKUP(D693,Data!$A:$B,2,0),"Revisar")</f>
        <v>Revisar</v>
      </c>
      <c r="H693" s="20"/>
      <c r="I693" s="157">
        <f t="array" ref="I693">_xlfn.XLOOKUP($H693,Data!$E:$E,Data!$F:$F,"Revisar",0)</f>
        <v>0</v>
      </c>
      <c r="J693" s="157">
        <f t="array" ref="J693">_xlfn.XLOOKUP($H693,Data!$E:$E,Data!$G:$G,"Revisar",0)</f>
        <v>0</v>
      </c>
      <c r="K693" s="20"/>
      <c r="L693" s="18"/>
      <c r="M693" s="20"/>
      <c r="N693" s="14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ht="15" customHeight="1" x14ac:dyDescent="0.3">
      <c r="A694" s="13"/>
      <c r="B694" s="14"/>
      <c r="C694" s="15"/>
      <c r="D694" s="17"/>
      <c r="E694" s="14"/>
      <c r="F694" s="18"/>
      <c r="G694" s="12" t="str">
        <f>IFERROR(VLOOKUP(D694,Data!$A:$B,2,0),"Revisar")</f>
        <v>Revisar</v>
      </c>
      <c r="H694" s="20"/>
      <c r="I694" s="157">
        <f t="array" ref="I694">_xlfn.XLOOKUP($H694,Data!$E:$E,Data!$F:$F,"Revisar",0)</f>
        <v>0</v>
      </c>
      <c r="J694" s="157">
        <f t="array" ref="J694">_xlfn.XLOOKUP($H694,Data!$E:$E,Data!$G:$G,"Revisar",0)</f>
        <v>0</v>
      </c>
      <c r="K694" s="20"/>
      <c r="L694" s="18"/>
      <c r="M694" s="20"/>
      <c r="N694" s="14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ht="15" customHeight="1" x14ac:dyDescent="0.3">
      <c r="A695" s="13"/>
      <c r="B695" s="14"/>
      <c r="C695" s="15"/>
      <c r="D695" s="17"/>
      <c r="E695" s="14"/>
      <c r="F695" s="18"/>
      <c r="G695" s="12" t="str">
        <f>IFERROR(VLOOKUP(D695,Data!$A:$B,2,0),"Revisar")</f>
        <v>Revisar</v>
      </c>
      <c r="H695" s="20"/>
      <c r="I695" s="157">
        <f t="array" ref="I695">_xlfn.XLOOKUP($H695,Data!$E:$E,Data!$F:$F,"Revisar",0)</f>
        <v>0</v>
      </c>
      <c r="J695" s="157">
        <f t="array" ref="J695">_xlfn.XLOOKUP($H695,Data!$E:$E,Data!$G:$G,"Revisar",0)</f>
        <v>0</v>
      </c>
      <c r="K695" s="20"/>
      <c r="L695" s="18"/>
      <c r="M695" s="20"/>
      <c r="N695" s="14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ht="15" customHeight="1" x14ac:dyDescent="0.3">
      <c r="A696" s="13"/>
      <c r="B696" s="14"/>
      <c r="C696" s="15"/>
      <c r="D696" s="17"/>
      <c r="E696" s="14"/>
      <c r="F696" s="18"/>
      <c r="G696" s="12" t="str">
        <f>IFERROR(VLOOKUP(D696,Data!$A:$B,2,0),"Revisar")</f>
        <v>Revisar</v>
      </c>
      <c r="H696" s="20"/>
      <c r="I696" s="157">
        <f t="array" ref="I696">_xlfn.XLOOKUP($H696,Data!$E:$E,Data!$F:$F,"Revisar",0)</f>
        <v>0</v>
      </c>
      <c r="J696" s="157">
        <f t="array" ref="J696">_xlfn.XLOOKUP($H696,Data!$E:$E,Data!$G:$G,"Revisar",0)</f>
        <v>0</v>
      </c>
      <c r="K696" s="20"/>
      <c r="L696" s="18"/>
      <c r="M696" s="20"/>
      <c r="N696" s="14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ht="15" customHeight="1" x14ac:dyDescent="0.3">
      <c r="A697" s="13"/>
      <c r="B697" s="14"/>
      <c r="C697" s="15"/>
      <c r="D697" s="17"/>
      <c r="E697" s="14"/>
      <c r="F697" s="18"/>
      <c r="G697" s="12" t="str">
        <f>IFERROR(VLOOKUP(D697,Data!$A:$B,2,0),"Revisar")</f>
        <v>Revisar</v>
      </c>
      <c r="H697" s="20"/>
      <c r="I697" s="157">
        <f t="array" ref="I697">_xlfn.XLOOKUP($H697,Data!$E:$E,Data!$F:$F,"Revisar",0)</f>
        <v>0</v>
      </c>
      <c r="J697" s="157">
        <f t="array" ref="J697">_xlfn.XLOOKUP($H697,Data!$E:$E,Data!$G:$G,"Revisar",0)</f>
        <v>0</v>
      </c>
      <c r="K697" s="20"/>
      <c r="L697" s="18"/>
      <c r="M697" s="20"/>
      <c r="N697" s="14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ht="15" customHeight="1" x14ac:dyDescent="0.3">
      <c r="A698" s="13"/>
      <c r="B698" s="14"/>
      <c r="C698" s="15"/>
      <c r="D698" s="17"/>
      <c r="E698" s="14"/>
      <c r="F698" s="18"/>
      <c r="G698" s="12" t="str">
        <f>IFERROR(VLOOKUP(D698,Data!$A:$B,2,0),"Revisar")</f>
        <v>Revisar</v>
      </c>
      <c r="H698" s="20"/>
      <c r="I698" s="157">
        <f t="array" ref="I698">_xlfn.XLOOKUP($H698,Data!$E:$E,Data!$F:$F,"Revisar",0)</f>
        <v>0</v>
      </c>
      <c r="J698" s="157">
        <f t="array" ref="J698">_xlfn.XLOOKUP($H698,Data!$E:$E,Data!$G:$G,"Revisar",0)</f>
        <v>0</v>
      </c>
      <c r="K698" s="20"/>
      <c r="L698" s="18"/>
      <c r="M698" s="20"/>
      <c r="N698" s="14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ht="15" customHeight="1" x14ac:dyDescent="0.3">
      <c r="A699" s="13"/>
      <c r="B699" s="14"/>
      <c r="C699" s="15"/>
      <c r="D699" s="17"/>
      <c r="E699" s="14"/>
      <c r="F699" s="18"/>
      <c r="G699" s="12" t="str">
        <f>IFERROR(VLOOKUP(D699,Data!$A:$B,2,0),"Revisar")</f>
        <v>Revisar</v>
      </c>
      <c r="H699" s="20"/>
      <c r="I699" s="157">
        <f t="array" ref="I699">_xlfn.XLOOKUP($H699,Data!$E:$E,Data!$F:$F,"Revisar",0)</f>
        <v>0</v>
      </c>
      <c r="J699" s="157">
        <f t="array" ref="J699">_xlfn.XLOOKUP($H699,Data!$E:$E,Data!$G:$G,"Revisar",0)</f>
        <v>0</v>
      </c>
      <c r="K699" s="20"/>
      <c r="L699" s="18"/>
      <c r="M699" s="20"/>
      <c r="N699" s="14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ht="15" customHeight="1" x14ac:dyDescent="0.3">
      <c r="A700" s="13"/>
      <c r="B700" s="14"/>
      <c r="C700" s="15"/>
      <c r="D700" s="17"/>
      <c r="E700" s="14"/>
      <c r="F700" s="18"/>
      <c r="G700" s="12" t="str">
        <f>IFERROR(VLOOKUP(D700,Data!$A:$B,2,0),"Revisar")</f>
        <v>Revisar</v>
      </c>
      <c r="H700" s="20"/>
      <c r="I700" s="157">
        <f t="array" ref="I700">_xlfn.XLOOKUP($H700,Data!$E:$E,Data!$F:$F,"Revisar",0)</f>
        <v>0</v>
      </c>
      <c r="J700" s="157">
        <f t="array" ref="J700">_xlfn.XLOOKUP($H700,Data!$E:$E,Data!$G:$G,"Revisar",0)</f>
        <v>0</v>
      </c>
      <c r="K700" s="20"/>
      <c r="L700" s="18"/>
      <c r="M700" s="20"/>
      <c r="N700" s="14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ht="15" customHeight="1" x14ac:dyDescent="0.3">
      <c r="A701" s="13"/>
      <c r="B701" s="14"/>
      <c r="C701" s="15"/>
      <c r="D701" s="17"/>
      <c r="E701" s="14"/>
      <c r="F701" s="18"/>
      <c r="G701" s="12" t="str">
        <f>IFERROR(VLOOKUP(D701,Data!$A:$B,2,0),"Revisar")</f>
        <v>Revisar</v>
      </c>
      <c r="H701" s="20"/>
      <c r="I701" s="157">
        <f t="array" ref="I701">_xlfn.XLOOKUP($H701,Data!$E:$E,Data!$F:$F,"Revisar",0)</f>
        <v>0</v>
      </c>
      <c r="J701" s="157">
        <f t="array" ref="J701">_xlfn.XLOOKUP($H701,Data!$E:$E,Data!$G:$G,"Revisar",0)</f>
        <v>0</v>
      </c>
      <c r="K701" s="20"/>
      <c r="L701" s="18"/>
      <c r="M701" s="20"/>
      <c r="N701" s="14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ht="15" customHeight="1" x14ac:dyDescent="0.3">
      <c r="A702" s="13"/>
      <c r="B702" s="14"/>
      <c r="C702" s="15"/>
      <c r="D702" s="17"/>
      <c r="E702" s="14"/>
      <c r="F702" s="18"/>
      <c r="G702" s="12" t="str">
        <f>IFERROR(VLOOKUP(D702,Data!$A:$B,2,0),"Revisar")</f>
        <v>Revisar</v>
      </c>
      <c r="H702" s="20"/>
      <c r="I702" s="157">
        <f t="array" ref="I702">_xlfn.XLOOKUP($H702,Data!$E:$E,Data!$F:$F,"Revisar",0)</f>
        <v>0</v>
      </c>
      <c r="J702" s="157">
        <f t="array" ref="J702">_xlfn.XLOOKUP($H702,Data!$E:$E,Data!$G:$G,"Revisar",0)</f>
        <v>0</v>
      </c>
      <c r="K702" s="20"/>
      <c r="L702" s="18"/>
      <c r="M702" s="20"/>
      <c r="N702" s="14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ht="15" customHeight="1" x14ac:dyDescent="0.3">
      <c r="A703" s="13"/>
      <c r="B703" s="14"/>
      <c r="C703" s="15"/>
      <c r="D703" s="17"/>
      <c r="E703" s="14"/>
      <c r="F703" s="18"/>
      <c r="G703" s="12" t="str">
        <f>IFERROR(VLOOKUP(D703,Data!$A:$B,2,0),"Revisar")</f>
        <v>Revisar</v>
      </c>
      <c r="H703" s="20"/>
      <c r="I703" s="157">
        <f t="array" ref="I703">_xlfn.XLOOKUP($H703,Data!$E:$E,Data!$F:$F,"Revisar",0)</f>
        <v>0</v>
      </c>
      <c r="J703" s="157">
        <f t="array" ref="J703">_xlfn.XLOOKUP($H703,Data!$E:$E,Data!$G:$G,"Revisar",0)</f>
        <v>0</v>
      </c>
      <c r="K703" s="20"/>
      <c r="L703" s="18"/>
      <c r="M703" s="20"/>
      <c r="N703" s="14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ht="15" customHeight="1" x14ac:dyDescent="0.3">
      <c r="A704" s="13"/>
      <c r="B704" s="14"/>
      <c r="C704" s="15"/>
      <c r="D704" s="17"/>
      <c r="E704" s="14"/>
      <c r="F704" s="18"/>
      <c r="G704" s="12" t="str">
        <f>IFERROR(VLOOKUP(D704,Data!$A:$B,2,0),"Revisar")</f>
        <v>Revisar</v>
      </c>
      <c r="H704" s="20"/>
      <c r="I704" s="157">
        <f t="array" ref="I704">_xlfn.XLOOKUP($H704,Data!$E:$E,Data!$F:$F,"Revisar",0)</f>
        <v>0</v>
      </c>
      <c r="J704" s="157">
        <f t="array" ref="J704">_xlfn.XLOOKUP($H704,Data!$E:$E,Data!$G:$G,"Revisar",0)</f>
        <v>0</v>
      </c>
      <c r="K704" s="20"/>
      <c r="L704" s="18"/>
      <c r="M704" s="20"/>
      <c r="N704" s="14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ht="15" customHeight="1" x14ac:dyDescent="0.3">
      <c r="A705" s="13"/>
      <c r="B705" s="14"/>
      <c r="C705" s="15"/>
      <c r="D705" s="17"/>
      <c r="E705" s="14"/>
      <c r="F705" s="18"/>
      <c r="G705" s="12" t="str">
        <f>IFERROR(VLOOKUP(D705,Data!$A:$B,2,0),"Revisar")</f>
        <v>Revisar</v>
      </c>
      <c r="H705" s="20"/>
      <c r="I705" s="157">
        <f t="array" ref="I705">_xlfn.XLOOKUP($H705,Data!$E:$E,Data!$F:$F,"Revisar",0)</f>
        <v>0</v>
      </c>
      <c r="J705" s="157">
        <f t="array" ref="J705">_xlfn.XLOOKUP($H705,Data!$E:$E,Data!$G:$G,"Revisar",0)</f>
        <v>0</v>
      </c>
      <c r="K705" s="20"/>
      <c r="L705" s="18"/>
      <c r="M705" s="20"/>
      <c r="N705" s="14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ht="15" customHeight="1" x14ac:dyDescent="0.3">
      <c r="A706" s="13"/>
      <c r="B706" s="14"/>
      <c r="C706" s="15"/>
      <c r="D706" s="17"/>
      <c r="E706" s="14"/>
      <c r="F706" s="18"/>
      <c r="G706" s="12" t="str">
        <f>IFERROR(VLOOKUP(D706,Data!$A:$B,2,0),"Revisar")</f>
        <v>Revisar</v>
      </c>
      <c r="H706" s="20"/>
      <c r="I706" s="157">
        <f t="array" ref="I706">_xlfn.XLOOKUP($H706,Data!$E:$E,Data!$F:$F,"Revisar",0)</f>
        <v>0</v>
      </c>
      <c r="J706" s="157">
        <f t="array" ref="J706">_xlfn.XLOOKUP($H706,Data!$E:$E,Data!$G:$G,"Revisar",0)</f>
        <v>0</v>
      </c>
      <c r="K706" s="20"/>
      <c r="L706" s="18"/>
      <c r="M706" s="20"/>
      <c r="N706" s="14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ht="15" customHeight="1" x14ac:dyDescent="0.3">
      <c r="A707" s="13"/>
      <c r="B707" s="14"/>
      <c r="C707" s="15"/>
      <c r="D707" s="17"/>
      <c r="E707" s="14"/>
      <c r="F707" s="18"/>
      <c r="G707" s="12" t="str">
        <f>IFERROR(VLOOKUP(D707,Data!$A:$B,2,0),"Revisar")</f>
        <v>Revisar</v>
      </c>
      <c r="H707" s="20"/>
      <c r="I707" s="157">
        <f t="array" ref="I707">_xlfn.XLOOKUP($H707,Data!$E:$E,Data!$F:$F,"Revisar",0)</f>
        <v>0</v>
      </c>
      <c r="J707" s="157">
        <f t="array" ref="J707">_xlfn.XLOOKUP($H707,Data!$E:$E,Data!$G:$G,"Revisar",0)</f>
        <v>0</v>
      </c>
      <c r="K707" s="20"/>
      <c r="L707" s="18"/>
      <c r="M707" s="20"/>
      <c r="N707" s="14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ht="15" customHeight="1" x14ac:dyDescent="0.3">
      <c r="A708" s="13"/>
      <c r="B708" s="14"/>
      <c r="C708" s="15"/>
      <c r="D708" s="17"/>
      <c r="E708" s="14"/>
      <c r="F708" s="18"/>
      <c r="G708" s="12" t="str">
        <f>IFERROR(VLOOKUP(D708,Data!$A:$B,2,0),"Revisar")</f>
        <v>Revisar</v>
      </c>
      <c r="H708" s="20"/>
      <c r="I708" s="157">
        <f t="array" ref="I708">_xlfn.XLOOKUP($H708,Data!$E:$E,Data!$F:$F,"Revisar",0)</f>
        <v>0</v>
      </c>
      <c r="J708" s="157">
        <f t="array" ref="J708">_xlfn.XLOOKUP($H708,Data!$E:$E,Data!$G:$G,"Revisar",0)</f>
        <v>0</v>
      </c>
      <c r="K708" s="20"/>
      <c r="L708" s="18"/>
      <c r="M708" s="20"/>
      <c r="N708" s="14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ht="15" customHeight="1" x14ac:dyDescent="0.3">
      <c r="A709" s="13"/>
      <c r="B709" s="14"/>
      <c r="C709" s="15"/>
      <c r="D709" s="17"/>
      <c r="E709" s="14"/>
      <c r="F709" s="18"/>
      <c r="G709" s="12" t="str">
        <f>IFERROR(VLOOKUP(D709,Data!$A:$B,2,0),"Revisar")</f>
        <v>Revisar</v>
      </c>
      <c r="H709" s="20"/>
      <c r="I709" s="157">
        <f t="array" ref="I709">_xlfn.XLOOKUP($H709,Data!$E:$E,Data!$F:$F,"Revisar",0)</f>
        <v>0</v>
      </c>
      <c r="J709" s="157">
        <f t="array" ref="J709">_xlfn.XLOOKUP($H709,Data!$E:$E,Data!$G:$G,"Revisar",0)</f>
        <v>0</v>
      </c>
      <c r="K709" s="20"/>
      <c r="L709" s="18"/>
      <c r="M709" s="20"/>
      <c r="N709" s="14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ht="15" customHeight="1" x14ac:dyDescent="0.3">
      <c r="A710" s="13"/>
      <c r="B710" s="14"/>
      <c r="C710" s="15"/>
      <c r="D710" s="17"/>
      <c r="E710" s="14"/>
      <c r="F710" s="18"/>
      <c r="G710" s="12" t="str">
        <f>IFERROR(VLOOKUP(D710,Data!$A:$B,2,0),"Revisar")</f>
        <v>Revisar</v>
      </c>
      <c r="H710" s="20"/>
      <c r="I710" s="157">
        <f t="array" ref="I710">_xlfn.XLOOKUP($H710,Data!$E:$E,Data!$F:$F,"Revisar",0)</f>
        <v>0</v>
      </c>
      <c r="J710" s="157">
        <f t="array" ref="J710">_xlfn.XLOOKUP($H710,Data!$E:$E,Data!$G:$G,"Revisar",0)</f>
        <v>0</v>
      </c>
      <c r="K710" s="20"/>
      <c r="L710" s="18"/>
      <c r="M710" s="20"/>
      <c r="N710" s="14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ht="15" customHeight="1" x14ac:dyDescent="0.3">
      <c r="A711" s="13"/>
      <c r="B711" s="14"/>
      <c r="C711" s="15"/>
      <c r="D711" s="17"/>
      <c r="E711" s="14"/>
      <c r="F711" s="18"/>
      <c r="G711" s="12" t="str">
        <f>IFERROR(VLOOKUP(D711,Data!$A:$B,2,0),"Revisar")</f>
        <v>Revisar</v>
      </c>
      <c r="H711" s="20"/>
      <c r="I711" s="157">
        <f t="array" ref="I711">_xlfn.XLOOKUP($H711,Data!$E:$E,Data!$F:$F,"Revisar",0)</f>
        <v>0</v>
      </c>
      <c r="J711" s="157">
        <f t="array" ref="J711">_xlfn.XLOOKUP($H711,Data!$E:$E,Data!$G:$G,"Revisar",0)</f>
        <v>0</v>
      </c>
      <c r="K711" s="20"/>
      <c r="L711" s="18"/>
      <c r="M711" s="20"/>
      <c r="N711" s="14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ht="15" customHeight="1" x14ac:dyDescent="0.3">
      <c r="A712" s="13"/>
      <c r="B712" s="14"/>
      <c r="C712" s="15"/>
      <c r="D712" s="17"/>
      <c r="E712" s="14"/>
      <c r="F712" s="18"/>
      <c r="G712" s="12" t="str">
        <f>IFERROR(VLOOKUP(D712,Data!$A:$B,2,0),"Revisar")</f>
        <v>Revisar</v>
      </c>
      <c r="H712" s="20"/>
      <c r="I712" s="157">
        <f t="array" ref="I712">_xlfn.XLOOKUP($H712,Data!$E:$E,Data!$F:$F,"Revisar",0)</f>
        <v>0</v>
      </c>
      <c r="J712" s="157">
        <f t="array" ref="J712">_xlfn.XLOOKUP($H712,Data!$E:$E,Data!$G:$G,"Revisar",0)</f>
        <v>0</v>
      </c>
      <c r="K712" s="20"/>
      <c r="L712" s="18"/>
      <c r="M712" s="20"/>
      <c r="N712" s="14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ht="15" customHeight="1" x14ac:dyDescent="0.3">
      <c r="A713" s="13"/>
      <c r="B713" s="14"/>
      <c r="C713" s="15"/>
      <c r="D713" s="17"/>
      <c r="E713" s="14"/>
      <c r="F713" s="18"/>
      <c r="G713" s="12" t="str">
        <f>IFERROR(VLOOKUP(D713,Data!$A:$B,2,0),"Revisar")</f>
        <v>Revisar</v>
      </c>
      <c r="H713" s="20"/>
      <c r="I713" s="157">
        <f t="array" ref="I713">_xlfn.XLOOKUP($H713,Data!$E:$E,Data!$F:$F,"Revisar",0)</f>
        <v>0</v>
      </c>
      <c r="J713" s="157">
        <f t="array" ref="J713">_xlfn.XLOOKUP($H713,Data!$E:$E,Data!$G:$G,"Revisar",0)</f>
        <v>0</v>
      </c>
      <c r="K713" s="20"/>
      <c r="L713" s="18"/>
      <c r="M713" s="20"/>
      <c r="N713" s="14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ht="15" customHeight="1" x14ac:dyDescent="0.3">
      <c r="A714" s="13"/>
      <c r="B714" s="14"/>
      <c r="C714" s="15"/>
      <c r="D714" s="17"/>
      <c r="E714" s="14"/>
      <c r="F714" s="18"/>
      <c r="G714" s="12" t="str">
        <f>IFERROR(VLOOKUP(D714,Data!$A:$B,2,0),"Revisar")</f>
        <v>Revisar</v>
      </c>
      <c r="H714" s="20"/>
      <c r="I714" s="157">
        <f t="array" ref="I714">_xlfn.XLOOKUP($H714,Data!$E:$E,Data!$F:$F,"Revisar",0)</f>
        <v>0</v>
      </c>
      <c r="J714" s="157">
        <f t="array" ref="J714">_xlfn.XLOOKUP($H714,Data!$E:$E,Data!$G:$G,"Revisar",0)</f>
        <v>0</v>
      </c>
      <c r="K714" s="20"/>
      <c r="L714" s="18"/>
      <c r="M714" s="20"/>
      <c r="N714" s="14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ht="15" customHeight="1" x14ac:dyDescent="0.3">
      <c r="A715" s="13"/>
      <c r="B715" s="14"/>
      <c r="C715" s="15"/>
      <c r="D715" s="17"/>
      <c r="E715" s="14"/>
      <c r="F715" s="18"/>
      <c r="G715" s="12" t="str">
        <f>IFERROR(VLOOKUP(D715,Data!$A:$B,2,0),"Revisar")</f>
        <v>Revisar</v>
      </c>
      <c r="H715" s="20"/>
      <c r="I715" s="157">
        <f t="array" ref="I715">_xlfn.XLOOKUP($H715,Data!$E:$E,Data!$F:$F,"Revisar",0)</f>
        <v>0</v>
      </c>
      <c r="J715" s="157">
        <f t="array" ref="J715">_xlfn.XLOOKUP($H715,Data!$E:$E,Data!$G:$G,"Revisar",0)</f>
        <v>0</v>
      </c>
      <c r="K715" s="20"/>
      <c r="L715" s="18"/>
      <c r="M715" s="20"/>
      <c r="N715" s="14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ht="15" customHeight="1" x14ac:dyDescent="0.3">
      <c r="A716" s="13"/>
      <c r="B716" s="14"/>
      <c r="C716" s="15"/>
      <c r="D716" s="17"/>
      <c r="E716" s="14"/>
      <c r="F716" s="18"/>
      <c r="G716" s="12" t="str">
        <f>IFERROR(VLOOKUP(D716,Data!$A:$B,2,0),"Revisar")</f>
        <v>Revisar</v>
      </c>
      <c r="H716" s="20"/>
      <c r="I716" s="157">
        <f t="array" ref="I716">_xlfn.XLOOKUP($H716,Data!$E:$E,Data!$F:$F,"Revisar",0)</f>
        <v>0</v>
      </c>
      <c r="J716" s="157">
        <f t="array" ref="J716">_xlfn.XLOOKUP($H716,Data!$E:$E,Data!$G:$G,"Revisar",0)</f>
        <v>0</v>
      </c>
      <c r="K716" s="20"/>
      <c r="L716" s="18"/>
      <c r="M716" s="20"/>
      <c r="N716" s="14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ht="15" customHeight="1" x14ac:dyDescent="0.3">
      <c r="A717" s="13"/>
      <c r="B717" s="14"/>
      <c r="C717" s="15"/>
      <c r="D717" s="17"/>
      <c r="E717" s="14"/>
      <c r="F717" s="18"/>
      <c r="G717" s="12" t="str">
        <f>IFERROR(VLOOKUP(D717,Data!$A:$B,2,0),"Revisar")</f>
        <v>Revisar</v>
      </c>
      <c r="H717" s="20"/>
      <c r="I717" s="157">
        <f t="array" ref="I717">_xlfn.XLOOKUP($H717,Data!$E:$E,Data!$F:$F,"Revisar",0)</f>
        <v>0</v>
      </c>
      <c r="J717" s="157">
        <f t="array" ref="J717">_xlfn.XLOOKUP($H717,Data!$E:$E,Data!$G:$G,"Revisar",0)</f>
        <v>0</v>
      </c>
      <c r="K717" s="20"/>
      <c r="L717" s="18"/>
      <c r="M717" s="20"/>
      <c r="N717" s="14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ht="15" customHeight="1" x14ac:dyDescent="0.3">
      <c r="A718" s="13"/>
      <c r="B718" s="14"/>
      <c r="C718" s="15"/>
      <c r="D718" s="17"/>
      <c r="E718" s="14"/>
      <c r="F718" s="18"/>
      <c r="G718" s="12" t="str">
        <f>IFERROR(VLOOKUP(D718,Data!$A:$B,2,0),"Revisar")</f>
        <v>Revisar</v>
      </c>
      <c r="H718" s="20"/>
      <c r="I718" s="157">
        <f t="array" ref="I718">_xlfn.XLOOKUP($H718,Data!$E:$E,Data!$F:$F,"Revisar",0)</f>
        <v>0</v>
      </c>
      <c r="J718" s="157">
        <f t="array" ref="J718">_xlfn.XLOOKUP($H718,Data!$E:$E,Data!$G:$G,"Revisar",0)</f>
        <v>0</v>
      </c>
      <c r="K718" s="20"/>
      <c r="L718" s="18"/>
      <c r="M718" s="20"/>
      <c r="N718" s="14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ht="15" customHeight="1" x14ac:dyDescent="0.3">
      <c r="A719" s="13"/>
      <c r="B719" s="14"/>
      <c r="C719" s="15"/>
      <c r="D719" s="17"/>
      <c r="E719" s="14"/>
      <c r="F719" s="18"/>
      <c r="G719" s="12" t="str">
        <f>IFERROR(VLOOKUP(D719,Data!$A:$B,2,0),"Revisar")</f>
        <v>Revisar</v>
      </c>
      <c r="H719" s="20"/>
      <c r="I719" s="157">
        <f t="array" ref="I719">_xlfn.XLOOKUP($H719,Data!$E:$E,Data!$F:$F,"Revisar",0)</f>
        <v>0</v>
      </c>
      <c r="J719" s="157">
        <f t="array" ref="J719">_xlfn.XLOOKUP($H719,Data!$E:$E,Data!$G:$G,"Revisar",0)</f>
        <v>0</v>
      </c>
      <c r="K719" s="20"/>
      <c r="L719" s="18"/>
      <c r="M719" s="20"/>
      <c r="N719" s="14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ht="15" customHeight="1" x14ac:dyDescent="0.3">
      <c r="A720" s="13"/>
      <c r="B720" s="14"/>
      <c r="C720" s="15"/>
      <c r="D720" s="17"/>
      <c r="E720" s="14"/>
      <c r="F720" s="18"/>
      <c r="G720" s="12" t="str">
        <f>IFERROR(VLOOKUP(D720,Data!$A:$B,2,0),"Revisar")</f>
        <v>Revisar</v>
      </c>
      <c r="H720" s="20"/>
      <c r="I720" s="157">
        <f t="array" ref="I720">_xlfn.XLOOKUP($H720,Data!$E:$E,Data!$F:$F,"Revisar",0)</f>
        <v>0</v>
      </c>
      <c r="J720" s="157">
        <f t="array" ref="J720">_xlfn.XLOOKUP($H720,Data!$E:$E,Data!$G:$G,"Revisar",0)</f>
        <v>0</v>
      </c>
      <c r="K720" s="20"/>
      <c r="L720" s="18"/>
      <c r="M720" s="20"/>
      <c r="N720" s="14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ht="15" customHeight="1" x14ac:dyDescent="0.3">
      <c r="A721" s="13"/>
      <c r="B721" s="14"/>
      <c r="C721" s="15"/>
      <c r="D721" s="17"/>
      <c r="E721" s="14"/>
      <c r="F721" s="18"/>
      <c r="G721" s="12" t="str">
        <f>IFERROR(VLOOKUP(D721,Data!$A:$B,2,0),"Revisar")</f>
        <v>Revisar</v>
      </c>
      <c r="H721" s="20"/>
      <c r="I721" s="157">
        <f t="array" ref="I721">_xlfn.XLOOKUP($H721,Data!$E:$E,Data!$F:$F,"Revisar",0)</f>
        <v>0</v>
      </c>
      <c r="J721" s="157">
        <f t="array" ref="J721">_xlfn.XLOOKUP($H721,Data!$E:$E,Data!$G:$G,"Revisar",0)</f>
        <v>0</v>
      </c>
      <c r="K721" s="20"/>
      <c r="L721" s="18"/>
      <c r="M721" s="20"/>
      <c r="N721" s="14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ht="15" customHeight="1" x14ac:dyDescent="0.3">
      <c r="A722" s="13"/>
      <c r="B722" s="14"/>
      <c r="C722" s="15"/>
      <c r="D722" s="17"/>
      <c r="E722" s="14"/>
      <c r="F722" s="18"/>
      <c r="G722" s="12" t="str">
        <f>IFERROR(VLOOKUP(D722,Data!$A:$B,2,0),"Revisar")</f>
        <v>Revisar</v>
      </c>
      <c r="H722" s="20"/>
      <c r="I722" s="157">
        <f t="array" ref="I722">_xlfn.XLOOKUP($H722,Data!$E:$E,Data!$F:$F,"Revisar",0)</f>
        <v>0</v>
      </c>
      <c r="J722" s="157">
        <f t="array" ref="J722">_xlfn.XLOOKUP($H722,Data!$E:$E,Data!$G:$G,"Revisar",0)</f>
        <v>0</v>
      </c>
      <c r="K722" s="20"/>
      <c r="L722" s="18"/>
      <c r="M722" s="20"/>
      <c r="N722" s="14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ht="15" customHeight="1" x14ac:dyDescent="0.3">
      <c r="A723" s="13"/>
      <c r="B723" s="14"/>
      <c r="C723" s="15"/>
      <c r="D723" s="17"/>
      <c r="E723" s="14"/>
      <c r="F723" s="18"/>
      <c r="G723" s="12" t="str">
        <f>IFERROR(VLOOKUP(D723,Data!$A:$B,2,0),"Revisar")</f>
        <v>Revisar</v>
      </c>
      <c r="H723" s="20"/>
      <c r="I723" s="157">
        <f t="array" ref="I723">_xlfn.XLOOKUP($H723,Data!$E:$E,Data!$F:$F,"Revisar",0)</f>
        <v>0</v>
      </c>
      <c r="J723" s="157">
        <f t="array" ref="J723">_xlfn.XLOOKUP($H723,Data!$E:$E,Data!$G:$G,"Revisar",0)</f>
        <v>0</v>
      </c>
      <c r="K723" s="20"/>
      <c r="L723" s="18"/>
      <c r="M723" s="20"/>
      <c r="N723" s="14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ht="15" customHeight="1" x14ac:dyDescent="0.3">
      <c r="A724" s="13"/>
      <c r="B724" s="14"/>
      <c r="C724" s="15"/>
      <c r="D724" s="17"/>
      <c r="E724" s="14"/>
      <c r="F724" s="18"/>
      <c r="G724" s="12" t="str">
        <f>IFERROR(VLOOKUP(D724,Data!$A:$B,2,0),"Revisar")</f>
        <v>Revisar</v>
      </c>
      <c r="H724" s="20"/>
      <c r="I724" s="157">
        <f t="array" ref="I724">_xlfn.XLOOKUP($H724,Data!$E:$E,Data!$F:$F,"Revisar",0)</f>
        <v>0</v>
      </c>
      <c r="J724" s="157">
        <f t="array" ref="J724">_xlfn.XLOOKUP($H724,Data!$E:$E,Data!$G:$G,"Revisar",0)</f>
        <v>0</v>
      </c>
      <c r="K724" s="20"/>
      <c r="L724" s="18"/>
      <c r="M724" s="20"/>
      <c r="N724" s="14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ht="15" customHeight="1" x14ac:dyDescent="0.3">
      <c r="A725" s="13"/>
      <c r="B725" s="14"/>
      <c r="C725" s="15"/>
      <c r="D725" s="17"/>
      <c r="E725" s="14"/>
      <c r="F725" s="18"/>
      <c r="G725" s="12" t="str">
        <f>IFERROR(VLOOKUP(D725,Data!$A:$B,2,0),"Revisar")</f>
        <v>Revisar</v>
      </c>
      <c r="H725" s="20"/>
      <c r="I725" s="157">
        <f t="array" ref="I725">_xlfn.XLOOKUP($H725,Data!$E:$E,Data!$F:$F,"Revisar",0)</f>
        <v>0</v>
      </c>
      <c r="J725" s="157">
        <f t="array" ref="J725">_xlfn.XLOOKUP($H725,Data!$E:$E,Data!$G:$G,"Revisar",0)</f>
        <v>0</v>
      </c>
      <c r="K725" s="20"/>
      <c r="L725" s="18"/>
      <c r="M725" s="20"/>
      <c r="N725" s="14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ht="15" customHeight="1" x14ac:dyDescent="0.3">
      <c r="A726" s="13"/>
      <c r="B726" s="14"/>
      <c r="C726" s="15"/>
      <c r="D726" s="17"/>
      <c r="E726" s="14"/>
      <c r="F726" s="18"/>
      <c r="G726" s="12" t="str">
        <f>IFERROR(VLOOKUP(D726,Data!$A:$B,2,0),"Revisar")</f>
        <v>Revisar</v>
      </c>
      <c r="H726" s="20"/>
      <c r="I726" s="157">
        <f t="array" ref="I726">_xlfn.XLOOKUP($H726,Data!$E:$E,Data!$F:$F,"Revisar",0)</f>
        <v>0</v>
      </c>
      <c r="J726" s="157">
        <f t="array" ref="J726">_xlfn.XLOOKUP($H726,Data!$E:$E,Data!$G:$G,"Revisar",0)</f>
        <v>0</v>
      </c>
      <c r="K726" s="20"/>
      <c r="L726" s="18"/>
      <c r="M726" s="20"/>
      <c r="N726" s="14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ht="15" customHeight="1" x14ac:dyDescent="0.3">
      <c r="A727" s="13"/>
      <c r="B727" s="14"/>
      <c r="C727" s="15"/>
      <c r="D727" s="17"/>
      <c r="E727" s="14"/>
      <c r="F727" s="18"/>
      <c r="G727" s="12" t="str">
        <f>IFERROR(VLOOKUP(D727,Data!$A:$B,2,0),"Revisar")</f>
        <v>Revisar</v>
      </c>
      <c r="H727" s="20"/>
      <c r="I727" s="157">
        <f t="array" ref="I727">_xlfn.XLOOKUP($H727,Data!$E:$E,Data!$F:$F,"Revisar",0)</f>
        <v>0</v>
      </c>
      <c r="J727" s="157">
        <f t="array" ref="J727">_xlfn.XLOOKUP($H727,Data!$E:$E,Data!$G:$G,"Revisar",0)</f>
        <v>0</v>
      </c>
      <c r="K727" s="20"/>
      <c r="L727" s="18"/>
      <c r="M727" s="20"/>
      <c r="N727" s="14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ht="15" customHeight="1" x14ac:dyDescent="0.3">
      <c r="A728" s="13"/>
      <c r="B728" s="14"/>
      <c r="C728" s="15"/>
      <c r="D728" s="17"/>
      <c r="E728" s="14"/>
      <c r="F728" s="18"/>
      <c r="G728" s="12" t="str">
        <f>IFERROR(VLOOKUP(D728,Data!$A:$B,2,0),"Revisar")</f>
        <v>Revisar</v>
      </c>
      <c r="H728" s="20"/>
      <c r="I728" s="157">
        <f t="array" ref="I728">_xlfn.XLOOKUP($H728,Data!$E:$E,Data!$F:$F,"Revisar",0)</f>
        <v>0</v>
      </c>
      <c r="J728" s="157">
        <f t="array" ref="J728">_xlfn.XLOOKUP($H728,Data!$E:$E,Data!$G:$G,"Revisar",0)</f>
        <v>0</v>
      </c>
      <c r="K728" s="20"/>
      <c r="L728" s="18"/>
      <c r="M728" s="20"/>
      <c r="N728" s="14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ht="15" customHeight="1" x14ac:dyDescent="0.3">
      <c r="A729" s="13"/>
      <c r="B729" s="14"/>
      <c r="C729" s="15"/>
      <c r="D729" s="17"/>
      <c r="E729" s="14"/>
      <c r="F729" s="18"/>
      <c r="G729" s="12" t="str">
        <f>IFERROR(VLOOKUP(D729,Data!$A:$B,2,0),"Revisar")</f>
        <v>Revisar</v>
      </c>
      <c r="H729" s="20"/>
      <c r="I729" s="157">
        <f t="array" ref="I729">_xlfn.XLOOKUP($H729,Data!$E:$E,Data!$F:$F,"Revisar",0)</f>
        <v>0</v>
      </c>
      <c r="J729" s="157">
        <f t="array" ref="J729">_xlfn.XLOOKUP($H729,Data!$E:$E,Data!$G:$G,"Revisar",0)</f>
        <v>0</v>
      </c>
      <c r="K729" s="20"/>
      <c r="L729" s="18"/>
      <c r="M729" s="20"/>
      <c r="N729" s="14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ht="15" customHeight="1" x14ac:dyDescent="0.3">
      <c r="A730" s="13"/>
      <c r="B730" s="14"/>
      <c r="C730" s="15"/>
      <c r="D730" s="17"/>
      <c r="E730" s="14"/>
      <c r="F730" s="18"/>
      <c r="G730" s="12" t="str">
        <f>IFERROR(VLOOKUP(D730,Data!$A:$B,2,0),"Revisar")</f>
        <v>Revisar</v>
      </c>
      <c r="H730" s="20"/>
      <c r="I730" s="157">
        <f t="array" ref="I730">_xlfn.XLOOKUP($H730,Data!$E:$E,Data!$F:$F,"Revisar",0)</f>
        <v>0</v>
      </c>
      <c r="J730" s="157">
        <f t="array" ref="J730">_xlfn.XLOOKUP($H730,Data!$E:$E,Data!$G:$G,"Revisar",0)</f>
        <v>0</v>
      </c>
      <c r="K730" s="20"/>
      <c r="L730" s="18"/>
      <c r="M730" s="20"/>
      <c r="N730" s="14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ht="15" customHeight="1" x14ac:dyDescent="0.3">
      <c r="A731" s="13"/>
      <c r="B731" s="14"/>
      <c r="C731" s="15"/>
      <c r="D731" s="17"/>
      <c r="E731" s="14"/>
      <c r="F731" s="18"/>
      <c r="G731" s="12" t="str">
        <f>IFERROR(VLOOKUP(D731,Data!$A:$B,2,0),"Revisar")</f>
        <v>Revisar</v>
      </c>
      <c r="H731" s="20"/>
      <c r="I731" s="157">
        <f t="array" ref="I731">_xlfn.XLOOKUP($H731,Data!$E:$E,Data!$F:$F,"Revisar",0)</f>
        <v>0</v>
      </c>
      <c r="J731" s="157">
        <f t="array" ref="J731">_xlfn.XLOOKUP($H731,Data!$E:$E,Data!$G:$G,"Revisar",0)</f>
        <v>0</v>
      </c>
      <c r="K731" s="20"/>
      <c r="L731" s="18"/>
      <c r="M731" s="20"/>
      <c r="N731" s="14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ht="15" customHeight="1" x14ac:dyDescent="0.3">
      <c r="A732" s="13"/>
      <c r="B732" s="14"/>
      <c r="C732" s="15"/>
      <c r="D732" s="17"/>
      <c r="E732" s="14"/>
      <c r="F732" s="18"/>
      <c r="G732" s="12" t="str">
        <f>IFERROR(VLOOKUP(D732,Data!$A:$B,2,0),"Revisar")</f>
        <v>Revisar</v>
      </c>
      <c r="H732" s="20"/>
      <c r="I732" s="157">
        <f t="array" ref="I732">_xlfn.XLOOKUP($H732,Data!$E:$E,Data!$F:$F,"Revisar",0)</f>
        <v>0</v>
      </c>
      <c r="J732" s="157">
        <f t="array" ref="J732">_xlfn.XLOOKUP($H732,Data!$E:$E,Data!$G:$G,"Revisar",0)</f>
        <v>0</v>
      </c>
      <c r="K732" s="20"/>
      <c r="L732" s="18"/>
      <c r="M732" s="20"/>
      <c r="N732" s="14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ht="15" customHeight="1" x14ac:dyDescent="0.3">
      <c r="A733" s="13"/>
      <c r="B733" s="14"/>
      <c r="C733" s="15"/>
      <c r="D733" s="17"/>
      <c r="E733" s="14"/>
      <c r="F733" s="18"/>
      <c r="G733" s="12" t="str">
        <f>IFERROR(VLOOKUP(D733,Data!$A:$B,2,0),"Revisar")</f>
        <v>Revisar</v>
      </c>
      <c r="H733" s="20"/>
      <c r="I733" s="157">
        <f t="array" ref="I733">_xlfn.XLOOKUP($H733,Data!$E:$E,Data!$F:$F,"Revisar",0)</f>
        <v>0</v>
      </c>
      <c r="J733" s="157">
        <f t="array" ref="J733">_xlfn.XLOOKUP($H733,Data!$E:$E,Data!$G:$G,"Revisar",0)</f>
        <v>0</v>
      </c>
      <c r="K733" s="20"/>
      <c r="L733" s="18"/>
      <c r="M733" s="20"/>
      <c r="N733" s="14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ht="15" customHeight="1" x14ac:dyDescent="0.3">
      <c r="A734" s="13"/>
      <c r="B734" s="14"/>
      <c r="C734" s="15"/>
      <c r="D734" s="17"/>
      <c r="E734" s="14"/>
      <c r="F734" s="18"/>
      <c r="G734" s="12" t="str">
        <f>IFERROR(VLOOKUP(D734,Data!$A:$B,2,0),"Revisar")</f>
        <v>Revisar</v>
      </c>
      <c r="H734" s="20"/>
      <c r="I734" s="157">
        <f t="array" ref="I734">_xlfn.XLOOKUP($H734,Data!$E:$E,Data!$F:$F,"Revisar",0)</f>
        <v>0</v>
      </c>
      <c r="J734" s="157">
        <f t="array" ref="J734">_xlfn.XLOOKUP($H734,Data!$E:$E,Data!$G:$G,"Revisar",0)</f>
        <v>0</v>
      </c>
      <c r="K734" s="20"/>
      <c r="L734" s="18"/>
      <c r="M734" s="20"/>
      <c r="N734" s="14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ht="15" customHeight="1" x14ac:dyDescent="0.3">
      <c r="A735" s="13"/>
      <c r="B735" s="14"/>
      <c r="C735" s="15"/>
      <c r="D735" s="17"/>
      <c r="E735" s="14"/>
      <c r="F735" s="18"/>
      <c r="G735" s="12" t="str">
        <f>IFERROR(VLOOKUP(D735,Data!$A:$B,2,0),"Revisar")</f>
        <v>Revisar</v>
      </c>
      <c r="H735" s="20"/>
      <c r="I735" s="157">
        <f t="array" ref="I735">_xlfn.XLOOKUP($H735,Data!$E:$E,Data!$F:$F,"Revisar",0)</f>
        <v>0</v>
      </c>
      <c r="J735" s="157">
        <f t="array" ref="J735">_xlfn.XLOOKUP($H735,Data!$E:$E,Data!$G:$G,"Revisar",0)</f>
        <v>0</v>
      </c>
      <c r="K735" s="20"/>
      <c r="L735" s="18"/>
      <c r="M735" s="20"/>
      <c r="N735" s="14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ht="15" customHeight="1" x14ac:dyDescent="0.3">
      <c r="A736" s="13"/>
      <c r="B736" s="14"/>
      <c r="C736" s="15"/>
      <c r="D736" s="17"/>
      <c r="E736" s="14"/>
      <c r="F736" s="18"/>
      <c r="G736" s="12" t="str">
        <f>IFERROR(VLOOKUP(D736,Data!$A:$B,2,0),"Revisar")</f>
        <v>Revisar</v>
      </c>
      <c r="H736" s="20"/>
      <c r="I736" s="157">
        <f t="array" ref="I736">_xlfn.XLOOKUP($H736,Data!$E:$E,Data!$F:$F,"Revisar",0)</f>
        <v>0</v>
      </c>
      <c r="J736" s="157">
        <f t="array" ref="J736">_xlfn.XLOOKUP($H736,Data!$E:$E,Data!$G:$G,"Revisar",0)</f>
        <v>0</v>
      </c>
      <c r="K736" s="20"/>
      <c r="L736" s="18"/>
      <c r="M736" s="20"/>
      <c r="N736" s="14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ht="15" customHeight="1" x14ac:dyDescent="0.3">
      <c r="A737" s="13"/>
      <c r="B737" s="14"/>
      <c r="C737" s="15"/>
      <c r="D737" s="17"/>
      <c r="E737" s="14"/>
      <c r="F737" s="18"/>
      <c r="G737" s="12" t="str">
        <f>IFERROR(VLOOKUP(D737,Data!$A:$B,2,0),"Revisar")</f>
        <v>Revisar</v>
      </c>
      <c r="H737" s="20"/>
      <c r="I737" s="157">
        <f t="array" ref="I737">_xlfn.XLOOKUP($H737,Data!$E:$E,Data!$F:$F,"Revisar",0)</f>
        <v>0</v>
      </c>
      <c r="J737" s="157">
        <f t="array" ref="J737">_xlfn.XLOOKUP($H737,Data!$E:$E,Data!$G:$G,"Revisar",0)</f>
        <v>0</v>
      </c>
      <c r="K737" s="20"/>
      <c r="L737" s="18"/>
      <c r="M737" s="20"/>
      <c r="N737" s="14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ht="15" customHeight="1" x14ac:dyDescent="0.3">
      <c r="A738" s="13"/>
      <c r="B738" s="14"/>
      <c r="C738" s="15"/>
      <c r="D738" s="17"/>
      <c r="E738" s="14"/>
      <c r="F738" s="18"/>
      <c r="G738" s="12" t="str">
        <f>IFERROR(VLOOKUP(D738,Data!$A:$B,2,0),"Revisar")</f>
        <v>Revisar</v>
      </c>
      <c r="H738" s="20"/>
      <c r="I738" s="157">
        <f t="array" ref="I738">_xlfn.XLOOKUP($H738,Data!$E:$E,Data!$F:$F,"Revisar",0)</f>
        <v>0</v>
      </c>
      <c r="J738" s="157">
        <f t="array" ref="J738">_xlfn.XLOOKUP($H738,Data!$E:$E,Data!$G:$G,"Revisar",0)</f>
        <v>0</v>
      </c>
      <c r="K738" s="20"/>
      <c r="L738" s="18"/>
      <c r="M738" s="20"/>
      <c r="N738" s="14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ht="15" customHeight="1" x14ac:dyDescent="0.3">
      <c r="A739" s="13"/>
      <c r="B739" s="14"/>
      <c r="C739" s="15"/>
      <c r="D739" s="17"/>
      <c r="E739" s="14"/>
      <c r="F739" s="18"/>
      <c r="G739" s="12" t="str">
        <f>IFERROR(VLOOKUP(D739,Data!$A:$B,2,0),"Revisar")</f>
        <v>Revisar</v>
      </c>
      <c r="H739" s="20"/>
      <c r="I739" s="157">
        <f t="array" ref="I739">_xlfn.XLOOKUP($H739,Data!$E:$E,Data!$F:$F,"Revisar",0)</f>
        <v>0</v>
      </c>
      <c r="J739" s="157">
        <f t="array" ref="J739">_xlfn.XLOOKUP($H739,Data!$E:$E,Data!$G:$G,"Revisar",0)</f>
        <v>0</v>
      </c>
      <c r="K739" s="20"/>
      <c r="L739" s="18"/>
      <c r="M739" s="20"/>
      <c r="N739" s="14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ht="15" customHeight="1" x14ac:dyDescent="0.3">
      <c r="A740" s="13"/>
      <c r="B740" s="14"/>
      <c r="C740" s="15"/>
      <c r="D740" s="17"/>
      <c r="E740" s="14"/>
      <c r="F740" s="18"/>
      <c r="G740" s="12" t="str">
        <f>IFERROR(VLOOKUP(D740,Data!$A:$B,2,0),"Revisar")</f>
        <v>Revisar</v>
      </c>
      <c r="H740" s="20"/>
      <c r="I740" s="157">
        <f t="array" ref="I740">_xlfn.XLOOKUP($H740,Data!$E:$E,Data!$F:$F,"Revisar",0)</f>
        <v>0</v>
      </c>
      <c r="J740" s="157">
        <f t="array" ref="J740">_xlfn.XLOOKUP($H740,Data!$E:$E,Data!$G:$G,"Revisar",0)</f>
        <v>0</v>
      </c>
      <c r="K740" s="20"/>
      <c r="L740" s="18"/>
      <c r="M740" s="20"/>
      <c r="N740" s="14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ht="15" customHeight="1" x14ac:dyDescent="0.3">
      <c r="A741" s="13"/>
      <c r="B741" s="14"/>
      <c r="C741" s="15"/>
      <c r="D741" s="17"/>
      <c r="E741" s="14"/>
      <c r="F741" s="18"/>
      <c r="G741" s="12" t="str">
        <f>IFERROR(VLOOKUP(D741,Data!$A:$B,2,0),"Revisar")</f>
        <v>Revisar</v>
      </c>
      <c r="H741" s="20"/>
      <c r="I741" s="157">
        <f t="array" ref="I741">_xlfn.XLOOKUP($H741,Data!$E:$E,Data!$F:$F,"Revisar",0)</f>
        <v>0</v>
      </c>
      <c r="J741" s="157">
        <f t="array" ref="J741">_xlfn.XLOOKUP($H741,Data!$E:$E,Data!$G:$G,"Revisar",0)</f>
        <v>0</v>
      </c>
      <c r="K741" s="20"/>
      <c r="L741" s="18"/>
      <c r="M741" s="20"/>
      <c r="N741" s="14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ht="15" customHeight="1" x14ac:dyDescent="0.3">
      <c r="A742" s="13"/>
      <c r="B742" s="14"/>
      <c r="C742" s="15"/>
      <c r="D742" s="17"/>
      <c r="E742" s="14"/>
      <c r="F742" s="18"/>
      <c r="G742" s="12" t="str">
        <f>IFERROR(VLOOKUP(D742,Data!$A:$B,2,0),"Revisar")</f>
        <v>Revisar</v>
      </c>
      <c r="H742" s="20"/>
      <c r="I742" s="157">
        <f t="array" ref="I742">_xlfn.XLOOKUP($H742,Data!$E:$E,Data!$F:$F,"Revisar",0)</f>
        <v>0</v>
      </c>
      <c r="J742" s="157">
        <f t="array" ref="J742">_xlfn.XLOOKUP($H742,Data!$E:$E,Data!$G:$G,"Revisar",0)</f>
        <v>0</v>
      </c>
      <c r="K742" s="20"/>
      <c r="L742" s="18"/>
      <c r="M742" s="20"/>
      <c r="N742" s="14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ht="15" customHeight="1" x14ac:dyDescent="0.3">
      <c r="A743" s="13"/>
      <c r="B743" s="14"/>
      <c r="C743" s="15"/>
      <c r="D743" s="17"/>
      <c r="E743" s="14"/>
      <c r="F743" s="18"/>
      <c r="G743" s="12" t="str">
        <f>IFERROR(VLOOKUP(D743,Data!$A:$B,2,0),"Revisar")</f>
        <v>Revisar</v>
      </c>
      <c r="H743" s="20"/>
      <c r="I743" s="157">
        <f t="array" ref="I743">_xlfn.XLOOKUP($H743,Data!$E:$E,Data!$F:$F,"Revisar",0)</f>
        <v>0</v>
      </c>
      <c r="J743" s="157">
        <f t="array" ref="J743">_xlfn.XLOOKUP($H743,Data!$E:$E,Data!$G:$G,"Revisar",0)</f>
        <v>0</v>
      </c>
      <c r="K743" s="20"/>
      <c r="L743" s="18"/>
      <c r="M743" s="20"/>
      <c r="N743" s="14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ht="15" customHeight="1" x14ac:dyDescent="0.3">
      <c r="A744" s="13"/>
      <c r="B744" s="14"/>
      <c r="C744" s="15"/>
      <c r="D744" s="17"/>
      <c r="E744" s="14"/>
      <c r="F744" s="18"/>
      <c r="G744" s="12" t="str">
        <f>IFERROR(VLOOKUP(D744,Data!$A:$B,2,0),"Revisar")</f>
        <v>Revisar</v>
      </c>
      <c r="H744" s="20"/>
      <c r="I744" s="157">
        <f t="array" ref="I744">_xlfn.XLOOKUP($H744,Data!$E:$E,Data!$F:$F,"Revisar",0)</f>
        <v>0</v>
      </c>
      <c r="J744" s="157">
        <f t="array" ref="J744">_xlfn.XLOOKUP($H744,Data!$E:$E,Data!$G:$G,"Revisar",0)</f>
        <v>0</v>
      </c>
      <c r="K744" s="20"/>
      <c r="L744" s="18"/>
      <c r="M744" s="20"/>
      <c r="N744" s="14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ht="15" customHeight="1" x14ac:dyDescent="0.3">
      <c r="A745" s="13"/>
      <c r="B745" s="14"/>
      <c r="C745" s="15"/>
      <c r="D745" s="17"/>
      <c r="E745" s="14"/>
      <c r="F745" s="18"/>
      <c r="G745" s="12" t="str">
        <f>IFERROR(VLOOKUP(D745,Data!$A:$B,2,0),"Revisar")</f>
        <v>Revisar</v>
      </c>
      <c r="H745" s="20"/>
      <c r="I745" s="157">
        <f t="array" ref="I745">_xlfn.XLOOKUP($H745,Data!$E:$E,Data!$F:$F,"Revisar",0)</f>
        <v>0</v>
      </c>
      <c r="J745" s="157">
        <f t="array" ref="J745">_xlfn.XLOOKUP($H745,Data!$E:$E,Data!$G:$G,"Revisar",0)</f>
        <v>0</v>
      </c>
      <c r="K745" s="20"/>
      <c r="L745" s="18"/>
      <c r="M745" s="20"/>
      <c r="N745" s="14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ht="15" customHeight="1" x14ac:dyDescent="0.3">
      <c r="A746" s="13"/>
      <c r="B746" s="14"/>
      <c r="C746" s="15"/>
      <c r="D746" s="17"/>
      <c r="E746" s="14"/>
      <c r="F746" s="18"/>
      <c r="G746" s="12" t="str">
        <f>IFERROR(VLOOKUP(D746,Data!$A:$B,2,0),"Revisar")</f>
        <v>Revisar</v>
      </c>
      <c r="H746" s="20"/>
      <c r="I746" s="157">
        <f t="array" ref="I746">_xlfn.XLOOKUP($H746,Data!$E:$E,Data!$F:$F,"Revisar",0)</f>
        <v>0</v>
      </c>
      <c r="J746" s="157">
        <f t="array" ref="J746">_xlfn.XLOOKUP($H746,Data!$E:$E,Data!$G:$G,"Revisar",0)</f>
        <v>0</v>
      </c>
      <c r="K746" s="20"/>
      <c r="L746" s="18"/>
      <c r="M746" s="20"/>
      <c r="N746" s="14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ht="15" customHeight="1" x14ac:dyDescent="0.3">
      <c r="A747" s="13"/>
      <c r="B747" s="14"/>
      <c r="C747" s="15"/>
      <c r="D747" s="17"/>
      <c r="E747" s="14"/>
      <c r="F747" s="18"/>
      <c r="G747" s="12" t="str">
        <f>IFERROR(VLOOKUP(D747,Data!$A:$B,2,0),"Revisar")</f>
        <v>Revisar</v>
      </c>
      <c r="H747" s="20"/>
      <c r="I747" s="157">
        <f t="array" ref="I747">_xlfn.XLOOKUP($H747,Data!$E:$E,Data!$F:$F,"Revisar",0)</f>
        <v>0</v>
      </c>
      <c r="J747" s="157">
        <f t="array" ref="J747">_xlfn.XLOOKUP($H747,Data!$E:$E,Data!$G:$G,"Revisar",0)</f>
        <v>0</v>
      </c>
      <c r="K747" s="20"/>
      <c r="L747" s="18"/>
      <c r="M747" s="20"/>
      <c r="N747" s="14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ht="15" customHeight="1" x14ac:dyDescent="0.3">
      <c r="A748" s="13"/>
      <c r="B748" s="14"/>
      <c r="C748" s="15"/>
      <c r="D748" s="17"/>
      <c r="E748" s="14"/>
      <c r="F748" s="18"/>
      <c r="G748" s="12" t="str">
        <f>IFERROR(VLOOKUP(D748,Data!$A:$B,2,0),"Revisar")</f>
        <v>Revisar</v>
      </c>
      <c r="H748" s="20"/>
      <c r="I748" s="157">
        <f t="array" ref="I748">_xlfn.XLOOKUP($H748,Data!$E:$E,Data!$F:$F,"Revisar",0)</f>
        <v>0</v>
      </c>
      <c r="J748" s="157">
        <f t="array" ref="J748">_xlfn.XLOOKUP($H748,Data!$E:$E,Data!$G:$G,"Revisar",0)</f>
        <v>0</v>
      </c>
      <c r="K748" s="20"/>
      <c r="L748" s="18"/>
      <c r="M748" s="20"/>
      <c r="N748" s="14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ht="15" customHeight="1" x14ac:dyDescent="0.3">
      <c r="A749" s="13"/>
      <c r="B749" s="14"/>
      <c r="C749" s="15"/>
      <c r="D749" s="17"/>
      <c r="E749" s="14"/>
      <c r="F749" s="18"/>
      <c r="G749" s="12" t="str">
        <f>IFERROR(VLOOKUP(D749,Data!$A:$B,2,0),"Revisar")</f>
        <v>Revisar</v>
      </c>
      <c r="H749" s="20"/>
      <c r="I749" s="157">
        <f t="array" ref="I749">_xlfn.XLOOKUP($H749,Data!$E:$E,Data!$F:$F,"Revisar",0)</f>
        <v>0</v>
      </c>
      <c r="J749" s="157">
        <f t="array" ref="J749">_xlfn.XLOOKUP($H749,Data!$E:$E,Data!$G:$G,"Revisar",0)</f>
        <v>0</v>
      </c>
      <c r="K749" s="20"/>
      <c r="L749" s="18"/>
      <c r="M749" s="20"/>
      <c r="N749" s="14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ht="15" customHeight="1" x14ac:dyDescent="0.3">
      <c r="A750" s="13"/>
      <c r="B750" s="14"/>
      <c r="C750" s="15"/>
      <c r="D750" s="17"/>
      <c r="E750" s="14"/>
      <c r="F750" s="18"/>
      <c r="G750" s="12" t="str">
        <f>IFERROR(VLOOKUP(D750,Data!$A:$B,2,0),"Revisar")</f>
        <v>Revisar</v>
      </c>
      <c r="H750" s="20"/>
      <c r="I750" s="157">
        <f t="array" ref="I750">_xlfn.XLOOKUP($H750,Data!$E:$E,Data!$F:$F,"Revisar",0)</f>
        <v>0</v>
      </c>
      <c r="J750" s="157">
        <f t="array" ref="J750">_xlfn.XLOOKUP($H750,Data!$E:$E,Data!$G:$G,"Revisar",0)</f>
        <v>0</v>
      </c>
      <c r="K750" s="20"/>
      <c r="L750" s="18"/>
      <c r="M750" s="20"/>
      <c r="N750" s="14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ht="15" customHeight="1" x14ac:dyDescent="0.3">
      <c r="A751" s="13"/>
      <c r="B751" s="14"/>
      <c r="C751" s="15"/>
      <c r="D751" s="17"/>
      <c r="E751" s="14"/>
      <c r="F751" s="18"/>
      <c r="G751" s="12" t="str">
        <f>IFERROR(VLOOKUP(D751,Data!$A:$B,2,0),"Revisar")</f>
        <v>Revisar</v>
      </c>
      <c r="H751" s="20"/>
      <c r="I751" s="157">
        <f t="array" ref="I751">_xlfn.XLOOKUP($H751,Data!$E:$E,Data!$F:$F,"Revisar",0)</f>
        <v>0</v>
      </c>
      <c r="J751" s="157">
        <f t="array" ref="J751">_xlfn.XLOOKUP($H751,Data!$E:$E,Data!$G:$G,"Revisar",0)</f>
        <v>0</v>
      </c>
      <c r="K751" s="20"/>
      <c r="L751" s="18"/>
      <c r="M751" s="20"/>
      <c r="N751" s="14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ht="15" customHeight="1" x14ac:dyDescent="0.3">
      <c r="A752" s="13"/>
      <c r="B752" s="14"/>
      <c r="C752" s="15"/>
      <c r="D752" s="17"/>
      <c r="E752" s="14"/>
      <c r="F752" s="18"/>
      <c r="G752" s="12" t="str">
        <f>IFERROR(VLOOKUP(D752,Data!$A:$B,2,0),"Revisar")</f>
        <v>Revisar</v>
      </c>
      <c r="H752" s="20"/>
      <c r="I752" s="157">
        <f t="array" ref="I752">_xlfn.XLOOKUP($H752,Data!$E:$E,Data!$F:$F,"Revisar",0)</f>
        <v>0</v>
      </c>
      <c r="J752" s="157">
        <f t="array" ref="J752">_xlfn.XLOOKUP($H752,Data!$E:$E,Data!$G:$G,"Revisar",0)</f>
        <v>0</v>
      </c>
      <c r="K752" s="20"/>
      <c r="L752" s="18"/>
      <c r="M752" s="20"/>
      <c r="N752" s="14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ht="15" customHeight="1" x14ac:dyDescent="0.3">
      <c r="A753" s="13"/>
      <c r="B753" s="14"/>
      <c r="C753" s="15"/>
      <c r="D753" s="17"/>
      <c r="E753" s="14"/>
      <c r="F753" s="18"/>
      <c r="G753" s="12" t="str">
        <f>IFERROR(VLOOKUP(D753,Data!$A:$B,2,0),"Revisar")</f>
        <v>Revisar</v>
      </c>
      <c r="H753" s="20"/>
      <c r="I753" s="157">
        <f t="array" ref="I753">_xlfn.XLOOKUP($H753,Data!$E:$E,Data!$F:$F,"Revisar",0)</f>
        <v>0</v>
      </c>
      <c r="J753" s="157">
        <f t="array" ref="J753">_xlfn.XLOOKUP($H753,Data!$E:$E,Data!$G:$G,"Revisar",0)</f>
        <v>0</v>
      </c>
      <c r="K753" s="20"/>
      <c r="L753" s="18"/>
      <c r="M753" s="20"/>
      <c r="N753" s="14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ht="15" customHeight="1" x14ac:dyDescent="0.3">
      <c r="A754" s="13"/>
      <c r="B754" s="14"/>
      <c r="C754" s="15"/>
      <c r="D754" s="17"/>
      <c r="E754" s="14"/>
      <c r="F754" s="18"/>
      <c r="G754" s="12" t="str">
        <f>IFERROR(VLOOKUP(D754,Data!$A:$B,2,0),"Revisar")</f>
        <v>Revisar</v>
      </c>
      <c r="H754" s="20"/>
      <c r="I754" s="157">
        <f t="array" ref="I754">_xlfn.XLOOKUP($H754,Data!$E:$E,Data!$F:$F,"Revisar",0)</f>
        <v>0</v>
      </c>
      <c r="J754" s="157">
        <f t="array" ref="J754">_xlfn.XLOOKUP($H754,Data!$E:$E,Data!$G:$G,"Revisar",0)</f>
        <v>0</v>
      </c>
      <c r="K754" s="20"/>
      <c r="L754" s="18"/>
      <c r="M754" s="20"/>
      <c r="N754" s="14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ht="15" customHeight="1" x14ac:dyDescent="0.3">
      <c r="A755" s="13"/>
      <c r="B755" s="14"/>
      <c r="C755" s="15"/>
      <c r="D755" s="17"/>
      <c r="E755" s="14"/>
      <c r="F755" s="18"/>
      <c r="G755" s="12" t="str">
        <f>IFERROR(VLOOKUP(D755,Data!$A:$B,2,0),"Revisar")</f>
        <v>Revisar</v>
      </c>
      <c r="H755" s="20"/>
      <c r="I755" s="157">
        <f t="array" ref="I755">_xlfn.XLOOKUP($H755,Data!$E:$E,Data!$F:$F,"Revisar",0)</f>
        <v>0</v>
      </c>
      <c r="J755" s="157">
        <f t="array" ref="J755">_xlfn.XLOOKUP($H755,Data!$E:$E,Data!$G:$G,"Revisar",0)</f>
        <v>0</v>
      </c>
      <c r="K755" s="20"/>
      <c r="L755" s="18"/>
      <c r="M755" s="20"/>
      <c r="N755" s="14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ht="15" customHeight="1" x14ac:dyDescent="0.3">
      <c r="A756" s="13"/>
      <c r="B756" s="14"/>
      <c r="C756" s="15"/>
      <c r="D756" s="17"/>
      <c r="E756" s="14"/>
      <c r="F756" s="18"/>
      <c r="G756" s="12" t="str">
        <f>IFERROR(VLOOKUP(D756,Data!$A:$B,2,0),"Revisar")</f>
        <v>Revisar</v>
      </c>
      <c r="H756" s="20"/>
      <c r="I756" s="157">
        <f t="array" ref="I756">_xlfn.XLOOKUP($H756,Data!$E:$E,Data!$F:$F,"Revisar",0)</f>
        <v>0</v>
      </c>
      <c r="J756" s="157">
        <f t="array" ref="J756">_xlfn.XLOOKUP($H756,Data!$E:$E,Data!$G:$G,"Revisar",0)</f>
        <v>0</v>
      </c>
      <c r="K756" s="20"/>
      <c r="L756" s="18"/>
      <c r="M756" s="20"/>
      <c r="N756" s="14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ht="15" customHeight="1" x14ac:dyDescent="0.3">
      <c r="A757" s="13"/>
      <c r="B757" s="14"/>
      <c r="C757" s="15"/>
      <c r="D757" s="17"/>
      <c r="E757" s="14"/>
      <c r="F757" s="18"/>
      <c r="G757" s="12" t="str">
        <f>IFERROR(VLOOKUP(D757,Data!$A:$B,2,0),"Revisar")</f>
        <v>Revisar</v>
      </c>
      <c r="H757" s="20"/>
      <c r="I757" s="157">
        <f t="array" ref="I757">_xlfn.XLOOKUP($H757,Data!$E:$E,Data!$F:$F,"Revisar",0)</f>
        <v>0</v>
      </c>
      <c r="J757" s="157">
        <f t="array" ref="J757">_xlfn.XLOOKUP($H757,Data!$E:$E,Data!$G:$G,"Revisar",0)</f>
        <v>0</v>
      </c>
      <c r="K757" s="20"/>
      <c r="L757" s="18"/>
      <c r="M757" s="20"/>
      <c r="N757" s="14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ht="15" customHeight="1" x14ac:dyDescent="0.3">
      <c r="A758" s="13"/>
      <c r="B758" s="14"/>
      <c r="C758" s="15"/>
      <c r="D758" s="17"/>
      <c r="E758" s="14"/>
      <c r="F758" s="18"/>
      <c r="G758" s="12" t="str">
        <f>IFERROR(VLOOKUP(D758,Data!$A:$B,2,0),"Revisar")</f>
        <v>Revisar</v>
      </c>
      <c r="H758" s="20"/>
      <c r="I758" s="157">
        <f t="array" ref="I758">_xlfn.XLOOKUP($H758,Data!$E:$E,Data!$F:$F,"Revisar",0)</f>
        <v>0</v>
      </c>
      <c r="J758" s="157">
        <f t="array" ref="J758">_xlfn.XLOOKUP($H758,Data!$E:$E,Data!$G:$G,"Revisar",0)</f>
        <v>0</v>
      </c>
      <c r="K758" s="20"/>
      <c r="L758" s="18"/>
      <c r="M758" s="20"/>
      <c r="N758" s="14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ht="15" customHeight="1" x14ac:dyDescent="0.3">
      <c r="A759" s="13"/>
      <c r="B759" s="14"/>
      <c r="C759" s="15"/>
      <c r="D759" s="17"/>
      <c r="E759" s="14"/>
      <c r="F759" s="18"/>
      <c r="G759" s="12" t="str">
        <f>IFERROR(VLOOKUP(D759,Data!$A:$B,2,0),"Revisar")</f>
        <v>Revisar</v>
      </c>
      <c r="H759" s="20"/>
      <c r="I759" s="157">
        <f t="array" ref="I759">_xlfn.XLOOKUP($H759,Data!$E:$E,Data!$F:$F,"Revisar",0)</f>
        <v>0</v>
      </c>
      <c r="J759" s="157">
        <f t="array" ref="J759">_xlfn.XLOOKUP($H759,Data!$E:$E,Data!$G:$G,"Revisar",0)</f>
        <v>0</v>
      </c>
      <c r="K759" s="20"/>
      <c r="L759" s="18"/>
      <c r="M759" s="20"/>
      <c r="N759" s="14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ht="15" customHeight="1" x14ac:dyDescent="0.3">
      <c r="A760" s="13"/>
      <c r="B760" s="14"/>
      <c r="C760" s="15"/>
      <c r="D760" s="17"/>
      <c r="E760" s="14"/>
      <c r="F760" s="18"/>
      <c r="G760" s="12" t="str">
        <f>IFERROR(VLOOKUP(D760,Data!$A:$B,2,0),"Revisar")</f>
        <v>Revisar</v>
      </c>
      <c r="H760" s="20"/>
      <c r="I760" s="157">
        <f t="array" ref="I760">_xlfn.XLOOKUP($H760,Data!$E:$E,Data!$F:$F,"Revisar",0)</f>
        <v>0</v>
      </c>
      <c r="J760" s="157">
        <f t="array" ref="J760">_xlfn.XLOOKUP($H760,Data!$E:$E,Data!$G:$G,"Revisar",0)</f>
        <v>0</v>
      </c>
      <c r="K760" s="20"/>
      <c r="L760" s="18"/>
      <c r="M760" s="20"/>
      <c r="N760" s="14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ht="15" customHeight="1" x14ac:dyDescent="0.3">
      <c r="A761" s="13"/>
      <c r="B761" s="14"/>
      <c r="C761" s="15"/>
      <c r="D761" s="17"/>
      <c r="E761" s="14"/>
      <c r="F761" s="18"/>
      <c r="G761" s="12" t="str">
        <f>IFERROR(VLOOKUP(D761,Data!$A:$B,2,0),"Revisar")</f>
        <v>Revisar</v>
      </c>
      <c r="H761" s="20"/>
      <c r="I761" s="157">
        <f t="array" ref="I761">_xlfn.XLOOKUP($H761,Data!$E:$E,Data!$F:$F,"Revisar",0)</f>
        <v>0</v>
      </c>
      <c r="J761" s="157">
        <f t="array" ref="J761">_xlfn.XLOOKUP($H761,Data!$E:$E,Data!$G:$G,"Revisar",0)</f>
        <v>0</v>
      </c>
      <c r="K761" s="20"/>
      <c r="L761" s="18"/>
      <c r="M761" s="20"/>
      <c r="N761" s="14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ht="15" customHeight="1" x14ac:dyDescent="0.3">
      <c r="A762" s="13"/>
      <c r="B762" s="14"/>
      <c r="C762" s="15"/>
      <c r="D762" s="17"/>
      <c r="E762" s="14"/>
      <c r="F762" s="18"/>
      <c r="G762" s="12" t="str">
        <f>IFERROR(VLOOKUP(D762,Data!$A:$B,2,0),"Revisar")</f>
        <v>Revisar</v>
      </c>
      <c r="H762" s="20"/>
      <c r="I762" s="157">
        <f t="array" ref="I762">_xlfn.XLOOKUP($H762,Data!$E:$E,Data!$F:$F,"Revisar",0)</f>
        <v>0</v>
      </c>
      <c r="J762" s="157">
        <f t="array" ref="J762">_xlfn.XLOOKUP($H762,Data!$E:$E,Data!$G:$G,"Revisar",0)</f>
        <v>0</v>
      </c>
      <c r="K762" s="20"/>
      <c r="L762" s="18"/>
      <c r="M762" s="20"/>
      <c r="N762" s="14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ht="15" customHeight="1" x14ac:dyDescent="0.3">
      <c r="A763" s="13"/>
      <c r="B763" s="14"/>
      <c r="C763" s="15"/>
      <c r="D763" s="17"/>
      <c r="E763" s="14"/>
      <c r="F763" s="18"/>
      <c r="G763" s="12" t="str">
        <f>IFERROR(VLOOKUP(D763,Data!$A:$B,2,0),"Revisar")</f>
        <v>Revisar</v>
      </c>
      <c r="H763" s="20"/>
      <c r="I763" s="157">
        <f t="array" ref="I763">_xlfn.XLOOKUP($H763,Data!$E:$E,Data!$F:$F,"Revisar",0)</f>
        <v>0</v>
      </c>
      <c r="J763" s="157">
        <f t="array" ref="J763">_xlfn.XLOOKUP($H763,Data!$E:$E,Data!$G:$G,"Revisar",0)</f>
        <v>0</v>
      </c>
      <c r="K763" s="20"/>
      <c r="L763" s="18"/>
      <c r="M763" s="20"/>
      <c r="N763" s="14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ht="15" customHeight="1" x14ac:dyDescent="0.3">
      <c r="A764" s="13"/>
      <c r="B764" s="14"/>
      <c r="C764" s="15"/>
      <c r="D764" s="17"/>
      <c r="E764" s="14"/>
      <c r="F764" s="18"/>
      <c r="G764" s="12" t="str">
        <f>IFERROR(VLOOKUP(D764,Data!$A:$B,2,0),"Revisar")</f>
        <v>Revisar</v>
      </c>
      <c r="H764" s="20"/>
      <c r="I764" s="157">
        <f t="array" ref="I764">_xlfn.XLOOKUP($H764,Data!$E:$E,Data!$F:$F,"Revisar",0)</f>
        <v>0</v>
      </c>
      <c r="J764" s="157">
        <f t="array" ref="J764">_xlfn.XLOOKUP($H764,Data!$E:$E,Data!$G:$G,"Revisar",0)</f>
        <v>0</v>
      </c>
      <c r="K764" s="20"/>
      <c r="L764" s="18"/>
      <c r="M764" s="20"/>
      <c r="N764" s="14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ht="15" customHeight="1" x14ac:dyDescent="0.3">
      <c r="A765" s="13"/>
      <c r="B765" s="14"/>
      <c r="C765" s="15"/>
      <c r="D765" s="17"/>
      <c r="E765" s="14"/>
      <c r="F765" s="18"/>
      <c r="G765" s="12" t="str">
        <f>IFERROR(VLOOKUP(D765,Data!$A:$B,2,0),"Revisar")</f>
        <v>Revisar</v>
      </c>
      <c r="H765" s="20"/>
      <c r="I765" s="157">
        <f t="array" ref="I765">_xlfn.XLOOKUP($H765,Data!$E:$E,Data!$F:$F,"Revisar",0)</f>
        <v>0</v>
      </c>
      <c r="J765" s="157">
        <f t="array" ref="J765">_xlfn.XLOOKUP($H765,Data!$E:$E,Data!$G:$G,"Revisar",0)</f>
        <v>0</v>
      </c>
      <c r="K765" s="20"/>
      <c r="L765" s="18"/>
      <c r="M765" s="20"/>
      <c r="N765" s="14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ht="15" customHeight="1" x14ac:dyDescent="0.3">
      <c r="A766" s="13"/>
      <c r="B766" s="14"/>
      <c r="C766" s="15"/>
      <c r="D766" s="17"/>
      <c r="E766" s="14"/>
      <c r="F766" s="18"/>
      <c r="G766" s="12" t="str">
        <f>IFERROR(VLOOKUP(D766,Data!$A:$B,2,0),"Revisar")</f>
        <v>Revisar</v>
      </c>
      <c r="H766" s="20"/>
      <c r="I766" s="157">
        <f t="array" ref="I766">_xlfn.XLOOKUP($H766,Data!$E:$E,Data!$F:$F,"Revisar",0)</f>
        <v>0</v>
      </c>
      <c r="J766" s="157">
        <f t="array" ref="J766">_xlfn.XLOOKUP($H766,Data!$E:$E,Data!$G:$G,"Revisar",0)</f>
        <v>0</v>
      </c>
      <c r="K766" s="20"/>
      <c r="L766" s="18"/>
      <c r="M766" s="20"/>
      <c r="N766" s="14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ht="15" customHeight="1" x14ac:dyDescent="0.3">
      <c r="A767" s="13"/>
      <c r="B767" s="14"/>
      <c r="C767" s="15"/>
      <c r="D767" s="17"/>
      <c r="E767" s="14"/>
      <c r="F767" s="18"/>
      <c r="G767" s="12" t="str">
        <f>IFERROR(VLOOKUP(D767,Data!$A:$B,2,0),"Revisar")</f>
        <v>Revisar</v>
      </c>
      <c r="H767" s="20"/>
      <c r="I767" s="157">
        <f t="array" ref="I767">_xlfn.XLOOKUP($H767,Data!$E:$E,Data!$F:$F,"Revisar",0)</f>
        <v>0</v>
      </c>
      <c r="J767" s="157">
        <f t="array" ref="J767">_xlfn.XLOOKUP($H767,Data!$E:$E,Data!$G:$G,"Revisar",0)</f>
        <v>0</v>
      </c>
      <c r="K767" s="20"/>
      <c r="L767" s="18"/>
      <c r="M767" s="20"/>
      <c r="N767" s="14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ht="15" customHeight="1" x14ac:dyDescent="0.3">
      <c r="A768" s="13"/>
      <c r="B768" s="14"/>
      <c r="C768" s="15"/>
      <c r="D768" s="17"/>
      <c r="E768" s="14"/>
      <c r="F768" s="18"/>
      <c r="G768" s="12" t="str">
        <f>IFERROR(VLOOKUP(D768,Data!$A:$B,2,0),"Revisar")</f>
        <v>Revisar</v>
      </c>
      <c r="H768" s="20"/>
      <c r="I768" s="157">
        <f t="array" ref="I768">_xlfn.XLOOKUP($H768,Data!$E:$E,Data!$F:$F,"Revisar",0)</f>
        <v>0</v>
      </c>
      <c r="J768" s="157">
        <f t="array" ref="J768">_xlfn.XLOOKUP($H768,Data!$E:$E,Data!$G:$G,"Revisar",0)</f>
        <v>0</v>
      </c>
      <c r="K768" s="20"/>
      <c r="L768" s="18"/>
      <c r="M768" s="20"/>
      <c r="N768" s="14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ht="15" customHeight="1" x14ac:dyDescent="0.3">
      <c r="A769" s="13"/>
      <c r="B769" s="14"/>
      <c r="C769" s="15"/>
      <c r="D769" s="17"/>
      <c r="E769" s="14"/>
      <c r="F769" s="18"/>
      <c r="G769" s="12" t="str">
        <f>IFERROR(VLOOKUP(D769,Data!$A:$B,2,0),"Revisar")</f>
        <v>Revisar</v>
      </c>
      <c r="H769" s="20"/>
      <c r="I769" s="157">
        <f t="array" ref="I769">_xlfn.XLOOKUP($H769,Data!$E:$E,Data!$F:$F,"Revisar",0)</f>
        <v>0</v>
      </c>
      <c r="J769" s="157">
        <f t="array" ref="J769">_xlfn.XLOOKUP($H769,Data!$E:$E,Data!$G:$G,"Revisar",0)</f>
        <v>0</v>
      </c>
      <c r="K769" s="20"/>
      <c r="L769" s="18"/>
      <c r="M769" s="20"/>
      <c r="N769" s="14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ht="15" customHeight="1" x14ac:dyDescent="0.3">
      <c r="A770" s="13"/>
      <c r="B770" s="14"/>
      <c r="C770" s="15"/>
      <c r="D770" s="17"/>
      <c r="E770" s="14"/>
      <c r="F770" s="18"/>
      <c r="G770" s="12" t="str">
        <f>IFERROR(VLOOKUP(D770,Data!$A:$B,2,0),"Revisar")</f>
        <v>Revisar</v>
      </c>
      <c r="H770" s="20"/>
      <c r="I770" s="157">
        <f t="array" ref="I770">_xlfn.XLOOKUP($H770,Data!$E:$E,Data!$F:$F,"Revisar",0)</f>
        <v>0</v>
      </c>
      <c r="J770" s="157">
        <f t="array" ref="J770">_xlfn.XLOOKUP($H770,Data!$E:$E,Data!$G:$G,"Revisar",0)</f>
        <v>0</v>
      </c>
      <c r="K770" s="20"/>
      <c r="L770" s="18"/>
      <c r="M770" s="20"/>
      <c r="N770" s="14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ht="15" customHeight="1" x14ac:dyDescent="0.3">
      <c r="A771" s="13"/>
      <c r="B771" s="14"/>
      <c r="C771" s="15"/>
      <c r="D771" s="17"/>
      <c r="E771" s="14"/>
      <c r="F771" s="18"/>
      <c r="G771" s="12" t="str">
        <f>IFERROR(VLOOKUP(D771,Data!$A:$B,2,0),"Revisar")</f>
        <v>Revisar</v>
      </c>
      <c r="H771" s="20"/>
      <c r="I771" s="157">
        <f t="array" ref="I771">_xlfn.XLOOKUP($H771,Data!$E:$E,Data!$F:$F,"Revisar",0)</f>
        <v>0</v>
      </c>
      <c r="J771" s="157">
        <f t="array" ref="J771">_xlfn.XLOOKUP($H771,Data!$E:$E,Data!$G:$G,"Revisar",0)</f>
        <v>0</v>
      </c>
      <c r="K771" s="20"/>
      <c r="L771" s="18"/>
      <c r="M771" s="20"/>
      <c r="N771" s="14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ht="15" customHeight="1" x14ac:dyDescent="0.3">
      <c r="A772" s="13"/>
      <c r="B772" s="14"/>
      <c r="C772" s="15"/>
      <c r="D772" s="17"/>
      <c r="E772" s="14"/>
      <c r="F772" s="18"/>
      <c r="G772" s="12" t="str">
        <f>IFERROR(VLOOKUP(D772,Data!$A:$B,2,0),"Revisar")</f>
        <v>Revisar</v>
      </c>
      <c r="H772" s="20"/>
      <c r="I772" s="157">
        <f t="array" ref="I772">_xlfn.XLOOKUP($H772,Data!$E:$E,Data!$F:$F,"Revisar",0)</f>
        <v>0</v>
      </c>
      <c r="J772" s="157">
        <f t="array" ref="J772">_xlfn.XLOOKUP($H772,Data!$E:$E,Data!$G:$G,"Revisar",0)</f>
        <v>0</v>
      </c>
      <c r="K772" s="20"/>
      <c r="L772" s="18"/>
      <c r="M772" s="20"/>
      <c r="N772" s="14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ht="15" customHeight="1" x14ac:dyDescent="0.3">
      <c r="A773" s="13"/>
      <c r="B773" s="14"/>
      <c r="C773" s="15"/>
      <c r="D773" s="17"/>
      <c r="E773" s="14"/>
      <c r="F773" s="18"/>
      <c r="G773" s="12" t="str">
        <f>IFERROR(VLOOKUP(D773,Data!$A:$B,2,0),"Revisar")</f>
        <v>Revisar</v>
      </c>
      <c r="H773" s="20"/>
      <c r="I773" s="157">
        <f t="array" ref="I773">_xlfn.XLOOKUP($H773,Data!$E:$E,Data!$F:$F,"Revisar",0)</f>
        <v>0</v>
      </c>
      <c r="J773" s="157">
        <f t="array" ref="J773">_xlfn.XLOOKUP($H773,Data!$E:$E,Data!$G:$G,"Revisar",0)</f>
        <v>0</v>
      </c>
      <c r="K773" s="20"/>
      <c r="L773" s="18"/>
      <c r="M773" s="20"/>
      <c r="N773" s="14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ht="15" customHeight="1" x14ac:dyDescent="0.3">
      <c r="A774" s="13"/>
      <c r="B774" s="14"/>
      <c r="C774" s="15"/>
      <c r="D774" s="17"/>
      <c r="E774" s="14"/>
      <c r="F774" s="18"/>
      <c r="G774" s="12" t="str">
        <f>IFERROR(VLOOKUP(D774,Data!$A:$B,2,0),"Revisar")</f>
        <v>Revisar</v>
      </c>
      <c r="H774" s="20"/>
      <c r="I774" s="157">
        <f t="array" ref="I774">_xlfn.XLOOKUP($H774,Data!$E:$E,Data!$F:$F,"Revisar",0)</f>
        <v>0</v>
      </c>
      <c r="J774" s="157">
        <f t="array" ref="J774">_xlfn.XLOOKUP($H774,Data!$E:$E,Data!$G:$G,"Revisar",0)</f>
        <v>0</v>
      </c>
      <c r="K774" s="20"/>
      <c r="L774" s="18"/>
      <c r="M774" s="20"/>
      <c r="N774" s="14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ht="15" customHeight="1" x14ac:dyDescent="0.3">
      <c r="A775" s="13"/>
      <c r="B775" s="14"/>
      <c r="C775" s="15"/>
      <c r="D775" s="17"/>
      <c r="E775" s="14"/>
      <c r="F775" s="18"/>
      <c r="G775" s="12" t="str">
        <f>IFERROR(VLOOKUP(D775,Data!$A:$B,2,0),"Revisar")</f>
        <v>Revisar</v>
      </c>
      <c r="H775" s="20"/>
      <c r="I775" s="157">
        <f t="array" ref="I775">_xlfn.XLOOKUP($H775,Data!$E:$E,Data!$F:$F,"Revisar",0)</f>
        <v>0</v>
      </c>
      <c r="J775" s="157">
        <f t="array" ref="J775">_xlfn.XLOOKUP($H775,Data!$E:$E,Data!$G:$G,"Revisar",0)</f>
        <v>0</v>
      </c>
      <c r="K775" s="20"/>
      <c r="L775" s="18"/>
      <c r="M775" s="20"/>
      <c r="N775" s="14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ht="15" customHeight="1" x14ac:dyDescent="0.3">
      <c r="A776" s="13"/>
      <c r="B776" s="14"/>
      <c r="C776" s="15"/>
      <c r="D776" s="17"/>
      <c r="E776" s="14"/>
      <c r="F776" s="18"/>
      <c r="G776" s="12" t="str">
        <f>IFERROR(VLOOKUP(D776,Data!$A:$B,2,0),"Revisar")</f>
        <v>Revisar</v>
      </c>
      <c r="H776" s="20"/>
      <c r="I776" s="157">
        <f t="array" ref="I776">_xlfn.XLOOKUP($H776,Data!$E:$E,Data!$F:$F,"Revisar",0)</f>
        <v>0</v>
      </c>
      <c r="J776" s="157">
        <f t="array" ref="J776">_xlfn.XLOOKUP($H776,Data!$E:$E,Data!$G:$G,"Revisar",0)</f>
        <v>0</v>
      </c>
      <c r="K776" s="20"/>
      <c r="L776" s="18"/>
      <c r="M776" s="20"/>
      <c r="N776" s="14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ht="15" customHeight="1" x14ac:dyDescent="0.3">
      <c r="A777" s="13"/>
      <c r="B777" s="14"/>
      <c r="C777" s="15"/>
      <c r="D777" s="17"/>
      <c r="E777" s="14"/>
      <c r="F777" s="18"/>
      <c r="G777" s="12" t="str">
        <f>IFERROR(VLOOKUP(D777,Data!$A:$B,2,0),"Revisar")</f>
        <v>Revisar</v>
      </c>
      <c r="H777" s="20"/>
      <c r="I777" s="157">
        <f t="array" ref="I777">_xlfn.XLOOKUP($H777,Data!$E:$E,Data!$F:$F,"Revisar",0)</f>
        <v>0</v>
      </c>
      <c r="J777" s="157">
        <f t="array" ref="J777">_xlfn.XLOOKUP($H777,Data!$E:$E,Data!$G:$G,"Revisar",0)</f>
        <v>0</v>
      </c>
      <c r="K777" s="20"/>
      <c r="L777" s="18"/>
      <c r="M777" s="20"/>
      <c r="N777" s="14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ht="15" customHeight="1" x14ac:dyDescent="0.3">
      <c r="A778" s="13"/>
      <c r="B778" s="14"/>
      <c r="C778" s="15"/>
      <c r="D778" s="17"/>
      <c r="E778" s="14"/>
      <c r="F778" s="18"/>
      <c r="G778" s="12" t="str">
        <f>IFERROR(VLOOKUP(D778,Data!$A:$B,2,0),"Revisar")</f>
        <v>Revisar</v>
      </c>
      <c r="H778" s="20"/>
      <c r="I778" s="157">
        <f t="array" ref="I778">_xlfn.XLOOKUP($H778,Data!$E:$E,Data!$F:$F,"Revisar",0)</f>
        <v>0</v>
      </c>
      <c r="J778" s="157">
        <f t="array" ref="J778">_xlfn.XLOOKUP($H778,Data!$E:$E,Data!$G:$G,"Revisar",0)</f>
        <v>0</v>
      </c>
      <c r="K778" s="20"/>
      <c r="L778" s="18"/>
      <c r="M778" s="20"/>
      <c r="N778" s="14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ht="15" customHeight="1" x14ac:dyDescent="0.3">
      <c r="A779" s="13"/>
      <c r="B779" s="14"/>
      <c r="C779" s="15"/>
      <c r="D779" s="17"/>
      <c r="E779" s="14"/>
      <c r="F779" s="18"/>
      <c r="G779" s="12" t="str">
        <f>IFERROR(VLOOKUP(D779,Data!$A:$B,2,0),"Revisar")</f>
        <v>Revisar</v>
      </c>
      <c r="H779" s="20"/>
      <c r="I779" s="157">
        <f t="array" ref="I779">_xlfn.XLOOKUP($H779,Data!$E:$E,Data!$F:$F,"Revisar",0)</f>
        <v>0</v>
      </c>
      <c r="J779" s="157">
        <f t="array" ref="J779">_xlfn.XLOOKUP($H779,Data!$E:$E,Data!$G:$G,"Revisar",0)</f>
        <v>0</v>
      </c>
      <c r="K779" s="20"/>
      <c r="L779" s="18"/>
      <c r="M779" s="20"/>
      <c r="N779" s="14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ht="15" customHeight="1" x14ac:dyDescent="0.3">
      <c r="A780" s="13"/>
      <c r="B780" s="14"/>
      <c r="C780" s="15"/>
      <c r="D780" s="17"/>
      <c r="E780" s="14"/>
      <c r="F780" s="18"/>
      <c r="G780" s="12" t="str">
        <f>IFERROR(VLOOKUP(D780,Data!$A:$B,2,0),"Revisar")</f>
        <v>Revisar</v>
      </c>
      <c r="H780" s="20"/>
      <c r="I780" s="157">
        <f t="array" ref="I780">_xlfn.XLOOKUP($H780,Data!$E:$E,Data!$F:$F,"Revisar",0)</f>
        <v>0</v>
      </c>
      <c r="J780" s="157">
        <f t="array" ref="J780">_xlfn.XLOOKUP($H780,Data!$E:$E,Data!$G:$G,"Revisar",0)</f>
        <v>0</v>
      </c>
      <c r="K780" s="20"/>
      <c r="L780" s="18"/>
      <c r="M780" s="20"/>
      <c r="N780" s="14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ht="15" customHeight="1" x14ac:dyDescent="0.3">
      <c r="A781" s="13"/>
      <c r="B781" s="14"/>
      <c r="C781" s="15"/>
      <c r="D781" s="17"/>
      <c r="E781" s="14"/>
      <c r="F781" s="18"/>
      <c r="G781" s="12" t="str">
        <f>IFERROR(VLOOKUP(D781,Data!$A:$B,2,0),"Revisar")</f>
        <v>Revisar</v>
      </c>
      <c r="H781" s="20"/>
      <c r="I781" s="157">
        <f t="array" ref="I781">_xlfn.XLOOKUP($H781,Data!$E:$E,Data!$F:$F,"Revisar",0)</f>
        <v>0</v>
      </c>
      <c r="J781" s="157">
        <f t="array" ref="J781">_xlfn.XLOOKUP($H781,Data!$E:$E,Data!$G:$G,"Revisar",0)</f>
        <v>0</v>
      </c>
      <c r="K781" s="20"/>
      <c r="L781" s="18"/>
      <c r="M781" s="20"/>
      <c r="N781" s="14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ht="15" customHeight="1" x14ac:dyDescent="0.3">
      <c r="A782" s="13"/>
      <c r="B782" s="14"/>
      <c r="C782" s="15"/>
      <c r="D782" s="17"/>
      <c r="E782" s="14"/>
      <c r="F782" s="18"/>
      <c r="G782" s="12" t="str">
        <f>IFERROR(VLOOKUP(D782,Data!$A:$B,2,0),"Revisar")</f>
        <v>Revisar</v>
      </c>
      <c r="H782" s="20"/>
      <c r="I782" s="157">
        <f t="array" ref="I782">_xlfn.XLOOKUP($H782,Data!$E:$E,Data!$F:$F,"Revisar",0)</f>
        <v>0</v>
      </c>
      <c r="J782" s="157">
        <f t="array" ref="J782">_xlfn.XLOOKUP($H782,Data!$E:$E,Data!$G:$G,"Revisar",0)</f>
        <v>0</v>
      </c>
      <c r="K782" s="20"/>
      <c r="L782" s="18"/>
      <c r="M782" s="20"/>
      <c r="N782" s="14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ht="15" customHeight="1" x14ac:dyDescent="0.3">
      <c r="A783" s="13"/>
      <c r="B783" s="14"/>
      <c r="C783" s="15"/>
      <c r="D783" s="17"/>
      <c r="E783" s="14"/>
      <c r="F783" s="18"/>
      <c r="G783" s="12" t="str">
        <f>IFERROR(VLOOKUP(D783,Data!$A:$B,2,0),"Revisar")</f>
        <v>Revisar</v>
      </c>
      <c r="H783" s="20"/>
      <c r="I783" s="157">
        <f t="array" ref="I783">_xlfn.XLOOKUP($H783,Data!$E:$E,Data!$F:$F,"Revisar",0)</f>
        <v>0</v>
      </c>
      <c r="J783" s="157">
        <f t="array" ref="J783">_xlfn.XLOOKUP($H783,Data!$E:$E,Data!$G:$G,"Revisar",0)</f>
        <v>0</v>
      </c>
      <c r="K783" s="20"/>
      <c r="L783" s="18"/>
      <c r="M783" s="20"/>
      <c r="N783" s="14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ht="15" customHeight="1" x14ac:dyDescent="0.3">
      <c r="A784" s="13"/>
      <c r="B784" s="14"/>
      <c r="C784" s="15"/>
      <c r="D784" s="17"/>
      <c r="E784" s="14"/>
      <c r="F784" s="18"/>
      <c r="G784" s="12" t="str">
        <f>IFERROR(VLOOKUP(D784,Data!$A:$B,2,0),"Revisar")</f>
        <v>Revisar</v>
      </c>
      <c r="H784" s="20"/>
      <c r="I784" s="157">
        <f t="array" ref="I784">_xlfn.XLOOKUP($H784,Data!$E:$E,Data!$F:$F,"Revisar",0)</f>
        <v>0</v>
      </c>
      <c r="J784" s="157">
        <f t="array" ref="J784">_xlfn.XLOOKUP($H784,Data!$E:$E,Data!$G:$G,"Revisar",0)</f>
        <v>0</v>
      </c>
      <c r="K784" s="20"/>
      <c r="L784" s="18"/>
      <c r="M784" s="20"/>
      <c r="N784" s="14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ht="15" customHeight="1" x14ac:dyDescent="0.3">
      <c r="A785" s="13"/>
      <c r="B785" s="14"/>
      <c r="C785" s="15"/>
      <c r="D785" s="17"/>
      <c r="E785" s="14"/>
      <c r="F785" s="18"/>
      <c r="G785" s="12" t="str">
        <f>IFERROR(VLOOKUP(D785,Data!$A:$B,2,0),"Revisar")</f>
        <v>Revisar</v>
      </c>
      <c r="H785" s="20"/>
      <c r="I785" s="157">
        <f t="array" ref="I785">_xlfn.XLOOKUP($H785,Data!$E:$E,Data!$F:$F,"Revisar",0)</f>
        <v>0</v>
      </c>
      <c r="J785" s="157">
        <f t="array" ref="J785">_xlfn.XLOOKUP($H785,Data!$E:$E,Data!$G:$G,"Revisar",0)</f>
        <v>0</v>
      </c>
      <c r="K785" s="20"/>
      <c r="L785" s="18"/>
      <c r="M785" s="20"/>
      <c r="N785" s="14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ht="15" customHeight="1" x14ac:dyDescent="0.3">
      <c r="A786" s="13"/>
      <c r="B786" s="14"/>
      <c r="C786" s="15"/>
      <c r="D786" s="17"/>
      <c r="E786" s="14"/>
      <c r="F786" s="18"/>
      <c r="G786" s="12" t="str">
        <f>IFERROR(VLOOKUP(D786,Data!$A:$B,2,0),"Revisar")</f>
        <v>Revisar</v>
      </c>
      <c r="H786" s="20"/>
      <c r="I786" s="157">
        <f t="array" ref="I786">_xlfn.XLOOKUP($H786,Data!$E:$E,Data!$F:$F,"Revisar",0)</f>
        <v>0</v>
      </c>
      <c r="J786" s="157">
        <f t="array" ref="J786">_xlfn.XLOOKUP($H786,Data!$E:$E,Data!$G:$G,"Revisar",0)</f>
        <v>0</v>
      </c>
      <c r="K786" s="20"/>
      <c r="L786" s="18"/>
      <c r="M786" s="20"/>
      <c r="N786" s="14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ht="15" customHeight="1" x14ac:dyDescent="0.3">
      <c r="A787" s="13"/>
      <c r="B787" s="14"/>
      <c r="C787" s="15"/>
      <c r="D787" s="17"/>
      <c r="E787" s="14"/>
      <c r="F787" s="18"/>
      <c r="G787" s="12" t="str">
        <f>IFERROR(VLOOKUP(D787,Data!$A:$B,2,0),"Revisar")</f>
        <v>Revisar</v>
      </c>
      <c r="H787" s="20"/>
      <c r="I787" s="157">
        <f t="array" ref="I787">_xlfn.XLOOKUP($H787,Data!$E:$E,Data!$F:$F,"Revisar",0)</f>
        <v>0</v>
      </c>
      <c r="J787" s="157">
        <f t="array" ref="J787">_xlfn.XLOOKUP($H787,Data!$E:$E,Data!$G:$G,"Revisar",0)</f>
        <v>0</v>
      </c>
      <c r="K787" s="20"/>
      <c r="L787" s="18"/>
      <c r="M787" s="20"/>
      <c r="N787" s="14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 ht="15" customHeight="1" x14ac:dyDescent="0.3">
      <c r="A788" s="13"/>
      <c r="B788" s="14"/>
      <c r="C788" s="15"/>
      <c r="D788" s="17"/>
      <c r="E788" s="14"/>
      <c r="F788" s="18"/>
      <c r="G788" s="12" t="str">
        <f>IFERROR(VLOOKUP(D788,Data!$A:$B,2,0),"Revisar")</f>
        <v>Revisar</v>
      </c>
      <c r="H788" s="20"/>
      <c r="I788" s="157">
        <f t="array" ref="I788">_xlfn.XLOOKUP($H788,Data!$E:$E,Data!$F:$F,"Revisar",0)</f>
        <v>0</v>
      </c>
      <c r="J788" s="157">
        <f t="array" ref="J788">_xlfn.XLOOKUP($H788,Data!$E:$E,Data!$G:$G,"Revisar",0)</f>
        <v>0</v>
      </c>
      <c r="K788" s="20"/>
      <c r="L788" s="18"/>
      <c r="M788" s="20"/>
      <c r="N788" s="14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 ht="15" customHeight="1" x14ac:dyDescent="0.3">
      <c r="A789" s="13"/>
      <c r="B789" s="14"/>
      <c r="C789" s="15"/>
      <c r="D789" s="17"/>
      <c r="E789" s="14"/>
      <c r="F789" s="18"/>
      <c r="G789" s="12" t="str">
        <f>IFERROR(VLOOKUP(D789,Data!$A:$B,2,0),"Revisar")</f>
        <v>Revisar</v>
      </c>
      <c r="H789" s="20"/>
      <c r="I789" s="157">
        <f t="array" ref="I789">_xlfn.XLOOKUP($H789,Data!$E:$E,Data!$F:$F,"Revisar",0)</f>
        <v>0</v>
      </c>
      <c r="J789" s="157">
        <f t="array" ref="J789">_xlfn.XLOOKUP($H789,Data!$E:$E,Data!$G:$G,"Revisar",0)</f>
        <v>0</v>
      </c>
      <c r="K789" s="20"/>
      <c r="L789" s="18"/>
      <c r="M789" s="20"/>
      <c r="N789" s="14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ht="15" customHeight="1" x14ac:dyDescent="0.3">
      <c r="A790" s="13"/>
      <c r="B790" s="14"/>
      <c r="C790" s="15"/>
      <c r="D790" s="17"/>
      <c r="E790" s="14"/>
      <c r="F790" s="18"/>
      <c r="G790" s="12" t="str">
        <f>IFERROR(VLOOKUP(D790,Data!$A:$B,2,0),"Revisar")</f>
        <v>Revisar</v>
      </c>
      <c r="H790" s="20"/>
      <c r="I790" s="157">
        <f t="array" ref="I790">_xlfn.XLOOKUP($H790,Data!$E:$E,Data!$F:$F,"Revisar",0)</f>
        <v>0</v>
      </c>
      <c r="J790" s="157">
        <f t="array" ref="J790">_xlfn.XLOOKUP($H790,Data!$E:$E,Data!$G:$G,"Revisar",0)</f>
        <v>0</v>
      </c>
      <c r="K790" s="20"/>
      <c r="L790" s="18"/>
      <c r="M790" s="20"/>
      <c r="N790" s="14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ht="15" customHeight="1" x14ac:dyDescent="0.3">
      <c r="A791" s="13"/>
      <c r="B791" s="14"/>
      <c r="C791" s="15"/>
      <c r="D791" s="17"/>
      <c r="E791" s="14"/>
      <c r="F791" s="18"/>
      <c r="G791" s="12" t="str">
        <f>IFERROR(VLOOKUP(D791,Data!$A:$B,2,0),"Revisar")</f>
        <v>Revisar</v>
      </c>
      <c r="H791" s="20"/>
      <c r="I791" s="157">
        <f t="array" ref="I791">_xlfn.XLOOKUP($H791,Data!$E:$E,Data!$F:$F,"Revisar",0)</f>
        <v>0</v>
      </c>
      <c r="J791" s="157">
        <f t="array" ref="J791">_xlfn.XLOOKUP($H791,Data!$E:$E,Data!$G:$G,"Revisar",0)</f>
        <v>0</v>
      </c>
      <c r="K791" s="20"/>
      <c r="L791" s="18"/>
      <c r="M791" s="20"/>
      <c r="N791" s="14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ht="15" customHeight="1" x14ac:dyDescent="0.3">
      <c r="A792" s="13"/>
      <c r="B792" s="14"/>
      <c r="C792" s="15"/>
      <c r="D792" s="17"/>
      <c r="E792" s="14"/>
      <c r="F792" s="18"/>
      <c r="G792" s="12" t="str">
        <f>IFERROR(VLOOKUP(D792,Data!$A:$B,2,0),"Revisar")</f>
        <v>Revisar</v>
      </c>
      <c r="H792" s="20"/>
      <c r="I792" s="157">
        <f t="array" ref="I792">_xlfn.XLOOKUP($H792,Data!$E:$E,Data!$F:$F,"Revisar",0)</f>
        <v>0</v>
      </c>
      <c r="J792" s="157">
        <f t="array" ref="J792">_xlfn.XLOOKUP($H792,Data!$E:$E,Data!$G:$G,"Revisar",0)</f>
        <v>0</v>
      </c>
      <c r="K792" s="20"/>
      <c r="L792" s="18"/>
      <c r="M792" s="20"/>
      <c r="N792" s="14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ht="15" customHeight="1" x14ac:dyDescent="0.3">
      <c r="A793" s="13"/>
      <c r="B793" s="14"/>
      <c r="C793" s="15"/>
      <c r="D793" s="17"/>
      <c r="E793" s="14"/>
      <c r="F793" s="18"/>
      <c r="G793" s="12" t="str">
        <f>IFERROR(VLOOKUP(D793,Data!$A:$B,2,0),"Revisar")</f>
        <v>Revisar</v>
      </c>
      <c r="H793" s="20"/>
      <c r="I793" s="157">
        <f t="array" ref="I793">_xlfn.XLOOKUP($H793,Data!$E:$E,Data!$F:$F,"Revisar",0)</f>
        <v>0</v>
      </c>
      <c r="J793" s="157">
        <f t="array" ref="J793">_xlfn.XLOOKUP($H793,Data!$E:$E,Data!$G:$G,"Revisar",0)</f>
        <v>0</v>
      </c>
      <c r="K793" s="20"/>
      <c r="L793" s="18"/>
      <c r="M793" s="20"/>
      <c r="N793" s="14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ht="15" customHeight="1" x14ac:dyDescent="0.3">
      <c r="A794" s="13"/>
      <c r="B794" s="14"/>
      <c r="C794" s="15"/>
      <c r="D794" s="17"/>
      <c r="E794" s="14"/>
      <c r="F794" s="18"/>
      <c r="G794" s="12" t="str">
        <f>IFERROR(VLOOKUP(D794,Data!$A:$B,2,0),"Revisar")</f>
        <v>Revisar</v>
      </c>
      <c r="H794" s="20"/>
      <c r="I794" s="157">
        <f t="array" ref="I794">_xlfn.XLOOKUP($H794,Data!$E:$E,Data!$F:$F,"Revisar",0)</f>
        <v>0</v>
      </c>
      <c r="J794" s="157">
        <f t="array" ref="J794">_xlfn.XLOOKUP($H794,Data!$E:$E,Data!$G:$G,"Revisar",0)</f>
        <v>0</v>
      </c>
      <c r="K794" s="20"/>
      <c r="L794" s="18"/>
      <c r="M794" s="20"/>
      <c r="N794" s="14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ht="15" customHeight="1" x14ac:dyDescent="0.3">
      <c r="A795" s="13"/>
      <c r="B795" s="14"/>
      <c r="C795" s="15"/>
      <c r="D795" s="17"/>
      <c r="E795" s="14"/>
      <c r="F795" s="18"/>
      <c r="G795" s="12" t="str">
        <f>IFERROR(VLOOKUP(D795,Data!$A:$B,2,0),"Revisar")</f>
        <v>Revisar</v>
      </c>
      <c r="H795" s="20"/>
      <c r="I795" s="157">
        <f t="array" ref="I795">_xlfn.XLOOKUP($H795,Data!$E:$E,Data!$F:$F,"Revisar",0)</f>
        <v>0</v>
      </c>
      <c r="J795" s="157">
        <f t="array" ref="J795">_xlfn.XLOOKUP($H795,Data!$E:$E,Data!$G:$G,"Revisar",0)</f>
        <v>0</v>
      </c>
      <c r="K795" s="20"/>
      <c r="L795" s="18"/>
      <c r="M795" s="20"/>
      <c r="N795" s="14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ht="15" customHeight="1" x14ac:dyDescent="0.3">
      <c r="A796" s="13"/>
      <c r="B796" s="14"/>
      <c r="C796" s="15"/>
      <c r="D796" s="17"/>
      <c r="E796" s="14"/>
      <c r="F796" s="18"/>
      <c r="G796" s="12" t="str">
        <f>IFERROR(VLOOKUP(D796,Data!$A:$B,2,0),"Revisar")</f>
        <v>Revisar</v>
      </c>
      <c r="H796" s="20"/>
      <c r="I796" s="157">
        <f t="array" ref="I796">_xlfn.XLOOKUP($H796,Data!$E:$E,Data!$F:$F,"Revisar",0)</f>
        <v>0</v>
      </c>
      <c r="J796" s="157">
        <f t="array" ref="J796">_xlfn.XLOOKUP($H796,Data!$E:$E,Data!$G:$G,"Revisar",0)</f>
        <v>0</v>
      </c>
      <c r="K796" s="20"/>
      <c r="L796" s="18"/>
      <c r="M796" s="20"/>
      <c r="N796" s="14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ht="15" customHeight="1" x14ac:dyDescent="0.3">
      <c r="A797" s="13"/>
      <c r="B797" s="14"/>
      <c r="C797" s="15"/>
      <c r="D797" s="17"/>
      <c r="E797" s="14"/>
      <c r="F797" s="18"/>
      <c r="G797" s="12" t="str">
        <f>IFERROR(VLOOKUP(D797,Data!$A:$B,2,0),"Revisar")</f>
        <v>Revisar</v>
      </c>
      <c r="H797" s="20"/>
      <c r="I797" s="157">
        <f t="array" ref="I797">_xlfn.XLOOKUP($H797,Data!$E:$E,Data!$F:$F,"Revisar",0)</f>
        <v>0</v>
      </c>
      <c r="J797" s="157">
        <f t="array" ref="J797">_xlfn.XLOOKUP($H797,Data!$E:$E,Data!$G:$G,"Revisar",0)</f>
        <v>0</v>
      </c>
      <c r="K797" s="20"/>
      <c r="L797" s="18"/>
      <c r="M797" s="20"/>
      <c r="N797" s="14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ht="15" customHeight="1" x14ac:dyDescent="0.3">
      <c r="A798" s="13"/>
      <c r="B798" s="14"/>
      <c r="C798" s="15"/>
      <c r="D798" s="17"/>
      <c r="E798" s="14"/>
      <c r="F798" s="18"/>
      <c r="G798" s="12" t="str">
        <f>IFERROR(VLOOKUP(D798,Data!$A:$B,2,0),"Revisar")</f>
        <v>Revisar</v>
      </c>
      <c r="H798" s="20"/>
      <c r="I798" s="157">
        <f t="array" ref="I798">_xlfn.XLOOKUP($H798,Data!$E:$E,Data!$F:$F,"Revisar",0)</f>
        <v>0</v>
      </c>
      <c r="J798" s="157">
        <f t="array" ref="J798">_xlfn.XLOOKUP($H798,Data!$E:$E,Data!$G:$G,"Revisar",0)</f>
        <v>0</v>
      </c>
      <c r="K798" s="20"/>
      <c r="L798" s="18"/>
      <c r="M798" s="20"/>
      <c r="N798" s="14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ht="15" customHeight="1" x14ac:dyDescent="0.3">
      <c r="A799" s="13"/>
      <c r="B799" s="14"/>
      <c r="C799" s="15"/>
      <c r="D799" s="17"/>
      <c r="E799" s="14"/>
      <c r="F799" s="18"/>
      <c r="G799" s="12" t="str">
        <f>IFERROR(VLOOKUP(D799,Data!$A:$B,2,0),"Revisar")</f>
        <v>Revisar</v>
      </c>
      <c r="H799" s="20"/>
      <c r="I799" s="157">
        <f t="array" ref="I799">_xlfn.XLOOKUP($H799,Data!$E:$E,Data!$F:$F,"Revisar",0)</f>
        <v>0</v>
      </c>
      <c r="J799" s="157">
        <f t="array" ref="J799">_xlfn.XLOOKUP($H799,Data!$E:$E,Data!$G:$G,"Revisar",0)</f>
        <v>0</v>
      </c>
      <c r="K799" s="20"/>
      <c r="L799" s="18"/>
      <c r="M799" s="20"/>
      <c r="N799" s="14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ht="15" customHeight="1" x14ac:dyDescent="0.3">
      <c r="A800" s="13"/>
      <c r="B800" s="14"/>
      <c r="C800" s="15"/>
      <c r="D800" s="17"/>
      <c r="E800" s="14"/>
      <c r="F800" s="18"/>
      <c r="G800" s="12" t="str">
        <f>IFERROR(VLOOKUP(D800,Data!$A:$B,2,0),"Revisar")</f>
        <v>Revisar</v>
      </c>
      <c r="H800" s="20"/>
      <c r="I800" s="157">
        <f t="array" ref="I800">_xlfn.XLOOKUP($H800,Data!$E:$E,Data!$F:$F,"Revisar",0)</f>
        <v>0</v>
      </c>
      <c r="J800" s="157">
        <f t="array" ref="J800">_xlfn.XLOOKUP($H800,Data!$E:$E,Data!$G:$G,"Revisar",0)</f>
        <v>0</v>
      </c>
      <c r="K800" s="20"/>
      <c r="L800" s="18"/>
      <c r="M800" s="20"/>
      <c r="N800" s="14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ht="15" customHeight="1" x14ac:dyDescent="0.3">
      <c r="A801" s="13"/>
      <c r="B801" s="14"/>
      <c r="C801" s="15"/>
      <c r="D801" s="17"/>
      <c r="E801" s="14"/>
      <c r="F801" s="18"/>
      <c r="G801" s="12" t="str">
        <f>IFERROR(VLOOKUP(D801,Data!$A:$B,2,0),"Revisar")</f>
        <v>Revisar</v>
      </c>
      <c r="H801" s="20"/>
      <c r="I801" s="157">
        <f t="array" ref="I801">_xlfn.XLOOKUP($H801,Data!$E:$E,Data!$F:$F,"Revisar",0)</f>
        <v>0</v>
      </c>
      <c r="J801" s="157">
        <f t="array" ref="J801">_xlfn.XLOOKUP($H801,Data!$E:$E,Data!$G:$G,"Revisar",0)</f>
        <v>0</v>
      </c>
      <c r="K801" s="20"/>
      <c r="L801" s="18"/>
      <c r="M801" s="20"/>
      <c r="N801" s="14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ht="15" customHeight="1" x14ac:dyDescent="0.3">
      <c r="A802" s="13"/>
      <c r="B802" s="14"/>
      <c r="C802" s="15"/>
      <c r="D802" s="17"/>
      <c r="E802" s="14"/>
      <c r="F802" s="18"/>
      <c r="G802" s="12" t="str">
        <f>IFERROR(VLOOKUP(D802,Data!$A:$B,2,0),"Revisar")</f>
        <v>Revisar</v>
      </c>
      <c r="H802" s="20"/>
      <c r="I802" s="157">
        <f t="array" ref="I802">_xlfn.XLOOKUP($H802,Data!$E:$E,Data!$F:$F,"Revisar",0)</f>
        <v>0</v>
      </c>
      <c r="J802" s="157">
        <f t="array" ref="J802">_xlfn.XLOOKUP($H802,Data!$E:$E,Data!$G:$G,"Revisar",0)</f>
        <v>0</v>
      </c>
      <c r="K802" s="20"/>
      <c r="L802" s="18"/>
      <c r="M802" s="20"/>
      <c r="N802" s="14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ht="15" customHeight="1" x14ac:dyDescent="0.3">
      <c r="A803" s="13"/>
      <c r="B803" s="14"/>
      <c r="C803" s="15"/>
      <c r="D803" s="17"/>
      <c r="E803" s="14"/>
      <c r="F803" s="18"/>
      <c r="G803" s="12" t="str">
        <f>IFERROR(VLOOKUP(D803,Data!$A:$B,2,0),"Revisar")</f>
        <v>Revisar</v>
      </c>
      <c r="H803" s="20"/>
      <c r="I803" s="157">
        <f t="array" ref="I803">_xlfn.XLOOKUP($H803,Data!$E:$E,Data!$F:$F,"Revisar",0)</f>
        <v>0</v>
      </c>
      <c r="J803" s="157">
        <f t="array" ref="J803">_xlfn.XLOOKUP($H803,Data!$E:$E,Data!$G:$G,"Revisar",0)</f>
        <v>0</v>
      </c>
      <c r="K803" s="20"/>
      <c r="L803" s="18"/>
      <c r="M803" s="20"/>
      <c r="N803" s="14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ht="15" customHeight="1" x14ac:dyDescent="0.3">
      <c r="A804" s="13"/>
      <c r="B804" s="14"/>
      <c r="C804" s="15"/>
      <c r="D804" s="17"/>
      <c r="E804" s="14"/>
      <c r="F804" s="18"/>
      <c r="G804" s="12" t="str">
        <f>IFERROR(VLOOKUP(D804,Data!$A:$B,2,0),"Revisar")</f>
        <v>Revisar</v>
      </c>
      <c r="H804" s="20"/>
      <c r="I804" s="157">
        <f t="array" ref="I804">_xlfn.XLOOKUP($H804,Data!$E:$E,Data!$F:$F,"Revisar",0)</f>
        <v>0</v>
      </c>
      <c r="J804" s="157">
        <f t="array" ref="J804">_xlfn.XLOOKUP($H804,Data!$E:$E,Data!$G:$G,"Revisar",0)</f>
        <v>0</v>
      </c>
      <c r="K804" s="20"/>
      <c r="L804" s="18"/>
      <c r="M804" s="20"/>
      <c r="N804" s="14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ht="15" customHeight="1" x14ac:dyDescent="0.3">
      <c r="A805" s="13"/>
      <c r="B805" s="14"/>
      <c r="C805" s="15"/>
      <c r="D805" s="17"/>
      <c r="E805" s="14"/>
      <c r="F805" s="18"/>
      <c r="G805" s="12" t="str">
        <f>IFERROR(VLOOKUP(D805,Data!$A:$B,2,0),"Revisar")</f>
        <v>Revisar</v>
      </c>
      <c r="H805" s="20"/>
      <c r="I805" s="157">
        <f t="array" ref="I805">_xlfn.XLOOKUP($H805,Data!$E:$E,Data!$F:$F,"Revisar",0)</f>
        <v>0</v>
      </c>
      <c r="J805" s="157">
        <f t="array" ref="J805">_xlfn.XLOOKUP($H805,Data!$E:$E,Data!$G:$G,"Revisar",0)</f>
        <v>0</v>
      </c>
      <c r="K805" s="20"/>
      <c r="L805" s="18"/>
      <c r="M805" s="20"/>
      <c r="N805" s="14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ht="15" customHeight="1" x14ac:dyDescent="0.3">
      <c r="A806" s="13"/>
      <c r="B806" s="14"/>
      <c r="C806" s="15"/>
      <c r="D806" s="17"/>
      <c r="E806" s="14"/>
      <c r="F806" s="18"/>
      <c r="G806" s="12" t="str">
        <f>IFERROR(VLOOKUP(D806,Data!$A:$B,2,0),"Revisar")</f>
        <v>Revisar</v>
      </c>
      <c r="H806" s="20"/>
      <c r="I806" s="157">
        <f t="array" ref="I806">_xlfn.XLOOKUP($H806,Data!$E:$E,Data!$F:$F,"Revisar",0)</f>
        <v>0</v>
      </c>
      <c r="J806" s="157">
        <f t="array" ref="J806">_xlfn.XLOOKUP($H806,Data!$E:$E,Data!$G:$G,"Revisar",0)</f>
        <v>0</v>
      </c>
      <c r="K806" s="20"/>
      <c r="L806" s="18"/>
      <c r="M806" s="20"/>
      <c r="N806" s="14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ht="15" customHeight="1" x14ac:dyDescent="0.3">
      <c r="A807" s="13"/>
      <c r="B807" s="14"/>
      <c r="C807" s="15"/>
      <c r="D807" s="17"/>
      <c r="E807" s="14"/>
      <c r="F807" s="18"/>
      <c r="G807" s="12" t="str">
        <f>IFERROR(VLOOKUP(D807,Data!$A:$B,2,0),"Revisar")</f>
        <v>Revisar</v>
      </c>
      <c r="H807" s="20"/>
      <c r="I807" s="157">
        <f t="array" ref="I807">_xlfn.XLOOKUP($H807,Data!$E:$E,Data!$F:$F,"Revisar",0)</f>
        <v>0</v>
      </c>
      <c r="J807" s="157">
        <f t="array" ref="J807">_xlfn.XLOOKUP($H807,Data!$E:$E,Data!$G:$G,"Revisar",0)</f>
        <v>0</v>
      </c>
      <c r="K807" s="20"/>
      <c r="L807" s="18"/>
      <c r="M807" s="20"/>
      <c r="N807" s="14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ht="15" customHeight="1" x14ac:dyDescent="0.3">
      <c r="A808" s="13"/>
      <c r="B808" s="14"/>
      <c r="C808" s="15"/>
      <c r="D808" s="17"/>
      <c r="E808" s="14"/>
      <c r="F808" s="18"/>
      <c r="G808" s="12" t="str">
        <f>IFERROR(VLOOKUP(D808,Data!$A:$B,2,0),"Revisar")</f>
        <v>Revisar</v>
      </c>
      <c r="H808" s="20"/>
      <c r="I808" s="157">
        <f t="array" ref="I808">_xlfn.XLOOKUP($H808,Data!$E:$E,Data!$F:$F,"Revisar",0)</f>
        <v>0</v>
      </c>
      <c r="J808" s="157">
        <f t="array" ref="J808">_xlfn.XLOOKUP($H808,Data!$E:$E,Data!$G:$G,"Revisar",0)</f>
        <v>0</v>
      </c>
      <c r="K808" s="20"/>
      <c r="L808" s="18"/>
      <c r="M808" s="20"/>
      <c r="N808" s="14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ht="15" customHeight="1" x14ac:dyDescent="0.3">
      <c r="A809" s="13"/>
      <c r="B809" s="14"/>
      <c r="C809" s="15"/>
      <c r="D809" s="17"/>
      <c r="E809" s="14"/>
      <c r="F809" s="18"/>
      <c r="G809" s="12" t="str">
        <f>IFERROR(VLOOKUP(D809,Data!$A:$B,2,0),"Revisar")</f>
        <v>Revisar</v>
      </c>
      <c r="H809" s="20"/>
      <c r="I809" s="157">
        <f t="array" ref="I809">_xlfn.XLOOKUP($H809,Data!$E:$E,Data!$F:$F,"Revisar",0)</f>
        <v>0</v>
      </c>
      <c r="J809" s="157">
        <f t="array" ref="J809">_xlfn.XLOOKUP($H809,Data!$E:$E,Data!$G:$G,"Revisar",0)</f>
        <v>0</v>
      </c>
      <c r="K809" s="20"/>
      <c r="L809" s="18"/>
      <c r="M809" s="20"/>
      <c r="N809" s="14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ht="15" customHeight="1" x14ac:dyDescent="0.3">
      <c r="A810" s="13"/>
      <c r="B810" s="14"/>
      <c r="C810" s="15"/>
      <c r="D810" s="17"/>
      <c r="E810" s="14"/>
      <c r="F810" s="18"/>
      <c r="G810" s="12" t="str">
        <f>IFERROR(VLOOKUP(D810,Data!$A:$B,2,0),"Revisar")</f>
        <v>Revisar</v>
      </c>
      <c r="H810" s="20"/>
      <c r="I810" s="157">
        <f t="array" ref="I810">_xlfn.XLOOKUP($H810,Data!$E:$E,Data!$F:$F,"Revisar",0)</f>
        <v>0</v>
      </c>
      <c r="J810" s="157">
        <f t="array" ref="J810">_xlfn.XLOOKUP($H810,Data!$E:$E,Data!$G:$G,"Revisar",0)</f>
        <v>0</v>
      </c>
      <c r="K810" s="20"/>
      <c r="L810" s="18"/>
      <c r="M810" s="20"/>
      <c r="N810" s="14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ht="15" customHeight="1" x14ac:dyDescent="0.3">
      <c r="A811" s="13"/>
      <c r="B811" s="14"/>
      <c r="C811" s="15"/>
      <c r="D811" s="17"/>
      <c r="E811" s="14"/>
      <c r="F811" s="18"/>
      <c r="G811" s="12" t="str">
        <f>IFERROR(VLOOKUP(D811,Data!$A:$B,2,0),"Revisar")</f>
        <v>Revisar</v>
      </c>
      <c r="H811" s="20"/>
      <c r="I811" s="157">
        <f t="array" ref="I811">_xlfn.XLOOKUP($H811,Data!$E:$E,Data!$F:$F,"Revisar",0)</f>
        <v>0</v>
      </c>
      <c r="J811" s="157">
        <f t="array" ref="J811">_xlfn.XLOOKUP($H811,Data!$E:$E,Data!$G:$G,"Revisar",0)</f>
        <v>0</v>
      </c>
      <c r="K811" s="20"/>
      <c r="L811" s="18"/>
      <c r="M811" s="20"/>
      <c r="N811" s="14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ht="15" customHeight="1" x14ac:dyDescent="0.3">
      <c r="A812" s="13"/>
      <c r="B812" s="14"/>
      <c r="C812" s="15"/>
      <c r="D812" s="17"/>
      <c r="E812" s="14"/>
      <c r="F812" s="18"/>
      <c r="G812" s="12" t="str">
        <f>IFERROR(VLOOKUP(D812,Data!$A:$B,2,0),"Revisar")</f>
        <v>Revisar</v>
      </c>
      <c r="H812" s="20"/>
      <c r="I812" s="157">
        <f t="array" ref="I812">_xlfn.XLOOKUP($H812,Data!$E:$E,Data!$F:$F,"Revisar",0)</f>
        <v>0</v>
      </c>
      <c r="J812" s="157">
        <f t="array" ref="J812">_xlfn.XLOOKUP($H812,Data!$E:$E,Data!$G:$G,"Revisar",0)</f>
        <v>0</v>
      </c>
      <c r="K812" s="20"/>
      <c r="L812" s="18"/>
      <c r="M812" s="20"/>
      <c r="N812" s="14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ht="15" customHeight="1" x14ac:dyDescent="0.3">
      <c r="A813" s="13"/>
      <c r="B813" s="14"/>
      <c r="C813" s="15"/>
      <c r="D813" s="17"/>
      <c r="E813" s="14"/>
      <c r="F813" s="18"/>
      <c r="G813" s="12" t="str">
        <f>IFERROR(VLOOKUP(D813,Data!$A:$B,2,0),"Revisar")</f>
        <v>Revisar</v>
      </c>
      <c r="H813" s="20"/>
      <c r="I813" s="157">
        <f t="array" ref="I813">_xlfn.XLOOKUP($H813,Data!$E:$E,Data!$F:$F,"Revisar",0)</f>
        <v>0</v>
      </c>
      <c r="J813" s="157">
        <f t="array" ref="J813">_xlfn.XLOOKUP($H813,Data!$E:$E,Data!$G:$G,"Revisar",0)</f>
        <v>0</v>
      </c>
      <c r="K813" s="20"/>
      <c r="L813" s="18"/>
      <c r="M813" s="20"/>
      <c r="N813" s="14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ht="15" customHeight="1" x14ac:dyDescent="0.3">
      <c r="A814" s="13"/>
      <c r="B814" s="14"/>
      <c r="C814" s="15"/>
      <c r="D814" s="17"/>
      <c r="E814" s="14"/>
      <c r="F814" s="18"/>
      <c r="G814" s="12" t="str">
        <f>IFERROR(VLOOKUP(D814,Data!$A:$B,2,0),"Revisar")</f>
        <v>Revisar</v>
      </c>
      <c r="H814" s="20"/>
      <c r="I814" s="157">
        <f t="array" ref="I814">_xlfn.XLOOKUP($H814,Data!$E:$E,Data!$F:$F,"Revisar",0)</f>
        <v>0</v>
      </c>
      <c r="J814" s="157">
        <f t="array" ref="J814">_xlfn.XLOOKUP($H814,Data!$E:$E,Data!$G:$G,"Revisar",0)</f>
        <v>0</v>
      </c>
      <c r="K814" s="20"/>
      <c r="L814" s="18"/>
      <c r="M814" s="20"/>
      <c r="N814" s="14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ht="15" customHeight="1" x14ac:dyDescent="0.3">
      <c r="A815" s="13"/>
      <c r="B815" s="14"/>
      <c r="C815" s="15"/>
      <c r="D815" s="17"/>
      <c r="E815" s="14"/>
      <c r="F815" s="18"/>
      <c r="G815" s="12" t="str">
        <f>IFERROR(VLOOKUP(D815,Data!$A:$B,2,0),"Revisar")</f>
        <v>Revisar</v>
      </c>
      <c r="H815" s="20"/>
      <c r="I815" s="157">
        <f t="array" ref="I815">_xlfn.XLOOKUP($H815,Data!$E:$E,Data!$F:$F,"Revisar",0)</f>
        <v>0</v>
      </c>
      <c r="J815" s="157">
        <f t="array" ref="J815">_xlfn.XLOOKUP($H815,Data!$E:$E,Data!$G:$G,"Revisar",0)</f>
        <v>0</v>
      </c>
      <c r="K815" s="20"/>
      <c r="L815" s="18"/>
      <c r="M815" s="20"/>
      <c r="N815" s="14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ht="15" customHeight="1" x14ac:dyDescent="0.3">
      <c r="A816" s="13"/>
      <c r="B816" s="14"/>
      <c r="C816" s="15"/>
      <c r="D816" s="17"/>
      <c r="E816" s="14"/>
      <c r="F816" s="18"/>
      <c r="G816" s="12" t="str">
        <f>IFERROR(VLOOKUP(D816,Data!$A:$B,2,0),"Revisar")</f>
        <v>Revisar</v>
      </c>
      <c r="H816" s="20"/>
      <c r="I816" s="157">
        <f t="array" ref="I816">_xlfn.XLOOKUP($H816,Data!$E:$E,Data!$F:$F,"Revisar",0)</f>
        <v>0</v>
      </c>
      <c r="J816" s="157">
        <f t="array" ref="J816">_xlfn.XLOOKUP($H816,Data!$E:$E,Data!$G:$G,"Revisar",0)</f>
        <v>0</v>
      </c>
      <c r="K816" s="20"/>
      <c r="L816" s="18"/>
      <c r="M816" s="20"/>
      <c r="N816" s="14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ht="15" customHeight="1" x14ac:dyDescent="0.3">
      <c r="A817" s="13"/>
      <c r="B817" s="14"/>
      <c r="C817" s="15"/>
      <c r="D817" s="17"/>
      <c r="E817" s="14"/>
      <c r="F817" s="18"/>
      <c r="G817" s="12" t="str">
        <f>IFERROR(VLOOKUP(D817,Data!$A:$B,2,0),"Revisar")</f>
        <v>Revisar</v>
      </c>
      <c r="H817" s="20"/>
      <c r="I817" s="157">
        <f t="array" ref="I817">_xlfn.XLOOKUP($H817,Data!$E:$E,Data!$F:$F,"Revisar",0)</f>
        <v>0</v>
      </c>
      <c r="J817" s="157">
        <f t="array" ref="J817">_xlfn.XLOOKUP($H817,Data!$E:$E,Data!$G:$G,"Revisar",0)</f>
        <v>0</v>
      </c>
      <c r="K817" s="20"/>
      <c r="L817" s="18"/>
      <c r="M817" s="20"/>
      <c r="N817" s="14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ht="15" customHeight="1" x14ac:dyDescent="0.3">
      <c r="A818" s="13"/>
      <c r="B818" s="14"/>
      <c r="C818" s="15"/>
      <c r="D818" s="17"/>
      <c r="E818" s="14"/>
      <c r="F818" s="18"/>
      <c r="G818" s="12" t="str">
        <f>IFERROR(VLOOKUP(D818,Data!$A:$B,2,0),"Revisar")</f>
        <v>Revisar</v>
      </c>
      <c r="H818" s="20"/>
      <c r="I818" s="157">
        <f t="array" ref="I818">_xlfn.XLOOKUP($H818,Data!$E:$E,Data!$F:$F,"Revisar",0)</f>
        <v>0</v>
      </c>
      <c r="J818" s="157">
        <f t="array" ref="J818">_xlfn.XLOOKUP($H818,Data!$E:$E,Data!$G:$G,"Revisar",0)</f>
        <v>0</v>
      </c>
      <c r="K818" s="20"/>
      <c r="L818" s="18"/>
      <c r="M818" s="20"/>
      <c r="N818" s="14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ht="15" customHeight="1" x14ac:dyDescent="0.3">
      <c r="A819" s="13"/>
      <c r="B819" s="14"/>
      <c r="C819" s="15"/>
      <c r="D819" s="17"/>
      <c r="E819" s="14"/>
      <c r="F819" s="18"/>
      <c r="G819" s="12" t="str">
        <f>IFERROR(VLOOKUP(D819,Data!$A:$B,2,0),"Revisar")</f>
        <v>Revisar</v>
      </c>
      <c r="H819" s="20"/>
      <c r="I819" s="157">
        <f t="array" ref="I819">_xlfn.XLOOKUP($H819,Data!$E:$E,Data!$F:$F,"Revisar",0)</f>
        <v>0</v>
      </c>
      <c r="J819" s="157">
        <f t="array" ref="J819">_xlfn.XLOOKUP($H819,Data!$E:$E,Data!$G:$G,"Revisar",0)</f>
        <v>0</v>
      </c>
      <c r="K819" s="20"/>
      <c r="L819" s="18"/>
      <c r="M819" s="20"/>
      <c r="N819" s="14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ht="15" customHeight="1" x14ac:dyDescent="0.3">
      <c r="A820" s="13"/>
      <c r="B820" s="14"/>
      <c r="C820" s="15"/>
      <c r="D820" s="17"/>
      <c r="E820" s="14"/>
      <c r="F820" s="18"/>
      <c r="G820" s="12" t="str">
        <f>IFERROR(VLOOKUP(D820,Data!$A:$B,2,0),"Revisar")</f>
        <v>Revisar</v>
      </c>
      <c r="H820" s="20"/>
      <c r="I820" s="157">
        <f t="array" ref="I820">_xlfn.XLOOKUP($H820,Data!$E:$E,Data!$F:$F,"Revisar",0)</f>
        <v>0</v>
      </c>
      <c r="J820" s="157">
        <f t="array" ref="J820">_xlfn.XLOOKUP($H820,Data!$E:$E,Data!$G:$G,"Revisar",0)</f>
        <v>0</v>
      </c>
      <c r="K820" s="20"/>
      <c r="L820" s="18"/>
      <c r="M820" s="20"/>
      <c r="N820" s="14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ht="15" customHeight="1" x14ac:dyDescent="0.3">
      <c r="A821" s="13"/>
      <c r="B821" s="14"/>
      <c r="C821" s="15"/>
      <c r="D821" s="17"/>
      <c r="E821" s="14"/>
      <c r="F821" s="18"/>
      <c r="G821" s="12" t="str">
        <f>IFERROR(VLOOKUP(D821,Data!$A:$B,2,0),"Revisar")</f>
        <v>Revisar</v>
      </c>
      <c r="H821" s="20"/>
      <c r="I821" s="157">
        <f t="array" ref="I821">_xlfn.XLOOKUP($H821,Data!$E:$E,Data!$F:$F,"Revisar",0)</f>
        <v>0</v>
      </c>
      <c r="J821" s="157">
        <f t="array" ref="J821">_xlfn.XLOOKUP($H821,Data!$E:$E,Data!$G:$G,"Revisar",0)</f>
        <v>0</v>
      </c>
      <c r="K821" s="20"/>
      <c r="L821" s="18"/>
      <c r="M821" s="20"/>
      <c r="N821" s="14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ht="15" customHeight="1" x14ac:dyDescent="0.3">
      <c r="A822" s="13"/>
      <c r="B822" s="14"/>
      <c r="C822" s="15"/>
      <c r="D822" s="17"/>
      <c r="E822" s="14"/>
      <c r="F822" s="18"/>
      <c r="G822" s="12" t="str">
        <f>IFERROR(VLOOKUP(D822,Data!$A:$B,2,0),"Revisar")</f>
        <v>Revisar</v>
      </c>
      <c r="H822" s="20"/>
      <c r="I822" s="157">
        <f t="array" ref="I822">_xlfn.XLOOKUP($H822,Data!$E:$E,Data!$F:$F,"Revisar",0)</f>
        <v>0</v>
      </c>
      <c r="J822" s="157">
        <f t="array" ref="J822">_xlfn.XLOOKUP($H822,Data!$E:$E,Data!$G:$G,"Revisar",0)</f>
        <v>0</v>
      </c>
      <c r="K822" s="20"/>
      <c r="L822" s="18"/>
      <c r="M822" s="20"/>
      <c r="N822" s="14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ht="15" customHeight="1" x14ac:dyDescent="0.3">
      <c r="A823" s="13"/>
      <c r="B823" s="14"/>
      <c r="C823" s="15"/>
      <c r="D823" s="17"/>
      <c r="E823" s="14"/>
      <c r="F823" s="18"/>
      <c r="G823" s="12" t="str">
        <f>IFERROR(VLOOKUP(D823,Data!$A:$B,2,0),"Revisar")</f>
        <v>Revisar</v>
      </c>
      <c r="H823" s="20"/>
      <c r="I823" s="157">
        <f t="array" ref="I823">_xlfn.XLOOKUP($H823,Data!$E:$E,Data!$F:$F,"Revisar",0)</f>
        <v>0</v>
      </c>
      <c r="J823" s="157">
        <f t="array" ref="J823">_xlfn.XLOOKUP($H823,Data!$E:$E,Data!$G:$G,"Revisar",0)</f>
        <v>0</v>
      </c>
      <c r="K823" s="20"/>
      <c r="L823" s="18"/>
      <c r="M823" s="20"/>
      <c r="N823" s="14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ht="15" customHeight="1" x14ac:dyDescent="0.3">
      <c r="A824" s="13"/>
      <c r="B824" s="14"/>
      <c r="C824" s="15"/>
      <c r="D824" s="17"/>
      <c r="E824" s="14"/>
      <c r="F824" s="18"/>
      <c r="G824" s="12" t="str">
        <f>IFERROR(VLOOKUP(D824,Data!$A:$B,2,0),"Revisar")</f>
        <v>Revisar</v>
      </c>
      <c r="H824" s="20"/>
      <c r="I824" s="157">
        <f t="array" ref="I824">_xlfn.XLOOKUP($H824,Data!$E:$E,Data!$F:$F,"Revisar",0)</f>
        <v>0</v>
      </c>
      <c r="J824" s="157">
        <f t="array" ref="J824">_xlfn.XLOOKUP($H824,Data!$E:$E,Data!$G:$G,"Revisar",0)</f>
        <v>0</v>
      </c>
      <c r="K824" s="20"/>
      <c r="L824" s="18"/>
      <c r="M824" s="20"/>
      <c r="N824" s="14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ht="15" customHeight="1" x14ac:dyDescent="0.3">
      <c r="A825" s="13"/>
      <c r="B825" s="14"/>
      <c r="C825" s="15"/>
      <c r="D825" s="17"/>
      <c r="E825" s="14"/>
      <c r="F825" s="18"/>
      <c r="G825" s="12" t="str">
        <f>IFERROR(VLOOKUP(D825,Data!$A:$B,2,0),"Revisar")</f>
        <v>Revisar</v>
      </c>
      <c r="H825" s="20"/>
      <c r="I825" s="157">
        <f t="array" ref="I825">_xlfn.XLOOKUP($H825,Data!$E:$E,Data!$F:$F,"Revisar",0)</f>
        <v>0</v>
      </c>
      <c r="J825" s="157">
        <f t="array" ref="J825">_xlfn.XLOOKUP($H825,Data!$E:$E,Data!$G:$G,"Revisar",0)</f>
        <v>0</v>
      </c>
      <c r="K825" s="20"/>
      <c r="L825" s="18"/>
      <c r="M825" s="20"/>
      <c r="N825" s="14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ht="15" customHeight="1" x14ac:dyDescent="0.3">
      <c r="A826" s="13"/>
      <c r="B826" s="14"/>
      <c r="C826" s="15"/>
      <c r="D826" s="17"/>
      <c r="E826" s="14"/>
      <c r="F826" s="18"/>
      <c r="G826" s="12" t="str">
        <f>IFERROR(VLOOKUP(D826,Data!$A:$B,2,0),"Revisar")</f>
        <v>Revisar</v>
      </c>
      <c r="H826" s="20"/>
      <c r="I826" s="157">
        <f t="array" ref="I826">_xlfn.XLOOKUP($H826,Data!$E:$E,Data!$F:$F,"Revisar",0)</f>
        <v>0</v>
      </c>
      <c r="J826" s="157">
        <f t="array" ref="J826">_xlfn.XLOOKUP($H826,Data!$E:$E,Data!$G:$G,"Revisar",0)</f>
        <v>0</v>
      </c>
      <c r="K826" s="20"/>
      <c r="L826" s="18"/>
      <c r="M826" s="20"/>
      <c r="N826" s="14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ht="15" customHeight="1" x14ac:dyDescent="0.3">
      <c r="A827" s="13"/>
      <c r="B827" s="14"/>
      <c r="C827" s="15"/>
      <c r="D827" s="17"/>
      <c r="E827" s="14"/>
      <c r="F827" s="18"/>
      <c r="G827" s="12" t="str">
        <f>IFERROR(VLOOKUP(D827,Data!$A:$B,2,0),"Revisar")</f>
        <v>Revisar</v>
      </c>
      <c r="H827" s="20"/>
      <c r="I827" s="157">
        <f t="array" ref="I827">_xlfn.XLOOKUP($H827,Data!$E:$E,Data!$F:$F,"Revisar",0)</f>
        <v>0</v>
      </c>
      <c r="J827" s="157">
        <f t="array" ref="J827">_xlfn.XLOOKUP($H827,Data!$E:$E,Data!$G:$G,"Revisar",0)</f>
        <v>0</v>
      </c>
      <c r="K827" s="20"/>
      <c r="L827" s="18"/>
      <c r="M827" s="20"/>
      <c r="N827" s="14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ht="15" customHeight="1" x14ac:dyDescent="0.3">
      <c r="A828" s="13"/>
      <c r="B828" s="14"/>
      <c r="C828" s="15"/>
      <c r="D828" s="17"/>
      <c r="E828" s="14"/>
      <c r="F828" s="18"/>
      <c r="G828" s="12" t="str">
        <f>IFERROR(VLOOKUP(D828,Data!$A:$B,2,0),"Revisar")</f>
        <v>Revisar</v>
      </c>
      <c r="H828" s="20"/>
      <c r="I828" s="157">
        <f t="array" ref="I828">_xlfn.XLOOKUP($H828,Data!$E:$E,Data!$F:$F,"Revisar",0)</f>
        <v>0</v>
      </c>
      <c r="J828" s="157">
        <f t="array" ref="J828">_xlfn.XLOOKUP($H828,Data!$E:$E,Data!$G:$G,"Revisar",0)</f>
        <v>0</v>
      </c>
      <c r="K828" s="20"/>
      <c r="L828" s="18"/>
      <c r="M828" s="20"/>
      <c r="N828" s="14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ht="15" customHeight="1" x14ac:dyDescent="0.3">
      <c r="A829" s="13"/>
      <c r="B829" s="14"/>
      <c r="C829" s="15"/>
      <c r="D829" s="17"/>
      <c r="E829" s="14"/>
      <c r="F829" s="18"/>
      <c r="G829" s="12" t="str">
        <f>IFERROR(VLOOKUP(D829,Data!$A:$B,2,0),"Revisar")</f>
        <v>Revisar</v>
      </c>
      <c r="H829" s="20"/>
      <c r="I829" s="157">
        <f t="array" ref="I829">_xlfn.XLOOKUP($H829,Data!$E:$E,Data!$F:$F,"Revisar",0)</f>
        <v>0</v>
      </c>
      <c r="J829" s="157">
        <f t="array" ref="J829">_xlfn.XLOOKUP($H829,Data!$E:$E,Data!$G:$G,"Revisar",0)</f>
        <v>0</v>
      </c>
      <c r="K829" s="20"/>
      <c r="L829" s="18"/>
      <c r="M829" s="20"/>
      <c r="N829" s="14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ht="15" customHeight="1" x14ac:dyDescent="0.3">
      <c r="A830" s="13"/>
      <c r="B830" s="14"/>
      <c r="C830" s="15"/>
      <c r="D830" s="17"/>
      <c r="E830" s="14"/>
      <c r="F830" s="18"/>
      <c r="G830" s="12" t="str">
        <f>IFERROR(VLOOKUP(D830,Data!$A:$B,2,0),"Revisar")</f>
        <v>Revisar</v>
      </c>
      <c r="H830" s="20"/>
      <c r="I830" s="157">
        <f t="array" ref="I830">_xlfn.XLOOKUP($H830,Data!$E:$E,Data!$F:$F,"Revisar",0)</f>
        <v>0</v>
      </c>
      <c r="J830" s="157">
        <f t="array" ref="J830">_xlfn.XLOOKUP($H830,Data!$E:$E,Data!$G:$G,"Revisar",0)</f>
        <v>0</v>
      </c>
      <c r="K830" s="20"/>
      <c r="L830" s="18"/>
      <c r="M830" s="20"/>
      <c r="N830" s="14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ht="15" customHeight="1" x14ac:dyDescent="0.3">
      <c r="A831" s="13"/>
      <c r="B831" s="14"/>
      <c r="C831" s="15"/>
      <c r="D831" s="17"/>
      <c r="E831" s="14"/>
      <c r="F831" s="18"/>
      <c r="G831" s="12" t="str">
        <f>IFERROR(VLOOKUP(D831,Data!$A:$B,2,0),"Revisar")</f>
        <v>Revisar</v>
      </c>
      <c r="H831" s="20"/>
      <c r="I831" s="157">
        <f t="array" ref="I831">_xlfn.XLOOKUP($H831,Data!$E:$E,Data!$F:$F,"Revisar",0)</f>
        <v>0</v>
      </c>
      <c r="J831" s="157">
        <f t="array" ref="J831">_xlfn.XLOOKUP($H831,Data!$E:$E,Data!$G:$G,"Revisar",0)</f>
        <v>0</v>
      </c>
      <c r="K831" s="20"/>
      <c r="L831" s="18"/>
      <c r="M831" s="20"/>
      <c r="N831" s="14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ht="15" customHeight="1" x14ac:dyDescent="0.3">
      <c r="A832" s="13"/>
      <c r="B832" s="14"/>
      <c r="C832" s="15"/>
      <c r="D832" s="17"/>
      <c r="E832" s="14"/>
      <c r="F832" s="18"/>
      <c r="G832" s="12" t="str">
        <f>IFERROR(VLOOKUP(D832,Data!$A:$B,2,0),"Revisar")</f>
        <v>Revisar</v>
      </c>
      <c r="H832" s="20"/>
      <c r="I832" s="157">
        <f t="array" ref="I832">_xlfn.XLOOKUP($H832,Data!$E:$E,Data!$F:$F,"Revisar",0)</f>
        <v>0</v>
      </c>
      <c r="J832" s="157">
        <f t="array" ref="J832">_xlfn.XLOOKUP($H832,Data!$E:$E,Data!$G:$G,"Revisar",0)</f>
        <v>0</v>
      </c>
      <c r="K832" s="20"/>
      <c r="L832" s="18"/>
      <c r="M832" s="20"/>
      <c r="N832" s="14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ht="15" customHeight="1" x14ac:dyDescent="0.3">
      <c r="A833" s="13"/>
      <c r="B833" s="14"/>
      <c r="C833" s="15"/>
      <c r="D833" s="17"/>
      <c r="E833" s="14"/>
      <c r="F833" s="18"/>
      <c r="G833" s="12" t="str">
        <f>IFERROR(VLOOKUP(D833,Data!$A:$B,2,0),"Revisar")</f>
        <v>Revisar</v>
      </c>
      <c r="H833" s="20"/>
      <c r="I833" s="157">
        <f t="array" ref="I833">_xlfn.XLOOKUP($H833,Data!$E:$E,Data!$F:$F,"Revisar",0)</f>
        <v>0</v>
      </c>
      <c r="J833" s="157">
        <f t="array" ref="J833">_xlfn.XLOOKUP($H833,Data!$E:$E,Data!$G:$G,"Revisar",0)</f>
        <v>0</v>
      </c>
      <c r="K833" s="20"/>
      <c r="L833" s="18"/>
      <c r="M833" s="20"/>
      <c r="N833" s="14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ht="15" customHeight="1" x14ac:dyDescent="0.3">
      <c r="A834" s="13"/>
      <c r="B834" s="14"/>
      <c r="C834" s="15"/>
      <c r="D834" s="17"/>
      <c r="E834" s="14"/>
      <c r="F834" s="18"/>
      <c r="G834" s="12" t="str">
        <f>IFERROR(VLOOKUP(D834,Data!$A:$B,2,0),"Revisar")</f>
        <v>Revisar</v>
      </c>
      <c r="H834" s="20"/>
      <c r="I834" s="157">
        <f t="array" ref="I834">_xlfn.XLOOKUP($H834,Data!$E:$E,Data!$F:$F,"Revisar",0)</f>
        <v>0</v>
      </c>
      <c r="J834" s="157">
        <f t="array" ref="J834">_xlfn.XLOOKUP($H834,Data!$E:$E,Data!$G:$G,"Revisar",0)</f>
        <v>0</v>
      </c>
      <c r="K834" s="20"/>
      <c r="L834" s="18"/>
      <c r="M834" s="20"/>
      <c r="N834" s="14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ht="15" customHeight="1" x14ac:dyDescent="0.3">
      <c r="A835" s="13"/>
      <c r="B835" s="14"/>
      <c r="C835" s="15"/>
      <c r="D835" s="17"/>
      <c r="E835" s="14"/>
      <c r="F835" s="18"/>
      <c r="G835" s="12" t="str">
        <f>IFERROR(VLOOKUP(D835,Data!$A:$B,2,0),"Revisar")</f>
        <v>Revisar</v>
      </c>
      <c r="H835" s="20"/>
      <c r="I835" s="157">
        <f t="array" ref="I835">_xlfn.XLOOKUP($H835,Data!$E:$E,Data!$F:$F,"Revisar",0)</f>
        <v>0</v>
      </c>
      <c r="J835" s="157">
        <f t="array" ref="J835">_xlfn.XLOOKUP($H835,Data!$E:$E,Data!$G:$G,"Revisar",0)</f>
        <v>0</v>
      </c>
      <c r="K835" s="20"/>
      <c r="L835" s="18"/>
      <c r="M835" s="20"/>
      <c r="N835" s="14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ht="15" customHeight="1" x14ac:dyDescent="0.3">
      <c r="A836" s="13"/>
      <c r="B836" s="14"/>
      <c r="C836" s="15"/>
      <c r="D836" s="17"/>
      <c r="E836" s="14"/>
      <c r="F836" s="18"/>
      <c r="G836" s="12" t="str">
        <f>IFERROR(VLOOKUP(D836,Data!$A:$B,2,0),"Revisar")</f>
        <v>Revisar</v>
      </c>
      <c r="H836" s="20"/>
      <c r="I836" s="157">
        <f t="array" ref="I836">_xlfn.XLOOKUP($H836,Data!$E:$E,Data!$F:$F,"Revisar",0)</f>
        <v>0</v>
      </c>
      <c r="J836" s="157">
        <f t="array" ref="J836">_xlfn.XLOOKUP($H836,Data!$E:$E,Data!$G:$G,"Revisar",0)</f>
        <v>0</v>
      </c>
      <c r="K836" s="20"/>
      <c r="L836" s="18"/>
      <c r="M836" s="20"/>
      <c r="N836" s="14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ht="15" customHeight="1" x14ac:dyDescent="0.3">
      <c r="A837" s="13"/>
      <c r="B837" s="14"/>
      <c r="C837" s="15"/>
      <c r="D837" s="17"/>
      <c r="E837" s="14"/>
      <c r="F837" s="18"/>
      <c r="G837" s="12" t="str">
        <f>IFERROR(VLOOKUP(D837,Data!$A:$B,2,0),"Revisar")</f>
        <v>Revisar</v>
      </c>
      <c r="H837" s="20"/>
      <c r="I837" s="157">
        <f t="array" ref="I837">_xlfn.XLOOKUP($H837,Data!$E:$E,Data!$F:$F,"Revisar",0)</f>
        <v>0</v>
      </c>
      <c r="J837" s="157">
        <f t="array" ref="J837">_xlfn.XLOOKUP($H837,Data!$E:$E,Data!$G:$G,"Revisar",0)</f>
        <v>0</v>
      </c>
      <c r="K837" s="20"/>
      <c r="L837" s="18"/>
      <c r="M837" s="20"/>
      <c r="N837" s="14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ht="15" customHeight="1" x14ac:dyDescent="0.3">
      <c r="A838" s="13"/>
      <c r="B838" s="14"/>
      <c r="C838" s="15"/>
      <c r="D838" s="17"/>
      <c r="E838" s="14"/>
      <c r="F838" s="18"/>
      <c r="G838" s="12" t="str">
        <f>IFERROR(VLOOKUP(D838,Data!$A:$B,2,0),"Revisar")</f>
        <v>Revisar</v>
      </c>
      <c r="H838" s="20"/>
      <c r="I838" s="157">
        <f t="array" ref="I838">_xlfn.XLOOKUP($H838,Data!$E:$E,Data!$F:$F,"Revisar",0)</f>
        <v>0</v>
      </c>
      <c r="J838" s="157">
        <f t="array" ref="J838">_xlfn.XLOOKUP($H838,Data!$E:$E,Data!$G:$G,"Revisar",0)</f>
        <v>0</v>
      </c>
      <c r="K838" s="20"/>
      <c r="L838" s="18"/>
      <c r="M838" s="20"/>
      <c r="N838" s="14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ht="15" customHeight="1" x14ac:dyDescent="0.3">
      <c r="A839" s="13"/>
      <c r="B839" s="14"/>
      <c r="C839" s="15"/>
      <c r="D839" s="17"/>
      <c r="E839" s="14"/>
      <c r="F839" s="18"/>
      <c r="G839" s="12" t="str">
        <f>IFERROR(VLOOKUP(D839,Data!$A:$B,2,0),"Revisar")</f>
        <v>Revisar</v>
      </c>
      <c r="H839" s="20"/>
      <c r="I839" s="157">
        <f t="array" ref="I839">_xlfn.XLOOKUP($H839,Data!$E:$E,Data!$F:$F,"Revisar",0)</f>
        <v>0</v>
      </c>
      <c r="J839" s="157">
        <f t="array" ref="J839">_xlfn.XLOOKUP($H839,Data!$E:$E,Data!$G:$G,"Revisar",0)</f>
        <v>0</v>
      </c>
      <c r="K839" s="20"/>
      <c r="L839" s="18"/>
      <c r="M839" s="20"/>
      <c r="N839" s="14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ht="15" customHeight="1" x14ac:dyDescent="0.3">
      <c r="A840" s="13"/>
      <c r="B840" s="14"/>
      <c r="C840" s="15"/>
      <c r="D840" s="17"/>
      <c r="E840" s="14"/>
      <c r="F840" s="18"/>
      <c r="G840" s="12" t="str">
        <f>IFERROR(VLOOKUP(D840,Data!$A:$B,2,0),"Revisar")</f>
        <v>Revisar</v>
      </c>
      <c r="H840" s="20"/>
      <c r="I840" s="157">
        <f t="array" ref="I840">_xlfn.XLOOKUP($H840,Data!$E:$E,Data!$F:$F,"Revisar",0)</f>
        <v>0</v>
      </c>
      <c r="J840" s="157">
        <f t="array" ref="J840">_xlfn.XLOOKUP($H840,Data!$E:$E,Data!$G:$G,"Revisar",0)</f>
        <v>0</v>
      </c>
      <c r="K840" s="20"/>
      <c r="L840" s="18"/>
      <c r="M840" s="20"/>
      <c r="N840" s="14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ht="15" customHeight="1" x14ac:dyDescent="0.3">
      <c r="A841" s="13"/>
      <c r="B841" s="14"/>
      <c r="C841" s="15"/>
      <c r="D841" s="17"/>
      <c r="E841" s="14"/>
      <c r="F841" s="18"/>
      <c r="G841" s="12" t="str">
        <f>IFERROR(VLOOKUP(D841,Data!$A:$B,2,0),"Revisar")</f>
        <v>Revisar</v>
      </c>
      <c r="H841" s="20"/>
      <c r="I841" s="157">
        <f t="array" ref="I841">_xlfn.XLOOKUP($H841,Data!$E:$E,Data!$F:$F,"Revisar",0)</f>
        <v>0</v>
      </c>
      <c r="J841" s="157">
        <f t="array" ref="J841">_xlfn.XLOOKUP($H841,Data!$E:$E,Data!$G:$G,"Revisar",0)</f>
        <v>0</v>
      </c>
      <c r="K841" s="20"/>
      <c r="L841" s="18"/>
      <c r="M841" s="20"/>
      <c r="N841" s="14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ht="15" customHeight="1" x14ac:dyDescent="0.3">
      <c r="A842" s="13"/>
      <c r="B842" s="14"/>
      <c r="C842" s="15"/>
      <c r="D842" s="17"/>
      <c r="E842" s="14"/>
      <c r="F842" s="18"/>
      <c r="G842" s="12" t="str">
        <f>IFERROR(VLOOKUP(D842,Data!$A:$B,2,0),"Revisar")</f>
        <v>Revisar</v>
      </c>
      <c r="H842" s="20"/>
      <c r="I842" s="157">
        <f t="array" ref="I842">_xlfn.XLOOKUP($H842,Data!$E:$E,Data!$F:$F,"Revisar",0)</f>
        <v>0</v>
      </c>
      <c r="J842" s="157">
        <f t="array" ref="J842">_xlfn.XLOOKUP($H842,Data!$E:$E,Data!$G:$G,"Revisar",0)</f>
        <v>0</v>
      </c>
      <c r="K842" s="20"/>
      <c r="L842" s="18"/>
      <c r="M842" s="20"/>
      <c r="N842" s="14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ht="15" customHeight="1" x14ac:dyDescent="0.3">
      <c r="A843" s="13"/>
      <c r="B843" s="14"/>
      <c r="C843" s="15"/>
      <c r="D843" s="17"/>
      <c r="E843" s="14"/>
      <c r="F843" s="18"/>
      <c r="G843" s="12" t="str">
        <f>IFERROR(VLOOKUP(D843,Data!$A:$B,2,0),"Revisar")</f>
        <v>Revisar</v>
      </c>
      <c r="H843" s="20"/>
      <c r="I843" s="157">
        <f t="array" ref="I843">_xlfn.XLOOKUP($H843,Data!$E:$E,Data!$F:$F,"Revisar",0)</f>
        <v>0</v>
      </c>
      <c r="J843" s="157">
        <f t="array" ref="J843">_xlfn.XLOOKUP($H843,Data!$E:$E,Data!$G:$G,"Revisar",0)</f>
        <v>0</v>
      </c>
      <c r="K843" s="20"/>
      <c r="L843" s="18"/>
      <c r="M843" s="20"/>
      <c r="N843" s="14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ht="15" customHeight="1" x14ac:dyDescent="0.3">
      <c r="A844" s="13"/>
      <c r="B844" s="14"/>
      <c r="C844" s="15"/>
      <c r="D844" s="17"/>
      <c r="E844" s="14"/>
      <c r="F844" s="18"/>
      <c r="G844" s="12" t="str">
        <f>IFERROR(VLOOKUP(D844,Data!$A:$B,2,0),"Revisar")</f>
        <v>Revisar</v>
      </c>
      <c r="H844" s="20"/>
      <c r="I844" s="157">
        <f t="array" ref="I844">_xlfn.XLOOKUP($H844,Data!$E:$E,Data!$F:$F,"Revisar",0)</f>
        <v>0</v>
      </c>
      <c r="J844" s="157">
        <f t="array" ref="J844">_xlfn.XLOOKUP($H844,Data!$E:$E,Data!$G:$G,"Revisar",0)</f>
        <v>0</v>
      </c>
      <c r="K844" s="20"/>
      <c r="L844" s="18"/>
      <c r="M844" s="20"/>
      <c r="N844" s="14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ht="15" customHeight="1" x14ac:dyDescent="0.3">
      <c r="A845" s="13"/>
      <c r="B845" s="14"/>
      <c r="C845" s="15"/>
      <c r="D845" s="17"/>
      <c r="E845" s="14"/>
      <c r="F845" s="18"/>
      <c r="G845" s="12" t="str">
        <f>IFERROR(VLOOKUP(D845,Data!$A:$B,2,0),"Revisar")</f>
        <v>Revisar</v>
      </c>
      <c r="H845" s="20"/>
      <c r="I845" s="157">
        <f t="array" ref="I845">_xlfn.XLOOKUP($H845,Data!$E:$E,Data!$F:$F,"Revisar",0)</f>
        <v>0</v>
      </c>
      <c r="J845" s="157">
        <f t="array" ref="J845">_xlfn.XLOOKUP($H845,Data!$E:$E,Data!$G:$G,"Revisar",0)</f>
        <v>0</v>
      </c>
      <c r="K845" s="20"/>
      <c r="L845" s="18"/>
      <c r="M845" s="20"/>
      <c r="N845" s="14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ht="15" customHeight="1" x14ac:dyDescent="0.3">
      <c r="A846" s="13"/>
      <c r="B846" s="14"/>
      <c r="C846" s="15"/>
      <c r="D846" s="17"/>
      <c r="E846" s="14"/>
      <c r="F846" s="18"/>
      <c r="G846" s="12" t="str">
        <f>IFERROR(VLOOKUP(D846,Data!$A:$B,2,0),"Revisar")</f>
        <v>Revisar</v>
      </c>
      <c r="H846" s="20"/>
      <c r="I846" s="157">
        <f t="array" ref="I846">_xlfn.XLOOKUP($H846,Data!$E:$E,Data!$F:$F,"Revisar",0)</f>
        <v>0</v>
      </c>
      <c r="J846" s="157">
        <f t="array" ref="J846">_xlfn.XLOOKUP($H846,Data!$E:$E,Data!$G:$G,"Revisar",0)</f>
        <v>0</v>
      </c>
      <c r="K846" s="20"/>
      <c r="L846" s="18"/>
      <c r="M846" s="20"/>
      <c r="N846" s="14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ht="15" customHeight="1" x14ac:dyDescent="0.3">
      <c r="A847" s="13"/>
      <c r="B847" s="14"/>
      <c r="C847" s="15"/>
      <c r="D847" s="17"/>
      <c r="E847" s="14"/>
      <c r="F847" s="18"/>
      <c r="G847" s="12" t="str">
        <f>IFERROR(VLOOKUP(D847,Data!$A:$B,2,0),"Revisar")</f>
        <v>Revisar</v>
      </c>
      <c r="H847" s="20"/>
      <c r="I847" s="157">
        <f t="array" ref="I847">_xlfn.XLOOKUP($H847,Data!$E:$E,Data!$F:$F,"Revisar",0)</f>
        <v>0</v>
      </c>
      <c r="J847" s="157">
        <f t="array" ref="J847">_xlfn.XLOOKUP($H847,Data!$E:$E,Data!$G:$G,"Revisar",0)</f>
        <v>0</v>
      </c>
      <c r="K847" s="20"/>
      <c r="L847" s="18"/>
      <c r="M847" s="20"/>
      <c r="N847" s="14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ht="15" customHeight="1" x14ac:dyDescent="0.3">
      <c r="A848" s="13"/>
      <c r="B848" s="14"/>
      <c r="C848" s="15"/>
      <c r="D848" s="17"/>
      <c r="E848" s="14"/>
      <c r="F848" s="18"/>
      <c r="G848" s="12" t="str">
        <f>IFERROR(VLOOKUP(D848,Data!$A:$B,2,0),"Revisar")</f>
        <v>Revisar</v>
      </c>
      <c r="H848" s="20"/>
      <c r="I848" s="157">
        <f t="array" ref="I848">_xlfn.XLOOKUP($H848,Data!$E:$E,Data!$F:$F,"Revisar",0)</f>
        <v>0</v>
      </c>
      <c r="J848" s="157">
        <f t="array" ref="J848">_xlfn.XLOOKUP($H848,Data!$E:$E,Data!$G:$G,"Revisar",0)</f>
        <v>0</v>
      </c>
      <c r="K848" s="20"/>
      <c r="L848" s="18"/>
      <c r="M848" s="20"/>
      <c r="N848" s="14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ht="15" customHeight="1" x14ac:dyDescent="0.3">
      <c r="A849" s="13"/>
      <c r="B849" s="14"/>
      <c r="C849" s="15"/>
      <c r="D849" s="17"/>
      <c r="E849" s="14"/>
      <c r="F849" s="18"/>
      <c r="G849" s="12" t="str">
        <f>IFERROR(VLOOKUP(D849,Data!$A:$B,2,0),"Revisar")</f>
        <v>Revisar</v>
      </c>
      <c r="H849" s="20"/>
      <c r="I849" s="157">
        <f t="array" ref="I849">_xlfn.XLOOKUP($H849,Data!$E:$E,Data!$F:$F,"Revisar",0)</f>
        <v>0</v>
      </c>
      <c r="J849" s="157">
        <f t="array" ref="J849">_xlfn.XLOOKUP($H849,Data!$E:$E,Data!$G:$G,"Revisar",0)</f>
        <v>0</v>
      </c>
      <c r="K849" s="20"/>
      <c r="L849" s="18"/>
      <c r="M849" s="20"/>
      <c r="N849" s="14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ht="15" customHeight="1" x14ac:dyDescent="0.3">
      <c r="A850" s="13"/>
      <c r="B850" s="14"/>
      <c r="C850" s="15"/>
      <c r="D850" s="17"/>
      <c r="E850" s="14"/>
      <c r="F850" s="18"/>
      <c r="G850" s="12" t="str">
        <f>IFERROR(VLOOKUP(D850,Data!$A:$B,2,0),"Revisar")</f>
        <v>Revisar</v>
      </c>
      <c r="H850" s="20"/>
      <c r="I850" s="157">
        <f t="array" ref="I850">_xlfn.XLOOKUP($H850,Data!$E:$E,Data!$F:$F,"Revisar",0)</f>
        <v>0</v>
      </c>
      <c r="J850" s="157">
        <f t="array" ref="J850">_xlfn.XLOOKUP($H850,Data!$E:$E,Data!$G:$G,"Revisar",0)</f>
        <v>0</v>
      </c>
      <c r="K850" s="20"/>
      <c r="L850" s="18"/>
      <c r="M850" s="20"/>
      <c r="N850" s="14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ht="15" customHeight="1" x14ac:dyDescent="0.3">
      <c r="A851" s="13"/>
      <c r="B851" s="14"/>
      <c r="C851" s="15"/>
      <c r="D851" s="17"/>
      <c r="E851" s="14"/>
      <c r="F851" s="18"/>
      <c r="G851" s="12" t="str">
        <f>IFERROR(VLOOKUP(D851,Data!$A:$B,2,0),"Revisar")</f>
        <v>Revisar</v>
      </c>
      <c r="H851" s="20"/>
      <c r="I851" s="157">
        <f t="array" ref="I851">_xlfn.XLOOKUP($H851,Data!$E:$E,Data!$F:$F,"Revisar",0)</f>
        <v>0</v>
      </c>
      <c r="J851" s="157">
        <f t="array" ref="J851">_xlfn.XLOOKUP($H851,Data!$E:$E,Data!$G:$G,"Revisar",0)</f>
        <v>0</v>
      </c>
      <c r="K851" s="20"/>
      <c r="L851" s="18"/>
      <c r="M851" s="20"/>
      <c r="N851" s="14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ht="15" customHeight="1" x14ac:dyDescent="0.3">
      <c r="A852" s="13"/>
      <c r="B852" s="14"/>
      <c r="C852" s="15"/>
      <c r="D852" s="17"/>
      <c r="E852" s="14"/>
      <c r="F852" s="18"/>
      <c r="G852" s="12" t="str">
        <f>IFERROR(VLOOKUP(D852,Data!$A:$B,2,0),"Revisar")</f>
        <v>Revisar</v>
      </c>
      <c r="H852" s="20"/>
      <c r="I852" s="157">
        <f t="array" ref="I852">_xlfn.XLOOKUP($H852,Data!$E:$E,Data!$F:$F,"Revisar",0)</f>
        <v>0</v>
      </c>
      <c r="J852" s="157">
        <f t="array" ref="J852">_xlfn.XLOOKUP($H852,Data!$E:$E,Data!$G:$G,"Revisar",0)</f>
        <v>0</v>
      </c>
      <c r="K852" s="20"/>
      <c r="L852" s="18"/>
      <c r="M852" s="20"/>
      <c r="N852" s="14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ht="15" customHeight="1" x14ac:dyDescent="0.3">
      <c r="A853" s="13"/>
      <c r="B853" s="14"/>
      <c r="C853" s="15"/>
      <c r="D853" s="17"/>
      <c r="E853" s="14"/>
      <c r="F853" s="18"/>
      <c r="G853" s="12" t="str">
        <f>IFERROR(VLOOKUP(D853,Data!$A:$B,2,0),"Revisar")</f>
        <v>Revisar</v>
      </c>
      <c r="H853" s="20"/>
      <c r="I853" s="157">
        <f t="array" ref="I853">_xlfn.XLOOKUP($H853,Data!$E:$E,Data!$F:$F,"Revisar",0)</f>
        <v>0</v>
      </c>
      <c r="J853" s="157">
        <f t="array" ref="J853">_xlfn.XLOOKUP($H853,Data!$E:$E,Data!$G:$G,"Revisar",0)</f>
        <v>0</v>
      </c>
      <c r="K853" s="20"/>
      <c r="L853" s="18"/>
      <c r="M853" s="20"/>
      <c r="N853" s="14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ht="15" customHeight="1" x14ac:dyDescent="0.3">
      <c r="A854" s="13"/>
      <c r="B854" s="14"/>
      <c r="C854" s="15"/>
      <c r="D854" s="17"/>
      <c r="E854" s="14"/>
      <c r="F854" s="18"/>
      <c r="G854" s="12" t="str">
        <f>IFERROR(VLOOKUP(D854,Data!$A:$B,2,0),"Revisar")</f>
        <v>Revisar</v>
      </c>
      <c r="H854" s="20"/>
      <c r="I854" s="157">
        <f t="array" ref="I854">_xlfn.XLOOKUP($H854,Data!$E:$E,Data!$F:$F,"Revisar",0)</f>
        <v>0</v>
      </c>
      <c r="J854" s="157">
        <f t="array" ref="J854">_xlfn.XLOOKUP($H854,Data!$E:$E,Data!$G:$G,"Revisar",0)</f>
        <v>0</v>
      </c>
      <c r="K854" s="20"/>
      <c r="L854" s="18"/>
      <c r="M854" s="20"/>
      <c r="N854" s="14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ht="15" customHeight="1" x14ac:dyDescent="0.3">
      <c r="A855" s="13"/>
      <c r="B855" s="14"/>
      <c r="C855" s="15"/>
      <c r="D855" s="17"/>
      <c r="E855" s="14"/>
      <c r="F855" s="18"/>
      <c r="G855" s="12" t="str">
        <f>IFERROR(VLOOKUP(D855,Data!$A:$B,2,0),"Revisar")</f>
        <v>Revisar</v>
      </c>
      <c r="H855" s="20"/>
      <c r="I855" s="157">
        <f t="array" ref="I855">_xlfn.XLOOKUP($H855,Data!$E:$E,Data!$F:$F,"Revisar",0)</f>
        <v>0</v>
      </c>
      <c r="J855" s="157">
        <f t="array" ref="J855">_xlfn.XLOOKUP($H855,Data!$E:$E,Data!$G:$G,"Revisar",0)</f>
        <v>0</v>
      </c>
      <c r="K855" s="20"/>
      <c r="L855" s="18"/>
      <c r="M855" s="20"/>
      <c r="N855" s="14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ht="15" customHeight="1" x14ac:dyDescent="0.3">
      <c r="A856" s="13"/>
      <c r="B856" s="14"/>
      <c r="C856" s="15"/>
      <c r="D856" s="17"/>
      <c r="E856" s="14"/>
      <c r="F856" s="18"/>
      <c r="G856" s="12" t="str">
        <f>IFERROR(VLOOKUP(D856,Data!$A:$B,2,0),"Revisar")</f>
        <v>Revisar</v>
      </c>
      <c r="H856" s="20"/>
      <c r="I856" s="157">
        <f t="array" ref="I856">_xlfn.XLOOKUP($H856,Data!$E:$E,Data!$F:$F,"Revisar",0)</f>
        <v>0</v>
      </c>
      <c r="J856" s="157">
        <f t="array" ref="J856">_xlfn.XLOOKUP($H856,Data!$E:$E,Data!$G:$G,"Revisar",0)</f>
        <v>0</v>
      </c>
      <c r="K856" s="20"/>
      <c r="L856" s="18"/>
      <c r="M856" s="20"/>
      <c r="N856" s="14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ht="15" customHeight="1" x14ac:dyDescent="0.3">
      <c r="A857" s="13"/>
      <c r="B857" s="14"/>
      <c r="C857" s="15"/>
      <c r="D857" s="17"/>
      <c r="E857" s="14"/>
      <c r="F857" s="18"/>
      <c r="G857" s="12" t="str">
        <f>IFERROR(VLOOKUP(D857,Data!$A:$B,2,0),"Revisar")</f>
        <v>Revisar</v>
      </c>
      <c r="H857" s="20"/>
      <c r="I857" s="157">
        <f t="array" ref="I857">_xlfn.XLOOKUP($H857,Data!$E:$E,Data!$F:$F,"Revisar",0)</f>
        <v>0</v>
      </c>
      <c r="J857" s="157">
        <f t="array" ref="J857">_xlfn.XLOOKUP($H857,Data!$E:$E,Data!$G:$G,"Revisar",0)</f>
        <v>0</v>
      </c>
      <c r="K857" s="20"/>
      <c r="L857" s="18"/>
      <c r="M857" s="20"/>
      <c r="N857" s="14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ht="15" customHeight="1" x14ac:dyDescent="0.3">
      <c r="A858" s="13"/>
      <c r="B858" s="14"/>
      <c r="C858" s="15"/>
      <c r="D858" s="17"/>
      <c r="E858" s="14"/>
      <c r="F858" s="18"/>
      <c r="G858" s="12" t="str">
        <f>IFERROR(VLOOKUP(D858,Data!$A:$B,2,0),"Revisar")</f>
        <v>Revisar</v>
      </c>
      <c r="H858" s="20"/>
      <c r="I858" s="157">
        <f t="array" ref="I858">_xlfn.XLOOKUP($H858,Data!$E:$E,Data!$F:$F,"Revisar",0)</f>
        <v>0</v>
      </c>
      <c r="J858" s="157">
        <f t="array" ref="J858">_xlfn.XLOOKUP($H858,Data!$E:$E,Data!$G:$G,"Revisar",0)</f>
        <v>0</v>
      </c>
      <c r="K858" s="20"/>
      <c r="L858" s="18"/>
      <c r="M858" s="20"/>
      <c r="N858" s="14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ht="15" customHeight="1" x14ac:dyDescent="0.3">
      <c r="A859" s="13"/>
      <c r="B859" s="14"/>
      <c r="C859" s="15"/>
      <c r="D859" s="17"/>
      <c r="E859" s="14"/>
      <c r="F859" s="18"/>
      <c r="G859" s="12" t="str">
        <f>IFERROR(VLOOKUP(D859,Data!$A:$B,2,0),"Revisar")</f>
        <v>Revisar</v>
      </c>
      <c r="H859" s="20"/>
      <c r="I859" s="157">
        <f t="array" ref="I859">_xlfn.XLOOKUP($H859,Data!$E:$E,Data!$F:$F,"Revisar",0)</f>
        <v>0</v>
      </c>
      <c r="J859" s="157">
        <f t="array" ref="J859">_xlfn.XLOOKUP($H859,Data!$E:$E,Data!$G:$G,"Revisar",0)</f>
        <v>0</v>
      </c>
      <c r="K859" s="20"/>
      <c r="L859" s="18"/>
      <c r="M859" s="20"/>
      <c r="N859" s="14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ht="15" customHeight="1" x14ac:dyDescent="0.3">
      <c r="A860" s="13"/>
      <c r="B860" s="14"/>
      <c r="C860" s="15"/>
      <c r="D860" s="17"/>
      <c r="E860" s="14"/>
      <c r="F860" s="18"/>
      <c r="G860" s="12" t="str">
        <f>IFERROR(VLOOKUP(D860,Data!$A:$B,2,0),"Revisar")</f>
        <v>Revisar</v>
      </c>
      <c r="H860" s="20"/>
      <c r="I860" s="157">
        <f t="array" ref="I860">_xlfn.XLOOKUP($H860,Data!$E:$E,Data!$F:$F,"Revisar",0)</f>
        <v>0</v>
      </c>
      <c r="J860" s="157">
        <f t="array" ref="J860">_xlfn.XLOOKUP($H860,Data!$E:$E,Data!$G:$G,"Revisar",0)</f>
        <v>0</v>
      </c>
      <c r="K860" s="20"/>
      <c r="L860" s="18"/>
      <c r="M860" s="20"/>
      <c r="N860" s="14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ht="15" customHeight="1" x14ac:dyDescent="0.3">
      <c r="A861" s="13"/>
      <c r="B861" s="14"/>
      <c r="C861" s="15"/>
      <c r="D861" s="17"/>
      <c r="E861" s="14"/>
      <c r="F861" s="18"/>
      <c r="G861" s="12" t="str">
        <f>IFERROR(VLOOKUP(D861,Data!$A:$B,2,0),"Revisar")</f>
        <v>Revisar</v>
      </c>
      <c r="H861" s="20"/>
      <c r="I861" s="157">
        <f t="array" ref="I861">_xlfn.XLOOKUP($H861,Data!$E:$E,Data!$F:$F,"Revisar",0)</f>
        <v>0</v>
      </c>
      <c r="J861" s="157">
        <f t="array" ref="J861">_xlfn.XLOOKUP($H861,Data!$E:$E,Data!$G:$G,"Revisar",0)</f>
        <v>0</v>
      </c>
      <c r="K861" s="20"/>
      <c r="L861" s="18"/>
      <c r="M861" s="20"/>
      <c r="N861" s="14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ht="15" customHeight="1" x14ac:dyDescent="0.3">
      <c r="A862" s="13"/>
      <c r="B862" s="14"/>
      <c r="C862" s="15"/>
      <c r="D862" s="17"/>
      <c r="E862" s="14"/>
      <c r="F862" s="18"/>
      <c r="G862" s="12" t="str">
        <f>IFERROR(VLOOKUP(D862,Data!$A:$B,2,0),"Revisar")</f>
        <v>Revisar</v>
      </c>
      <c r="H862" s="20"/>
      <c r="I862" s="157">
        <f t="array" ref="I862">_xlfn.XLOOKUP($H862,Data!$E:$E,Data!$F:$F,"Revisar",0)</f>
        <v>0</v>
      </c>
      <c r="J862" s="157">
        <f t="array" ref="J862">_xlfn.XLOOKUP($H862,Data!$E:$E,Data!$G:$G,"Revisar",0)</f>
        <v>0</v>
      </c>
      <c r="K862" s="20"/>
      <c r="L862" s="18"/>
      <c r="M862" s="20"/>
      <c r="N862" s="14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ht="15" customHeight="1" x14ac:dyDescent="0.3">
      <c r="A863" s="13"/>
      <c r="B863" s="14"/>
      <c r="C863" s="15"/>
      <c r="D863" s="17"/>
      <c r="E863" s="14"/>
      <c r="F863" s="18"/>
      <c r="G863" s="12" t="str">
        <f>IFERROR(VLOOKUP(D863,Data!$A:$B,2,0),"Revisar")</f>
        <v>Revisar</v>
      </c>
      <c r="H863" s="20"/>
      <c r="I863" s="157">
        <f t="array" ref="I863">_xlfn.XLOOKUP($H863,Data!$E:$E,Data!$F:$F,"Revisar",0)</f>
        <v>0</v>
      </c>
      <c r="J863" s="157">
        <f t="array" ref="J863">_xlfn.XLOOKUP($H863,Data!$E:$E,Data!$G:$G,"Revisar",0)</f>
        <v>0</v>
      </c>
      <c r="K863" s="20"/>
      <c r="L863" s="18"/>
      <c r="M863" s="20"/>
      <c r="N863" s="14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ht="15" customHeight="1" x14ac:dyDescent="0.3">
      <c r="A864" s="13"/>
      <c r="B864" s="14"/>
      <c r="C864" s="15"/>
      <c r="D864" s="17"/>
      <c r="E864" s="14"/>
      <c r="F864" s="18"/>
      <c r="G864" s="12" t="str">
        <f>IFERROR(VLOOKUP(D864,Data!$A:$B,2,0),"Revisar")</f>
        <v>Revisar</v>
      </c>
      <c r="H864" s="20"/>
      <c r="I864" s="157">
        <f t="array" ref="I864">_xlfn.XLOOKUP($H864,Data!$E:$E,Data!$F:$F,"Revisar",0)</f>
        <v>0</v>
      </c>
      <c r="J864" s="157">
        <f t="array" ref="J864">_xlfn.XLOOKUP($H864,Data!$E:$E,Data!$G:$G,"Revisar",0)</f>
        <v>0</v>
      </c>
      <c r="K864" s="20"/>
      <c r="L864" s="18"/>
      <c r="M864" s="20"/>
      <c r="N864" s="14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ht="15" customHeight="1" x14ac:dyDescent="0.3">
      <c r="A865" s="13"/>
      <c r="B865" s="14"/>
      <c r="C865" s="15"/>
      <c r="D865" s="17"/>
      <c r="E865" s="14"/>
      <c r="F865" s="18"/>
      <c r="G865" s="12" t="str">
        <f>IFERROR(VLOOKUP(D865,Data!$A:$B,2,0),"Revisar")</f>
        <v>Revisar</v>
      </c>
      <c r="H865" s="20"/>
      <c r="I865" s="157">
        <f t="array" ref="I865">_xlfn.XLOOKUP($H865,Data!$E:$E,Data!$F:$F,"Revisar",0)</f>
        <v>0</v>
      </c>
      <c r="J865" s="157">
        <f t="array" ref="J865">_xlfn.XLOOKUP($H865,Data!$E:$E,Data!$G:$G,"Revisar",0)</f>
        <v>0</v>
      </c>
      <c r="K865" s="20"/>
      <c r="L865" s="18"/>
      <c r="M865" s="20"/>
      <c r="N865" s="14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ht="15" customHeight="1" x14ac:dyDescent="0.3">
      <c r="A866" s="13"/>
      <c r="B866" s="14"/>
      <c r="C866" s="15"/>
      <c r="D866" s="17"/>
      <c r="E866" s="14"/>
      <c r="F866" s="18"/>
      <c r="G866" s="12" t="str">
        <f>IFERROR(VLOOKUP(D866,Data!$A:$B,2,0),"Revisar")</f>
        <v>Revisar</v>
      </c>
      <c r="H866" s="20"/>
      <c r="I866" s="157">
        <f t="array" ref="I866">_xlfn.XLOOKUP($H866,Data!$E:$E,Data!$F:$F,"Revisar",0)</f>
        <v>0</v>
      </c>
      <c r="J866" s="157">
        <f t="array" ref="J866">_xlfn.XLOOKUP($H866,Data!$E:$E,Data!$G:$G,"Revisar",0)</f>
        <v>0</v>
      </c>
      <c r="K866" s="20"/>
      <c r="L866" s="18"/>
      <c r="M866" s="20"/>
      <c r="N866" s="14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ht="15" customHeight="1" x14ac:dyDescent="0.3">
      <c r="A867" s="13"/>
      <c r="B867" s="14"/>
      <c r="C867" s="15"/>
      <c r="D867" s="17"/>
      <c r="E867" s="14"/>
      <c r="F867" s="18"/>
      <c r="G867" s="12" t="str">
        <f>IFERROR(VLOOKUP(D867,Data!$A:$B,2,0),"Revisar")</f>
        <v>Revisar</v>
      </c>
      <c r="H867" s="20"/>
      <c r="I867" s="157">
        <f t="array" ref="I867">_xlfn.XLOOKUP($H867,Data!$E:$E,Data!$F:$F,"Revisar",0)</f>
        <v>0</v>
      </c>
      <c r="J867" s="157">
        <f t="array" ref="J867">_xlfn.XLOOKUP($H867,Data!$E:$E,Data!$G:$G,"Revisar",0)</f>
        <v>0</v>
      </c>
      <c r="K867" s="20"/>
      <c r="L867" s="18"/>
      <c r="M867" s="20"/>
      <c r="N867" s="14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ht="15" customHeight="1" x14ac:dyDescent="0.3">
      <c r="A868" s="13"/>
      <c r="B868" s="14"/>
      <c r="C868" s="15"/>
      <c r="D868" s="17"/>
      <c r="E868" s="14"/>
      <c r="F868" s="18"/>
      <c r="G868" s="12" t="str">
        <f>IFERROR(VLOOKUP(D868,Data!$A:$B,2,0),"Revisar")</f>
        <v>Revisar</v>
      </c>
      <c r="H868" s="20"/>
      <c r="I868" s="157">
        <f t="array" ref="I868">_xlfn.XLOOKUP($H868,Data!$E:$E,Data!$F:$F,"Revisar",0)</f>
        <v>0</v>
      </c>
      <c r="J868" s="157">
        <f t="array" ref="J868">_xlfn.XLOOKUP($H868,Data!$E:$E,Data!$G:$G,"Revisar",0)</f>
        <v>0</v>
      </c>
      <c r="K868" s="20"/>
      <c r="L868" s="18"/>
      <c r="M868" s="20"/>
      <c r="N868" s="14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ht="15" customHeight="1" x14ac:dyDescent="0.3">
      <c r="A869" s="13"/>
      <c r="B869" s="14"/>
      <c r="C869" s="15"/>
      <c r="D869" s="17"/>
      <c r="E869" s="14"/>
      <c r="F869" s="18"/>
      <c r="G869" s="12" t="str">
        <f>IFERROR(VLOOKUP(D869,Data!$A:$B,2,0),"Revisar")</f>
        <v>Revisar</v>
      </c>
      <c r="H869" s="20"/>
      <c r="I869" s="157">
        <f t="array" ref="I869">_xlfn.XLOOKUP($H869,Data!$E:$E,Data!$F:$F,"Revisar",0)</f>
        <v>0</v>
      </c>
      <c r="J869" s="157">
        <f t="array" ref="J869">_xlfn.XLOOKUP($H869,Data!$E:$E,Data!$G:$G,"Revisar",0)</f>
        <v>0</v>
      </c>
      <c r="K869" s="20"/>
      <c r="L869" s="18"/>
      <c r="M869" s="20"/>
      <c r="N869" s="14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ht="15" customHeight="1" x14ac:dyDescent="0.3">
      <c r="A870" s="13"/>
      <c r="B870" s="14"/>
      <c r="C870" s="15"/>
      <c r="D870" s="17"/>
      <c r="E870" s="14"/>
      <c r="F870" s="18"/>
      <c r="G870" s="12" t="str">
        <f>IFERROR(VLOOKUP(D870,Data!$A:$B,2,0),"Revisar")</f>
        <v>Revisar</v>
      </c>
      <c r="H870" s="20"/>
      <c r="I870" s="157">
        <f t="array" ref="I870">_xlfn.XLOOKUP($H870,Data!$E:$E,Data!$F:$F,"Revisar",0)</f>
        <v>0</v>
      </c>
      <c r="J870" s="157">
        <f t="array" ref="J870">_xlfn.XLOOKUP($H870,Data!$E:$E,Data!$G:$G,"Revisar",0)</f>
        <v>0</v>
      </c>
      <c r="K870" s="20"/>
      <c r="L870" s="18"/>
      <c r="M870" s="20"/>
      <c r="N870" s="14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ht="15" customHeight="1" x14ac:dyDescent="0.3">
      <c r="A871" s="13"/>
      <c r="B871" s="14"/>
      <c r="C871" s="15"/>
      <c r="D871" s="17"/>
      <c r="E871" s="14"/>
      <c r="F871" s="18"/>
      <c r="G871" s="12" t="str">
        <f>IFERROR(VLOOKUP(D871,Data!$A:$B,2,0),"Revisar")</f>
        <v>Revisar</v>
      </c>
      <c r="H871" s="20"/>
      <c r="I871" s="157">
        <f t="array" ref="I871">_xlfn.XLOOKUP($H871,Data!$E:$E,Data!$F:$F,"Revisar",0)</f>
        <v>0</v>
      </c>
      <c r="J871" s="157">
        <f t="array" ref="J871">_xlfn.XLOOKUP($H871,Data!$E:$E,Data!$G:$G,"Revisar",0)</f>
        <v>0</v>
      </c>
      <c r="K871" s="20"/>
      <c r="L871" s="18"/>
      <c r="M871" s="20"/>
      <c r="N871" s="14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ht="15" customHeight="1" x14ac:dyDescent="0.3">
      <c r="A872" s="13"/>
      <c r="B872" s="14"/>
      <c r="C872" s="15"/>
      <c r="D872" s="17"/>
      <c r="E872" s="14"/>
      <c r="F872" s="18"/>
      <c r="G872" s="12" t="str">
        <f>IFERROR(VLOOKUP(D872,Data!$A:$B,2,0),"Revisar")</f>
        <v>Revisar</v>
      </c>
      <c r="H872" s="20"/>
      <c r="I872" s="157">
        <f t="array" ref="I872">_xlfn.XLOOKUP($H872,Data!$E:$E,Data!$F:$F,"Revisar",0)</f>
        <v>0</v>
      </c>
      <c r="J872" s="157">
        <f t="array" ref="J872">_xlfn.XLOOKUP($H872,Data!$E:$E,Data!$G:$G,"Revisar",0)</f>
        <v>0</v>
      </c>
      <c r="K872" s="20"/>
      <c r="L872" s="18"/>
      <c r="M872" s="20"/>
      <c r="N872" s="14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ht="15" customHeight="1" x14ac:dyDescent="0.3">
      <c r="A873" s="13"/>
      <c r="B873" s="14"/>
      <c r="C873" s="15"/>
      <c r="D873" s="17"/>
      <c r="E873" s="14"/>
      <c r="F873" s="18"/>
      <c r="G873" s="12" t="str">
        <f>IFERROR(VLOOKUP(D873,Data!$A:$B,2,0),"Revisar")</f>
        <v>Revisar</v>
      </c>
      <c r="H873" s="20"/>
      <c r="I873" s="157">
        <f t="array" ref="I873">_xlfn.XLOOKUP($H873,Data!$E:$E,Data!$F:$F,"Revisar",0)</f>
        <v>0</v>
      </c>
      <c r="J873" s="157">
        <f t="array" ref="J873">_xlfn.XLOOKUP($H873,Data!$E:$E,Data!$G:$G,"Revisar",0)</f>
        <v>0</v>
      </c>
      <c r="K873" s="20"/>
      <c r="L873" s="18"/>
      <c r="M873" s="20"/>
      <c r="N873" s="14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ht="15" customHeight="1" x14ac:dyDescent="0.3">
      <c r="A874" s="13"/>
      <c r="B874" s="14"/>
      <c r="C874" s="15"/>
      <c r="D874" s="17"/>
      <c r="E874" s="14"/>
      <c r="F874" s="18"/>
      <c r="G874" s="12" t="str">
        <f>IFERROR(VLOOKUP(D874,Data!$A:$B,2,0),"Revisar")</f>
        <v>Revisar</v>
      </c>
      <c r="H874" s="20"/>
      <c r="I874" s="157">
        <f t="array" ref="I874">_xlfn.XLOOKUP($H874,Data!$E:$E,Data!$F:$F,"Revisar",0)</f>
        <v>0</v>
      </c>
      <c r="J874" s="157">
        <f t="array" ref="J874">_xlfn.XLOOKUP($H874,Data!$E:$E,Data!$G:$G,"Revisar",0)</f>
        <v>0</v>
      </c>
      <c r="K874" s="20"/>
      <c r="L874" s="18"/>
      <c r="M874" s="20"/>
      <c r="N874" s="14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ht="15" customHeight="1" x14ac:dyDescent="0.3">
      <c r="A875" s="13"/>
      <c r="B875" s="14"/>
      <c r="C875" s="15"/>
      <c r="D875" s="17"/>
      <c r="E875" s="14"/>
      <c r="F875" s="18"/>
      <c r="G875" s="12" t="str">
        <f>IFERROR(VLOOKUP(D875,Data!$A:$B,2,0),"Revisar")</f>
        <v>Revisar</v>
      </c>
      <c r="H875" s="20"/>
      <c r="I875" s="157">
        <f t="array" ref="I875">_xlfn.XLOOKUP($H875,Data!$E:$E,Data!$F:$F,"Revisar",0)</f>
        <v>0</v>
      </c>
      <c r="J875" s="157">
        <f t="array" ref="J875">_xlfn.XLOOKUP($H875,Data!$E:$E,Data!$G:$G,"Revisar",0)</f>
        <v>0</v>
      </c>
      <c r="K875" s="20"/>
      <c r="L875" s="18"/>
      <c r="M875" s="20"/>
      <c r="N875" s="14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ht="15" customHeight="1" x14ac:dyDescent="0.3">
      <c r="A876" s="13"/>
      <c r="B876" s="14"/>
      <c r="C876" s="15"/>
      <c r="D876" s="17"/>
      <c r="E876" s="14"/>
      <c r="F876" s="18"/>
      <c r="G876" s="12" t="str">
        <f>IFERROR(VLOOKUP(D876,Data!$A:$B,2,0),"Revisar")</f>
        <v>Revisar</v>
      </c>
      <c r="H876" s="20"/>
      <c r="I876" s="157">
        <f t="array" ref="I876">_xlfn.XLOOKUP($H876,Data!$E:$E,Data!$F:$F,"Revisar",0)</f>
        <v>0</v>
      </c>
      <c r="J876" s="157">
        <f t="array" ref="J876">_xlfn.XLOOKUP($H876,Data!$E:$E,Data!$G:$G,"Revisar",0)</f>
        <v>0</v>
      </c>
      <c r="K876" s="20"/>
      <c r="L876" s="18"/>
      <c r="M876" s="20"/>
      <c r="N876" s="14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ht="15" customHeight="1" x14ac:dyDescent="0.3">
      <c r="A877" s="13"/>
      <c r="B877" s="14"/>
      <c r="C877" s="15"/>
      <c r="D877" s="17"/>
      <c r="E877" s="14"/>
      <c r="F877" s="18"/>
      <c r="G877" s="12" t="str">
        <f>IFERROR(VLOOKUP(D877,Data!$A:$B,2,0),"Revisar")</f>
        <v>Revisar</v>
      </c>
      <c r="H877" s="20"/>
      <c r="I877" s="157">
        <f t="array" ref="I877">_xlfn.XLOOKUP($H877,Data!$E:$E,Data!$F:$F,"Revisar",0)</f>
        <v>0</v>
      </c>
      <c r="J877" s="157">
        <f t="array" ref="J877">_xlfn.XLOOKUP($H877,Data!$E:$E,Data!$G:$G,"Revisar",0)</f>
        <v>0</v>
      </c>
      <c r="K877" s="20"/>
      <c r="L877" s="18"/>
      <c r="M877" s="20"/>
      <c r="N877" s="14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ht="15" customHeight="1" x14ac:dyDescent="0.3">
      <c r="A878" s="13"/>
      <c r="B878" s="14"/>
      <c r="C878" s="15"/>
      <c r="D878" s="17"/>
      <c r="E878" s="14"/>
      <c r="F878" s="18"/>
      <c r="G878" s="12" t="str">
        <f>IFERROR(VLOOKUP(D878,Data!$A:$B,2,0),"Revisar")</f>
        <v>Revisar</v>
      </c>
      <c r="H878" s="20"/>
      <c r="I878" s="157">
        <f t="array" ref="I878">_xlfn.XLOOKUP($H878,Data!$E:$E,Data!$F:$F,"Revisar",0)</f>
        <v>0</v>
      </c>
      <c r="J878" s="157">
        <f t="array" ref="J878">_xlfn.XLOOKUP($H878,Data!$E:$E,Data!$G:$G,"Revisar",0)</f>
        <v>0</v>
      </c>
      <c r="K878" s="20"/>
      <c r="L878" s="18"/>
      <c r="M878" s="20"/>
      <c r="N878" s="14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ht="15" customHeight="1" x14ac:dyDescent="0.3">
      <c r="A879" s="13"/>
      <c r="B879" s="14"/>
      <c r="C879" s="15"/>
      <c r="D879" s="17"/>
      <c r="E879" s="14"/>
      <c r="F879" s="18"/>
      <c r="G879" s="12" t="str">
        <f>IFERROR(VLOOKUP(D879,Data!$A:$B,2,0),"Revisar")</f>
        <v>Revisar</v>
      </c>
      <c r="H879" s="20"/>
      <c r="I879" s="157">
        <f t="array" ref="I879">_xlfn.XLOOKUP($H879,Data!$E:$E,Data!$F:$F,"Revisar",0)</f>
        <v>0</v>
      </c>
      <c r="J879" s="157">
        <f t="array" ref="J879">_xlfn.XLOOKUP($H879,Data!$E:$E,Data!$G:$G,"Revisar",0)</f>
        <v>0</v>
      </c>
      <c r="K879" s="20"/>
      <c r="L879" s="18"/>
      <c r="M879" s="20"/>
      <c r="N879" s="14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ht="15" customHeight="1" x14ac:dyDescent="0.3">
      <c r="A880" s="13"/>
      <c r="B880" s="14"/>
      <c r="C880" s="15"/>
      <c r="D880" s="17"/>
      <c r="E880" s="14"/>
      <c r="F880" s="18"/>
      <c r="G880" s="12" t="str">
        <f>IFERROR(VLOOKUP(D880,Data!$A:$B,2,0),"Revisar")</f>
        <v>Revisar</v>
      </c>
      <c r="H880" s="20"/>
      <c r="I880" s="157">
        <f t="array" ref="I880">_xlfn.XLOOKUP($H880,Data!$E:$E,Data!$F:$F,"Revisar",0)</f>
        <v>0</v>
      </c>
      <c r="J880" s="157">
        <f t="array" ref="J880">_xlfn.XLOOKUP($H880,Data!$E:$E,Data!$G:$G,"Revisar",0)</f>
        <v>0</v>
      </c>
      <c r="K880" s="20"/>
      <c r="L880" s="18"/>
      <c r="M880" s="20"/>
      <c r="N880" s="14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 ht="15" customHeight="1" x14ac:dyDescent="0.3">
      <c r="A881" s="13"/>
      <c r="B881" s="14"/>
      <c r="C881" s="15"/>
      <c r="D881" s="17"/>
      <c r="E881" s="14"/>
      <c r="F881" s="18"/>
      <c r="G881" s="12" t="str">
        <f>IFERROR(VLOOKUP(D881,Data!$A:$B,2,0),"Revisar")</f>
        <v>Revisar</v>
      </c>
      <c r="H881" s="20"/>
      <c r="I881" s="157">
        <f t="array" ref="I881">_xlfn.XLOOKUP($H881,Data!$E:$E,Data!$F:$F,"Revisar",0)</f>
        <v>0</v>
      </c>
      <c r="J881" s="157">
        <f t="array" ref="J881">_xlfn.XLOOKUP($H881,Data!$E:$E,Data!$G:$G,"Revisar",0)</f>
        <v>0</v>
      </c>
      <c r="K881" s="20"/>
      <c r="L881" s="18"/>
      <c r="M881" s="20"/>
      <c r="N881" s="14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 ht="15" customHeight="1" x14ac:dyDescent="0.3">
      <c r="A882" s="13"/>
      <c r="B882" s="14"/>
      <c r="C882" s="15"/>
      <c r="D882" s="17"/>
      <c r="E882" s="14"/>
      <c r="F882" s="18"/>
      <c r="G882" s="12" t="str">
        <f>IFERROR(VLOOKUP(D882,Data!$A:$B,2,0),"Revisar")</f>
        <v>Revisar</v>
      </c>
      <c r="H882" s="20"/>
      <c r="I882" s="157">
        <f t="array" ref="I882">_xlfn.XLOOKUP($H882,Data!$E:$E,Data!$F:$F,"Revisar",0)</f>
        <v>0</v>
      </c>
      <c r="J882" s="157">
        <f t="array" ref="J882">_xlfn.XLOOKUP($H882,Data!$E:$E,Data!$G:$G,"Revisar",0)</f>
        <v>0</v>
      </c>
      <c r="K882" s="20"/>
      <c r="L882" s="18"/>
      <c r="M882" s="20"/>
      <c r="N882" s="14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 ht="15" customHeight="1" x14ac:dyDescent="0.3">
      <c r="A883" s="13"/>
      <c r="B883" s="14"/>
      <c r="C883" s="15"/>
      <c r="D883" s="17"/>
      <c r="E883" s="14"/>
      <c r="F883" s="18"/>
      <c r="G883" s="12" t="str">
        <f>IFERROR(VLOOKUP(D883,Data!$A:$B,2,0),"Revisar")</f>
        <v>Revisar</v>
      </c>
      <c r="H883" s="20"/>
      <c r="I883" s="157">
        <f t="array" ref="I883">_xlfn.XLOOKUP($H883,Data!$E:$E,Data!$F:$F,"Revisar",0)</f>
        <v>0</v>
      </c>
      <c r="J883" s="157">
        <f t="array" ref="J883">_xlfn.XLOOKUP($H883,Data!$E:$E,Data!$G:$G,"Revisar",0)</f>
        <v>0</v>
      </c>
      <c r="K883" s="20"/>
      <c r="L883" s="18"/>
      <c r="M883" s="20"/>
      <c r="N883" s="14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 ht="15" customHeight="1" x14ac:dyDescent="0.3">
      <c r="A884" s="13"/>
      <c r="B884" s="14"/>
      <c r="C884" s="15"/>
      <c r="D884" s="17"/>
      <c r="E884" s="14"/>
      <c r="F884" s="18"/>
      <c r="G884" s="12" t="str">
        <f>IFERROR(VLOOKUP(D884,Data!$A:$B,2,0),"Revisar")</f>
        <v>Revisar</v>
      </c>
      <c r="H884" s="20"/>
      <c r="I884" s="157">
        <f t="array" ref="I884">_xlfn.XLOOKUP($H884,Data!$E:$E,Data!$F:$F,"Revisar",0)</f>
        <v>0</v>
      </c>
      <c r="J884" s="157">
        <f t="array" ref="J884">_xlfn.XLOOKUP($H884,Data!$E:$E,Data!$G:$G,"Revisar",0)</f>
        <v>0</v>
      </c>
      <c r="K884" s="20"/>
      <c r="L884" s="18"/>
      <c r="M884" s="20"/>
      <c r="N884" s="14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 ht="15" customHeight="1" x14ac:dyDescent="0.3">
      <c r="A885" s="13"/>
      <c r="B885" s="14"/>
      <c r="C885" s="15"/>
      <c r="D885" s="17"/>
      <c r="E885" s="14"/>
      <c r="F885" s="18"/>
      <c r="G885" s="12" t="str">
        <f>IFERROR(VLOOKUP(D885,Data!$A:$B,2,0),"Revisar")</f>
        <v>Revisar</v>
      </c>
      <c r="H885" s="20"/>
      <c r="I885" s="157">
        <f t="array" ref="I885">_xlfn.XLOOKUP($H885,Data!$E:$E,Data!$F:$F,"Revisar",0)</f>
        <v>0</v>
      </c>
      <c r="J885" s="157">
        <f t="array" ref="J885">_xlfn.XLOOKUP($H885,Data!$E:$E,Data!$G:$G,"Revisar",0)</f>
        <v>0</v>
      </c>
      <c r="K885" s="20"/>
      <c r="L885" s="18"/>
      <c r="M885" s="20"/>
      <c r="N885" s="14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 ht="15" customHeight="1" x14ac:dyDescent="0.3">
      <c r="A886" s="13"/>
      <c r="B886" s="14"/>
      <c r="C886" s="15"/>
      <c r="D886" s="17"/>
      <c r="E886" s="14"/>
      <c r="F886" s="18"/>
      <c r="G886" s="12" t="str">
        <f>IFERROR(VLOOKUP(D886,Data!$A:$B,2,0),"Revisar")</f>
        <v>Revisar</v>
      </c>
      <c r="H886" s="20"/>
      <c r="I886" s="157">
        <f t="array" ref="I886">_xlfn.XLOOKUP($H886,Data!$E:$E,Data!$F:$F,"Revisar",0)</f>
        <v>0</v>
      </c>
      <c r="J886" s="157">
        <f t="array" ref="J886">_xlfn.XLOOKUP($H886,Data!$E:$E,Data!$G:$G,"Revisar",0)</f>
        <v>0</v>
      </c>
      <c r="K886" s="20"/>
      <c r="L886" s="18"/>
      <c r="M886" s="20"/>
      <c r="N886" s="14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 ht="15" customHeight="1" x14ac:dyDescent="0.3">
      <c r="A887" s="13"/>
      <c r="B887" s="14"/>
      <c r="C887" s="15"/>
      <c r="D887" s="17"/>
      <c r="E887" s="14"/>
      <c r="F887" s="18"/>
      <c r="G887" s="12" t="str">
        <f>IFERROR(VLOOKUP(D887,Data!$A:$B,2,0),"Revisar")</f>
        <v>Revisar</v>
      </c>
      <c r="H887" s="20"/>
      <c r="I887" s="157">
        <f t="array" ref="I887">_xlfn.XLOOKUP($H887,Data!$E:$E,Data!$F:$F,"Revisar",0)</f>
        <v>0</v>
      </c>
      <c r="J887" s="157">
        <f t="array" ref="J887">_xlfn.XLOOKUP($H887,Data!$E:$E,Data!$G:$G,"Revisar",0)</f>
        <v>0</v>
      </c>
      <c r="K887" s="20"/>
      <c r="L887" s="18"/>
      <c r="M887" s="20"/>
      <c r="N887" s="14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 ht="15" customHeight="1" x14ac:dyDescent="0.3">
      <c r="A888" s="13"/>
      <c r="B888" s="14"/>
      <c r="C888" s="15"/>
      <c r="D888" s="17"/>
      <c r="E888" s="14"/>
      <c r="F888" s="18"/>
      <c r="G888" s="12" t="str">
        <f>IFERROR(VLOOKUP(D888,Data!$A:$B,2,0),"Revisar")</f>
        <v>Revisar</v>
      </c>
      <c r="H888" s="20"/>
      <c r="I888" s="157">
        <f t="array" ref="I888">_xlfn.XLOOKUP($H888,Data!$E:$E,Data!$F:$F,"Revisar",0)</f>
        <v>0</v>
      </c>
      <c r="J888" s="157">
        <f t="array" ref="J888">_xlfn.XLOOKUP($H888,Data!$E:$E,Data!$G:$G,"Revisar",0)</f>
        <v>0</v>
      </c>
      <c r="K888" s="20"/>
      <c r="L888" s="18"/>
      <c r="M888" s="20"/>
      <c r="N888" s="14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 ht="15" customHeight="1" x14ac:dyDescent="0.3">
      <c r="A889" s="13"/>
      <c r="B889" s="14"/>
      <c r="C889" s="15"/>
      <c r="D889" s="17"/>
      <c r="E889" s="14"/>
      <c r="F889" s="18"/>
      <c r="G889" s="12" t="str">
        <f>IFERROR(VLOOKUP(D889,Data!$A:$B,2,0),"Revisar")</f>
        <v>Revisar</v>
      </c>
      <c r="H889" s="20"/>
      <c r="I889" s="157">
        <f t="array" ref="I889">_xlfn.XLOOKUP($H889,Data!$E:$E,Data!$F:$F,"Revisar",0)</f>
        <v>0</v>
      </c>
      <c r="J889" s="157">
        <f t="array" ref="J889">_xlfn.XLOOKUP($H889,Data!$E:$E,Data!$G:$G,"Revisar",0)</f>
        <v>0</v>
      </c>
      <c r="K889" s="20"/>
      <c r="L889" s="18"/>
      <c r="M889" s="20"/>
      <c r="N889" s="14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 ht="15" customHeight="1" x14ac:dyDescent="0.3">
      <c r="A890" s="13"/>
      <c r="B890" s="14"/>
      <c r="C890" s="15"/>
      <c r="D890" s="17"/>
      <c r="E890" s="14"/>
      <c r="F890" s="18"/>
      <c r="G890" s="12" t="str">
        <f>IFERROR(VLOOKUP(D890,Data!$A:$B,2,0),"Revisar")</f>
        <v>Revisar</v>
      </c>
      <c r="H890" s="20"/>
      <c r="I890" s="157">
        <f t="array" ref="I890">_xlfn.XLOOKUP($H890,Data!$E:$E,Data!$F:$F,"Revisar",0)</f>
        <v>0</v>
      </c>
      <c r="J890" s="157">
        <f t="array" ref="J890">_xlfn.XLOOKUP($H890,Data!$E:$E,Data!$G:$G,"Revisar",0)</f>
        <v>0</v>
      </c>
      <c r="K890" s="20"/>
      <c r="L890" s="18"/>
      <c r="M890" s="20"/>
      <c r="N890" s="14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 ht="15" customHeight="1" x14ac:dyDescent="0.3">
      <c r="A891" s="13"/>
      <c r="B891" s="14"/>
      <c r="C891" s="15"/>
      <c r="D891" s="17"/>
      <c r="E891" s="14"/>
      <c r="F891" s="18"/>
      <c r="G891" s="12" t="str">
        <f>IFERROR(VLOOKUP(D891,Data!$A:$B,2,0),"Revisar")</f>
        <v>Revisar</v>
      </c>
      <c r="H891" s="20"/>
      <c r="I891" s="157">
        <f t="array" ref="I891">_xlfn.XLOOKUP($H891,Data!$E:$E,Data!$F:$F,"Revisar",0)</f>
        <v>0</v>
      </c>
      <c r="J891" s="157">
        <f t="array" ref="J891">_xlfn.XLOOKUP($H891,Data!$E:$E,Data!$G:$G,"Revisar",0)</f>
        <v>0</v>
      </c>
      <c r="K891" s="20"/>
      <c r="L891" s="18"/>
      <c r="M891" s="20"/>
      <c r="N891" s="14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 ht="15" customHeight="1" x14ac:dyDescent="0.3">
      <c r="A892" s="13"/>
      <c r="B892" s="14"/>
      <c r="C892" s="15"/>
      <c r="D892" s="17"/>
      <c r="E892" s="14"/>
      <c r="F892" s="18"/>
      <c r="G892" s="12" t="str">
        <f>IFERROR(VLOOKUP(D892,Data!$A:$B,2,0),"Revisar")</f>
        <v>Revisar</v>
      </c>
      <c r="H892" s="20"/>
      <c r="I892" s="157">
        <f t="array" ref="I892">_xlfn.XLOOKUP($H892,Data!$E:$E,Data!$F:$F,"Revisar",0)</f>
        <v>0</v>
      </c>
      <c r="J892" s="157">
        <f t="array" ref="J892">_xlfn.XLOOKUP($H892,Data!$E:$E,Data!$G:$G,"Revisar",0)</f>
        <v>0</v>
      </c>
      <c r="K892" s="20"/>
      <c r="L892" s="18"/>
      <c r="M892" s="20"/>
      <c r="N892" s="14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 ht="15" customHeight="1" x14ac:dyDescent="0.3">
      <c r="A893" s="13"/>
      <c r="B893" s="14"/>
      <c r="C893" s="15"/>
      <c r="D893" s="17"/>
      <c r="E893" s="14"/>
      <c r="F893" s="18"/>
      <c r="G893" s="12" t="str">
        <f>IFERROR(VLOOKUP(D893,Data!$A:$B,2,0),"Revisar")</f>
        <v>Revisar</v>
      </c>
      <c r="H893" s="20"/>
      <c r="I893" s="157">
        <f t="array" ref="I893">_xlfn.XLOOKUP($H893,Data!$E:$E,Data!$F:$F,"Revisar",0)</f>
        <v>0</v>
      </c>
      <c r="J893" s="157">
        <f t="array" ref="J893">_xlfn.XLOOKUP($H893,Data!$E:$E,Data!$G:$G,"Revisar",0)</f>
        <v>0</v>
      </c>
      <c r="K893" s="20"/>
      <c r="L893" s="18"/>
      <c r="M893" s="20"/>
      <c r="N893" s="14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 ht="15" customHeight="1" x14ac:dyDescent="0.3">
      <c r="A894" s="13"/>
      <c r="B894" s="14"/>
      <c r="C894" s="15"/>
      <c r="D894" s="17"/>
      <c r="E894" s="14"/>
      <c r="F894" s="18"/>
      <c r="G894" s="12" t="str">
        <f>IFERROR(VLOOKUP(D894,Data!$A:$B,2,0),"Revisar")</f>
        <v>Revisar</v>
      </c>
      <c r="H894" s="20"/>
      <c r="I894" s="157">
        <f t="array" ref="I894">_xlfn.XLOOKUP($H894,Data!$E:$E,Data!$F:$F,"Revisar",0)</f>
        <v>0</v>
      </c>
      <c r="J894" s="157">
        <f t="array" ref="J894">_xlfn.XLOOKUP($H894,Data!$E:$E,Data!$G:$G,"Revisar",0)</f>
        <v>0</v>
      </c>
      <c r="K894" s="20"/>
      <c r="L894" s="18"/>
      <c r="M894" s="20"/>
      <c r="N894" s="14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 ht="15" customHeight="1" x14ac:dyDescent="0.3">
      <c r="A895" s="13"/>
      <c r="B895" s="14"/>
      <c r="C895" s="15"/>
      <c r="D895" s="17"/>
      <c r="E895" s="14"/>
      <c r="F895" s="18"/>
      <c r="G895" s="12" t="str">
        <f>IFERROR(VLOOKUP(D895,Data!$A:$B,2,0),"Revisar")</f>
        <v>Revisar</v>
      </c>
      <c r="H895" s="20"/>
      <c r="I895" s="157">
        <f t="array" ref="I895">_xlfn.XLOOKUP($H895,Data!$E:$E,Data!$F:$F,"Revisar",0)</f>
        <v>0</v>
      </c>
      <c r="J895" s="157">
        <f t="array" ref="J895">_xlfn.XLOOKUP($H895,Data!$E:$E,Data!$G:$G,"Revisar",0)</f>
        <v>0</v>
      </c>
      <c r="K895" s="20"/>
      <c r="L895" s="18"/>
      <c r="M895" s="20"/>
      <c r="N895" s="14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 ht="15" customHeight="1" x14ac:dyDescent="0.3">
      <c r="A896" s="13"/>
      <c r="B896" s="14"/>
      <c r="C896" s="15"/>
      <c r="D896" s="17"/>
      <c r="E896" s="14"/>
      <c r="F896" s="18"/>
      <c r="G896" s="12" t="str">
        <f>IFERROR(VLOOKUP(D896,Data!$A:$B,2,0),"Revisar")</f>
        <v>Revisar</v>
      </c>
      <c r="H896" s="20"/>
      <c r="I896" s="157">
        <f t="array" ref="I896">_xlfn.XLOOKUP($H896,Data!$E:$E,Data!$F:$F,"Revisar",0)</f>
        <v>0</v>
      </c>
      <c r="J896" s="157">
        <f t="array" ref="J896">_xlfn.XLOOKUP($H896,Data!$E:$E,Data!$G:$G,"Revisar",0)</f>
        <v>0</v>
      </c>
      <c r="K896" s="20"/>
      <c r="L896" s="18"/>
      <c r="M896" s="20"/>
      <c r="N896" s="14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 ht="15" customHeight="1" x14ac:dyDescent="0.3">
      <c r="A897" s="13"/>
      <c r="B897" s="14"/>
      <c r="C897" s="15"/>
      <c r="D897" s="17"/>
      <c r="E897" s="14"/>
      <c r="F897" s="18"/>
      <c r="G897" s="12" t="str">
        <f>IFERROR(VLOOKUP(D897,Data!$A:$B,2,0),"Revisar")</f>
        <v>Revisar</v>
      </c>
      <c r="H897" s="20"/>
      <c r="I897" s="157">
        <f t="array" ref="I897">_xlfn.XLOOKUP($H897,Data!$E:$E,Data!$F:$F,"Revisar",0)</f>
        <v>0</v>
      </c>
      <c r="J897" s="157">
        <f t="array" ref="J897">_xlfn.XLOOKUP($H897,Data!$E:$E,Data!$G:$G,"Revisar",0)</f>
        <v>0</v>
      </c>
      <c r="K897" s="20"/>
      <c r="L897" s="18"/>
      <c r="M897" s="20"/>
      <c r="N897" s="14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 ht="15" customHeight="1" x14ac:dyDescent="0.3">
      <c r="A898" s="13"/>
      <c r="B898" s="14"/>
      <c r="C898" s="15"/>
      <c r="D898" s="17"/>
      <c r="E898" s="14"/>
      <c r="F898" s="18"/>
      <c r="G898" s="12" t="str">
        <f>IFERROR(VLOOKUP(D898,Data!$A:$B,2,0),"Revisar")</f>
        <v>Revisar</v>
      </c>
      <c r="H898" s="20"/>
      <c r="I898" s="157">
        <f t="array" ref="I898">_xlfn.XLOOKUP($H898,Data!$E:$E,Data!$F:$F,"Revisar",0)</f>
        <v>0</v>
      </c>
      <c r="J898" s="157">
        <f t="array" ref="J898">_xlfn.XLOOKUP($H898,Data!$E:$E,Data!$G:$G,"Revisar",0)</f>
        <v>0</v>
      </c>
      <c r="K898" s="20"/>
      <c r="L898" s="18"/>
      <c r="M898" s="20"/>
      <c r="N898" s="14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 ht="15" customHeight="1" x14ac:dyDescent="0.3">
      <c r="A899" s="13"/>
      <c r="B899" s="14"/>
      <c r="C899" s="15"/>
      <c r="D899" s="17"/>
      <c r="E899" s="14"/>
      <c r="F899" s="18"/>
      <c r="G899" s="12" t="str">
        <f>IFERROR(VLOOKUP(D899,Data!$A:$B,2,0),"Revisar")</f>
        <v>Revisar</v>
      </c>
      <c r="H899" s="20"/>
      <c r="I899" s="157">
        <f t="array" ref="I899">_xlfn.XLOOKUP($H899,Data!$E:$E,Data!$F:$F,"Revisar",0)</f>
        <v>0</v>
      </c>
      <c r="J899" s="157">
        <f t="array" ref="J899">_xlfn.XLOOKUP($H899,Data!$E:$E,Data!$G:$G,"Revisar",0)</f>
        <v>0</v>
      </c>
      <c r="K899" s="20"/>
      <c r="L899" s="18"/>
      <c r="M899" s="20"/>
      <c r="N899" s="14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 ht="15" customHeight="1" x14ac:dyDescent="0.3">
      <c r="A900" s="13"/>
      <c r="B900" s="14"/>
      <c r="C900" s="15"/>
      <c r="D900" s="17"/>
      <c r="E900" s="14"/>
      <c r="F900" s="18"/>
      <c r="G900" s="12" t="str">
        <f>IFERROR(VLOOKUP(D900,Data!$A:$B,2,0),"Revisar")</f>
        <v>Revisar</v>
      </c>
      <c r="H900" s="20"/>
      <c r="I900" s="157">
        <f t="array" ref="I900">_xlfn.XLOOKUP($H900,Data!$E:$E,Data!$F:$F,"Revisar",0)</f>
        <v>0</v>
      </c>
      <c r="J900" s="157">
        <f t="array" ref="J900">_xlfn.XLOOKUP($H900,Data!$E:$E,Data!$G:$G,"Revisar",0)</f>
        <v>0</v>
      </c>
      <c r="K900" s="20"/>
      <c r="L900" s="18"/>
      <c r="M900" s="20"/>
      <c r="N900" s="14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 ht="15" customHeight="1" x14ac:dyDescent="0.3">
      <c r="A901" s="13"/>
      <c r="B901" s="14"/>
      <c r="C901" s="15"/>
      <c r="D901" s="17"/>
      <c r="E901" s="14"/>
      <c r="F901" s="18"/>
      <c r="G901" s="12" t="str">
        <f>IFERROR(VLOOKUP(D901,Data!$A:$B,2,0),"Revisar")</f>
        <v>Revisar</v>
      </c>
      <c r="H901" s="20"/>
      <c r="I901" s="157">
        <f t="array" ref="I901">_xlfn.XLOOKUP($H901,Data!$E:$E,Data!$F:$F,"Revisar",0)</f>
        <v>0</v>
      </c>
      <c r="J901" s="157">
        <f t="array" ref="J901">_xlfn.XLOOKUP($H901,Data!$E:$E,Data!$G:$G,"Revisar",0)</f>
        <v>0</v>
      </c>
      <c r="K901" s="20"/>
      <c r="L901" s="18"/>
      <c r="M901" s="20"/>
      <c r="N901" s="14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 ht="15" customHeight="1" x14ac:dyDescent="0.3">
      <c r="A902" s="13"/>
      <c r="B902" s="14"/>
      <c r="C902" s="15"/>
      <c r="D902" s="17"/>
      <c r="E902" s="14"/>
      <c r="F902" s="18"/>
      <c r="G902" s="12" t="str">
        <f>IFERROR(VLOOKUP(D902,Data!$A:$B,2,0),"Revisar")</f>
        <v>Revisar</v>
      </c>
      <c r="H902" s="20"/>
      <c r="I902" s="157">
        <f t="array" ref="I902">_xlfn.XLOOKUP($H902,Data!$E:$E,Data!$F:$F,"Revisar",0)</f>
        <v>0</v>
      </c>
      <c r="J902" s="157">
        <f t="array" ref="J902">_xlfn.XLOOKUP($H902,Data!$E:$E,Data!$G:$G,"Revisar",0)</f>
        <v>0</v>
      </c>
      <c r="K902" s="20"/>
      <c r="L902" s="18"/>
      <c r="M902" s="20"/>
      <c r="N902" s="14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 ht="15" customHeight="1" x14ac:dyDescent="0.3">
      <c r="A903" s="13"/>
      <c r="B903" s="14"/>
      <c r="C903" s="15"/>
      <c r="D903" s="17"/>
      <c r="E903" s="14"/>
      <c r="F903" s="18"/>
      <c r="G903" s="12" t="str">
        <f>IFERROR(VLOOKUP(D903,Data!$A:$B,2,0),"Revisar")</f>
        <v>Revisar</v>
      </c>
      <c r="H903" s="20"/>
      <c r="I903" s="157">
        <f t="array" ref="I903">_xlfn.XLOOKUP($H903,Data!$E:$E,Data!$F:$F,"Revisar",0)</f>
        <v>0</v>
      </c>
      <c r="J903" s="157">
        <f t="array" ref="J903">_xlfn.XLOOKUP($H903,Data!$E:$E,Data!$G:$G,"Revisar",0)</f>
        <v>0</v>
      </c>
      <c r="K903" s="20"/>
      <c r="L903" s="18"/>
      <c r="M903" s="20"/>
      <c r="N903" s="14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 ht="15" customHeight="1" x14ac:dyDescent="0.3">
      <c r="A904" s="13"/>
      <c r="B904" s="14"/>
      <c r="C904" s="15"/>
      <c r="D904" s="17"/>
      <c r="E904" s="14"/>
      <c r="F904" s="18"/>
      <c r="G904" s="12" t="str">
        <f>IFERROR(VLOOKUP(D904,Data!$A:$B,2,0),"Revisar")</f>
        <v>Revisar</v>
      </c>
      <c r="H904" s="20"/>
      <c r="I904" s="157">
        <f t="array" ref="I904">_xlfn.XLOOKUP($H904,Data!$E:$E,Data!$F:$F,"Revisar",0)</f>
        <v>0</v>
      </c>
      <c r="J904" s="157">
        <f t="array" ref="J904">_xlfn.XLOOKUP($H904,Data!$E:$E,Data!$G:$G,"Revisar",0)</f>
        <v>0</v>
      </c>
      <c r="K904" s="20"/>
      <c r="L904" s="18"/>
      <c r="M904" s="20"/>
      <c r="N904" s="14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 ht="15" customHeight="1" x14ac:dyDescent="0.3">
      <c r="A905" s="13"/>
      <c r="B905" s="14"/>
      <c r="C905" s="15"/>
      <c r="D905" s="17"/>
      <c r="E905" s="14"/>
      <c r="F905" s="18"/>
      <c r="G905" s="12" t="str">
        <f>IFERROR(VLOOKUP(D905,Data!$A:$B,2,0),"Revisar")</f>
        <v>Revisar</v>
      </c>
      <c r="H905" s="20"/>
      <c r="I905" s="157">
        <f t="array" ref="I905">_xlfn.XLOOKUP($H905,Data!$E:$E,Data!$F:$F,"Revisar",0)</f>
        <v>0</v>
      </c>
      <c r="J905" s="157">
        <f t="array" ref="J905">_xlfn.XLOOKUP($H905,Data!$E:$E,Data!$G:$G,"Revisar",0)</f>
        <v>0</v>
      </c>
      <c r="K905" s="20"/>
      <c r="L905" s="18"/>
      <c r="M905" s="20"/>
      <c r="N905" s="14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 ht="15" customHeight="1" x14ac:dyDescent="0.3">
      <c r="A906" s="13"/>
      <c r="B906" s="14"/>
      <c r="C906" s="15"/>
      <c r="D906" s="17"/>
      <c r="E906" s="14"/>
      <c r="F906" s="18"/>
      <c r="G906" s="12" t="str">
        <f>IFERROR(VLOOKUP(D906,Data!$A:$B,2,0),"Revisar")</f>
        <v>Revisar</v>
      </c>
      <c r="H906" s="20"/>
      <c r="I906" s="157">
        <f t="array" ref="I906">_xlfn.XLOOKUP($H906,Data!$E:$E,Data!$F:$F,"Revisar",0)</f>
        <v>0</v>
      </c>
      <c r="J906" s="157">
        <f t="array" ref="J906">_xlfn.XLOOKUP($H906,Data!$E:$E,Data!$G:$G,"Revisar",0)</f>
        <v>0</v>
      </c>
      <c r="K906" s="20"/>
      <c r="L906" s="18"/>
      <c r="M906" s="20"/>
      <c r="N906" s="14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 ht="15" customHeight="1" x14ac:dyDescent="0.3">
      <c r="A907" s="13"/>
      <c r="B907" s="14"/>
      <c r="C907" s="15"/>
      <c r="D907" s="17"/>
      <c r="E907" s="14"/>
      <c r="F907" s="18"/>
      <c r="G907" s="12" t="str">
        <f>IFERROR(VLOOKUP(D907,Data!$A:$B,2,0),"Revisar")</f>
        <v>Revisar</v>
      </c>
      <c r="H907" s="20"/>
      <c r="I907" s="157">
        <f t="array" ref="I907">_xlfn.XLOOKUP($H907,Data!$E:$E,Data!$F:$F,"Revisar",0)</f>
        <v>0</v>
      </c>
      <c r="J907" s="157">
        <f t="array" ref="J907">_xlfn.XLOOKUP($H907,Data!$E:$E,Data!$G:$G,"Revisar",0)</f>
        <v>0</v>
      </c>
      <c r="K907" s="20"/>
      <c r="L907" s="18"/>
      <c r="M907" s="20"/>
      <c r="N907" s="14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 ht="15" customHeight="1" x14ac:dyDescent="0.3">
      <c r="A908" s="13"/>
      <c r="B908" s="14"/>
      <c r="C908" s="15"/>
      <c r="D908" s="17"/>
      <c r="E908" s="14"/>
      <c r="F908" s="18"/>
      <c r="G908" s="12" t="str">
        <f>IFERROR(VLOOKUP(D908,Data!$A:$B,2,0),"Revisar")</f>
        <v>Revisar</v>
      </c>
      <c r="H908" s="20"/>
      <c r="I908" s="157">
        <f t="array" ref="I908">_xlfn.XLOOKUP($H908,Data!$E:$E,Data!$F:$F,"Revisar",0)</f>
        <v>0</v>
      </c>
      <c r="J908" s="157">
        <f t="array" ref="J908">_xlfn.XLOOKUP($H908,Data!$E:$E,Data!$G:$G,"Revisar",0)</f>
        <v>0</v>
      </c>
      <c r="K908" s="20"/>
      <c r="L908" s="18"/>
      <c r="M908" s="20"/>
      <c r="N908" s="14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 ht="15" customHeight="1" x14ac:dyDescent="0.3">
      <c r="A909" s="13"/>
      <c r="B909" s="14"/>
      <c r="C909" s="15"/>
      <c r="D909" s="17"/>
      <c r="E909" s="14"/>
      <c r="F909" s="18"/>
      <c r="G909" s="12" t="str">
        <f>IFERROR(VLOOKUP(D909,Data!$A:$B,2,0),"Revisar")</f>
        <v>Revisar</v>
      </c>
      <c r="H909" s="20"/>
      <c r="I909" s="157">
        <f t="array" ref="I909">_xlfn.XLOOKUP($H909,Data!$E:$E,Data!$F:$F,"Revisar",0)</f>
        <v>0</v>
      </c>
      <c r="J909" s="157">
        <f t="array" ref="J909">_xlfn.XLOOKUP($H909,Data!$E:$E,Data!$G:$G,"Revisar",0)</f>
        <v>0</v>
      </c>
      <c r="K909" s="20"/>
      <c r="L909" s="18"/>
      <c r="M909" s="20"/>
      <c r="N909" s="14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 ht="15" customHeight="1" x14ac:dyDescent="0.3">
      <c r="A910" s="13"/>
      <c r="B910" s="14"/>
      <c r="C910" s="15"/>
      <c r="D910" s="17"/>
      <c r="E910" s="14"/>
      <c r="F910" s="18"/>
      <c r="G910" s="12" t="str">
        <f>IFERROR(VLOOKUP(D910,Data!$A:$B,2,0),"Revisar")</f>
        <v>Revisar</v>
      </c>
      <c r="H910" s="20"/>
      <c r="I910" s="157">
        <f t="array" ref="I910">_xlfn.XLOOKUP($H910,Data!$E:$E,Data!$F:$F,"Revisar",0)</f>
        <v>0</v>
      </c>
      <c r="J910" s="157">
        <f t="array" ref="J910">_xlfn.XLOOKUP($H910,Data!$E:$E,Data!$G:$G,"Revisar",0)</f>
        <v>0</v>
      </c>
      <c r="K910" s="20"/>
      <c r="L910" s="18"/>
      <c r="M910" s="20"/>
      <c r="N910" s="14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 ht="15" customHeight="1" x14ac:dyDescent="0.3">
      <c r="A911" s="13"/>
      <c r="B911" s="14"/>
      <c r="C911" s="15"/>
      <c r="D911" s="17"/>
      <c r="E911" s="14"/>
      <c r="F911" s="18"/>
      <c r="G911" s="12" t="str">
        <f>IFERROR(VLOOKUP(D911,Data!$A:$B,2,0),"Revisar")</f>
        <v>Revisar</v>
      </c>
      <c r="H911" s="20"/>
      <c r="I911" s="157">
        <f t="array" ref="I911">_xlfn.XLOOKUP($H911,Data!$E:$E,Data!$F:$F,"Revisar",0)</f>
        <v>0</v>
      </c>
      <c r="J911" s="157">
        <f t="array" ref="J911">_xlfn.XLOOKUP($H911,Data!$E:$E,Data!$G:$G,"Revisar",0)</f>
        <v>0</v>
      </c>
      <c r="K911" s="20"/>
      <c r="L911" s="18"/>
      <c r="M911" s="20"/>
      <c r="N911" s="14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 ht="15" customHeight="1" x14ac:dyDescent="0.3">
      <c r="A912" s="13"/>
      <c r="B912" s="14"/>
      <c r="C912" s="15"/>
      <c r="D912" s="17"/>
      <c r="E912" s="14"/>
      <c r="F912" s="18"/>
      <c r="G912" s="12" t="str">
        <f>IFERROR(VLOOKUP(D912,Data!$A:$B,2,0),"Revisar")</f>
        <v>Revisar</v>
      </c>
      <c r="H912" s="20"/>
      <c r="I912" s="157">
        <f t="array" ref="I912">_xlfn.XLOOKUP($H912,Data!$E:$E,Data!$F:$F,"Revisar",0)</f>
        <v>0</v>
      </c>
      <c r="J912" s="157">
        <f t="array" ref="J912">_xlfn.XLOOKUP($H912,Data!$E:$E,Data!$G:$G,"Revisar",0)</f>
        <v>0</v>
      </c>
      <c r="K912" s="20"/>
      <c r="L912" s="18"/>
      <c r="M912" s="20"/>
      <c r="N912" s="14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 ht="15" customHeight="1" x14ac:dyDescent="0.3">
      <c r="A913" s="13"/>
      <c r="B913" s="14"/>
      <c r="C913" s="15"/>
      <c r="D913" s="17"/>
      <c r="E913" s="14"/>
      <c r="F913" s="18"/>
      <c r="G913" s="12" t="str">
        <f>IFERROR(VLOOKUP(D913,Data!$A:$B,2,0),"Revisar")</f>
        <v>Revisar</v>
      </c>
      <c r="H913" s="20"/>
      <c r="I913" s="157">
        <f t="array" ref="I913">_xlfn.XLOOKUP($H913,Data!$E:$E,Data!$F:$F,"Revisar",0)</f>
        <v>0</v>
      </c>
      <c r="J913" s="157">
        <f t="array" ref="J913">_xlfn.XLOOKUP($H913,Data!$E:$E,Data!$G:$G,"Revisar",0)</f>
        <v>0</v>
      </c>
      <c r="K913" s="20"/>
      <c r="L913" s="18"/>
      <c r="M913" s="20"/>
      <c r="N913" s="14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 ht="15" customHeight="1" x14ac:dyDescent="0.3">
      <c r="A914" s="13"/>
      <c r="B914" s="14"/>
      <c r="C914" s="15"/>
      <c r="D914" s="17"/>
      <c r="E914" s="14"/>
      <c r="F914" s="18"/>
      <c r="G914" s="12" t="str">
        <f>IFERROR(VLOOKUP(D914,Data!$A:$B,2,0),"Revisar")</f>
        <v>Revisar</v>
      </c>
      <c r="H914" s="20"/>
      <c r="I914" s="157">
        <f t="array" ref="I914">_xlfn.XLOOKUP($H914,Data!$E:$E,Data!$F:$F,"Revisar",0)</f>
        <v>0</v>
      </c>
      <c r="J914" s="157">
        <f t="array" ref="J914">_xlfn.XLOOKUP($H914,Data!$E:$E,Data!$G:$G,"Revisar",0)</f>
        <v>0</v>
      </c>
      <c r="K914" s="20"/>
      <c r="L914" s="18"/>
      <c r="M914" s="20"/>
      <c r="N914" s="14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 ht="15" customHeight="1" x14ac:dyDescent="0.3">
      <c r="A915" s="13"/>
      <c r="B915" s="14"/>
      <c r="C915" s="15"/>
      <c r="D915" s="17"/>
      <c r="E915" s="14"/>
      <c r="F915" s="18"/>
      <c r="G915" s="12" t="str">
        <f>IFERROR(VLOOKUP(D915,Data!$A:$B,2,0),"Revisar")</f>
        <v>Revisar</v>
      </c>
      <c r="H915" s="20"/>
      <c r="I915" s="157">
        <f t="array" ref="I915">_xlfn.XLOOKUP($H915,Data!$E:$E,Data!$F:$F,"Revisar",0)</f>
        <v>0</v>
      </c>
      <c r="J915" s="157">
        <f t="array" ref="J915">_xlfn.XLOOKUP($H915,Data!$E:$E,Data!$G:$G,"Revisar",0)</f>
        <v>0</v>
      </c>
      <c r="K915" s="20"/>
      <c r="L915" s="18"/>
      <c r="M915" s="20"/>
      <c r="N915" s="14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 ht="15" customHeight="1" x14ac:dyDescent="0.3">
      <c r="A916" s="13"/>
      <c r="B916" s="14"/>
      <c r="C916" s="15"/>
      <c r="D916" s="17"/>
      <c r="E916" s="14"/>
      <c r="F916" s="18"/>
      <c r="G916" s="12" t="str">
        <f>IFERROR(VLOOKUP(D916,Data!$A:$B,2,0),"Revisar")</f>
        <v>Revisar</v>
      </c>
      <c r="H916" s="20"/>
      <c r="I916" s="157">
        <f t="array" ref="I916">_xlfn.XLOOKUP($H916,Data!$E:$E,Data!$F:$F,"Revisar",0)</f>
        <v>0</v>
      </c>
      <c r="J916" s="157">
        <f t="array" ref="J916">_xlfn.XLOOKUP($H916,Data!$E:$E,Data!$G:$G,"Revisar",0)</f>
        <v>0</v>
      </c>
      <c r="K916" s="20"/>
      <c r="L916" s="18"/>
      <c r="M916" s="20"/>
      <c r="N916" s="14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 ht="15" customHeight="1" x14ac:dyDescent="0.3">
      <c r="A917" s="13"/>
      <c r="B917" s="14"/>
      <c r="C917" s="15"/>
      <c r="D917" s="17"/>
      <c r="E917" s="14"/>
      <c r="F917" s="18"/>
      <c r="G917" s="12" t="str">
        <f>IFERROR(VLOOKUP(D917,Data!$A:$B,2,0),"Revisar")</f>
        <v>Revisar</v>
      </c>
      <c r="H917" s="20"/>
      <c r="I917" s="157">
        <f t="array" ref="I917">_xlfn.XLOOKUP($H917,Data!$E:$E,Data!$F:$F,"Revisar",0)</f>
        <v>0</v>
      </c>
      <c r="J917" s="157">
        <f t="array" ref="J917">_xlfn.XLOOKUP($H917,Data!$E:$E,Data!$G:$G,"Revisar",0)</f>
        <v>0</v>
      </c>
      <c r="K917" s="20"/>
      <c r="L917" s="18"/>
      <c r="M917" s="20"/>
      <c r="N917" s="14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 ht="15" customHeight="1" x14ac:dyDescent="0.3">
      <c r="A918" s="13"/>
      <c r="B918" s="14"/>
      <c r="C918" s="15"/>
      <c r="D918" s="17"/>
      <c r="E918" s="14"/>
      <c r="F918" s="18"/>
      <c r="G918" s="12" t="str">
        <f>IFERROR(VLOOKUP(D918,Data!$A:$B,2,0),"Revisar")</f>
        <v>Revisar</v>
      </c>
      <c r="H918" s="20"/>
      <c r="I918" s="157">
        <f t="array" ref="I918">_xlfn.XLOOKUP($H918,Data!$E:$E,Data!$F:$F,"Revisar",0)</f>
        <v>0</v>
      </c>
      <c r="J918" s="157">
        <f t="array" ref="J918">_xlfn.XLOOKUP($H918,Data!$E:$E,Data!$G:$G,"Revisar",0)</f>
        <v>0</v>
      </c>
      <c r="K918" s="20"/>
      <c r="L918" s="18"/>
      <c r="M918" s="20"/>
      <c r="N918" s="14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 ht="15" customHeight="1" x14ac:dyDescent="0.3">
      <c r="A919" s="13"/>
      <c r="B919" s="14"/>
      <c r="C919" s="15"/>
      <c r="D919" s="17"/>
      <c r="E919" s="14"/>
      <c r="F919" s="18"/>
      <c r="G919" s="12" t="str">
        <f>IFERROR(VLOOKUP(D919,Data!$A:$B,2,0),"Revisar")</f>
        <v>Revisar</v>
      </c>
      <c r="H919" s="20"/>
      <c r="I919" s="157">
        <f t="array" ref="I919">_xlfn.XLOOKUP($H919,Data!$E:$E,Data!$F:$F,"Revisar",0)</f>
        <v>0</v>
      </c>
      <c r="J919" s="157">
        <f t="array" ref="J919">_xlfn.XLOOKUP($H919,Data!$E:$E,Data!$G:$G,"Revisar",0)</f>
        <v>0</v>
      </c>
      <c r="K919" s="20"/>
      <c r="L919" s="18"/>
      <c r="M919" s="20"/>
      <c r="N919" s="14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 ht="15" customHeight="1" x14ac:dyDescent="0.3">
      <c r="A920" s="13"/>
      <c r="B920" s="14"/>
      <c r="C920" s="15"/>
      <c r="D920" s="17"/>
      <c r="E920" s="14"/>
      <c r="F920" s="18"/>
      <c r="G920" s="12" t="str">
        <f>IFERROR(VLOOKUP(D920,Data!$A:$B,2,0),"Revisar")</f>
        <v>Revisar</v>
      </c>
      <c r="H920" s="20"/>
      <c r="I920" s="157">
        <f t="array" ref="I920">_xlfn.XLOOKUP($H920,Data!$E:$E,Data!$F:$F,"Revisar",0)</f>
        <v>0</v>
      </c>
      <c r="J920" s="157">
        <f t="array" ref="J920">_xlfn.XLOOKUP($H920,Data!$E:$E,Data!$G:$G,"Revisar",0)</f>
        <v>0</v>
      </c>
      <c r="K920" s="20"/>
      <c r="L920" s="18"/>
      <c r="M920" s="20"/>
      <c r="N920" s="14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 ht="15" customHeight="1" x14ac:dyDescent="0.3">
      <c r="A921" s="13"/>
      <c r="B921" s="14"/>
      <c r="C921" s="15"/>
      <c r="D921" s="17"/>
      <c r="E921" s="14"/>
      <c r="F921" s="18"/>
      <c r="G921" s="12" t="str">
        <f>IFERROR(VLOOKUP(D921,Data!$A:$B,2,0),"Revisar")</f>
        <v>Revisar</v>
      </c>
      <c r="H921" s="20"/>
      <c r="I921" s="157">
        <f t="array" ref="I921">_xlfn.XLOOKUP($H921,Data!$E:$E,Data!$F:$F,"Revisar",0)</f>
        <v>0</v>
      </c>
      <c r="J921" s="157">
        <f t="array" ref="J921">_xlfn.XLOOKUP($H921,Data!$E:$E,Data!$G:$G,"Revisar",0)</f>
        <v>0</v>
      </c>
      <c r="K921" s="20"/>
      <c r="L921" s="18"/>
      <c r="M921" s="20"/>
      <c r="N921" s="14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 ht="15" customHeight="1" x14ac:dyDescent="0.3">
      <c r="A922" s="13"/>
      <c r="B922" s="14"/>
      <c r="C922" s="15"/>
      <c r="D922" s="17"/>
      <c r="E922" s="14"/>
      <c r="F922" s="18"/>
      <c r="G922" s="12" t="str">
        <f>IFERROR(VLOOKUP(D922,Data!$A:$B,2,0),"Revisar")</f>
        <v>Revisar</v>
      </c>
      <c r="H922" s="20"/>
      <c r="I922" s="157">
        <f t="array" ref="I922">_xlfn.XLOOKUP($H922,Data!$E:$E,Data!$F:$F,"Revisar",0)</f>
        <v>0</v>
      </c>
      <c r="J922" s="157">
        <f t="array" ref="J922">_xlfn.XLOOKUP($H922,Data!$E:$E,Data!$G:$G,"Revisar",0)</f>
        <v>0</v>
      </c>
      <c r="K922" s="20"/>
      <c r="L922" s="18"/>
      <c r="M922" s="20"/>
      <c r="N922" s="14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 ht="15" customHeight="1" x14ac:dyDescent="0.3">
      <c r="A923" s="13"/>
      <c r="B923" s="14"/>
      <c r="C923" s="15"/>
      <c r="D923" s="17"/>
      <c r="E923" s="14"/>
      <c r="F923" s="18"/>
      <c r="G923" s="12" t="str">
        <f>IFERROR(VLOOKUP(D923,Data!$A:$B,2,0),"Revisar")</f>
        <v>Revisar</v>
      </c>
      <c r="H923" s="20"/>
      <c r="I923" s="157">
        <f t="array" ref="I923">_xlfn.XLOOKUP($H923,Data!$E:$E,Data!$F:$F,"Revisar",0)</f>
        <v>0</v>
      </c>
      <c r="J923" s="157">
        <f t="array" ref="J923">_xlfn.XLOOKUP($H923,Data!$E:$E,Data!$G:$G,"Revisar",0)</f>
        <v>0</v>
      </c>
      <c r="K923" s="20"/>
      <c r="L923" s="18"/>
      <c r="M923" s="20"/>
      <c r="N923" s="14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 ht="15" customHeight="1" x14ac:dyDescent="0.3">
      <c r="A924" s="13"/>
      <c r="B924" s="14"/>
      <c r="C924" s="15"/>
      <c r="D924" s="17"/>
      <c r="E924" s="14"/>
      <c r="F924" s="18"/>
      <c r="G924" s="12" t="str">
        <f>IFERROR(VLOOKUP(D924,Data!$A:$B,2,0),"Revisar")</f>
        <v>Revisar</v>
      </c>
      <c r="H924" s="20"/>
      <c r="I924" s="157">
        <f t="array" ref="I924">_xlfn.XLOOKUP($H924,Data!$E:$E,Data!$F:$F,"Revisar",0)</f>
        <v>0</v>
      </c>
      <c r="J924" s="157">
        <f t="array" ref="J924">_xlfn.XLOOKUP($H924,Data!$E:$E,Data!$G:$G,"Revisar",0)</f>
        <v>0</v>
      </c>
      <c r="K924" s="20"/>
      <c r="L924" s="18"/>
      <c r="M924" s="20"/>
      <c r="N924" s="14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 ht="15" customHeight="1" x14ac:dyDescent="0.3">
      <c r="A925" s="13"/>
      <c r="B925" s="14"/>
      <c r="C925" s="15"/>
      <c r="D925" s="17"/>
      <c r="E925" s="14"/>
      <c r="F925" s="18"/>
      <c r="G925" s="12" t="str">
        <f>IFERROR(VLOOKUP(D925,Data!$A:$B,2,0),"Revisar")</f>
        <v>Revisar</v>
      </c>
      <c r="H925" s="20"/>
      <c r="I925" s="157">
        <f t="array" ref="I925">_xlfn.XLOOKUP($H925,Data!$E:$E,Data!$F:$F,"Revisar",0)</f>
        <v>0</v>
      </c>
      <c r="J925" s="157">
        <f t="array" ref="J925">_xlfn.XLOOKUP($H925,Data!$E:$E,Data!$G:$G,"Revisar",0)</f>
        <v>0</v>
      </c>
      <c r="K925" s="20"/>
      <c r="L925" s="18"/>
      <c r="M925" s="20"/>
      <c r="N925" s="14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 ht="15" customHeight="1" x14ac:dyDescent="0.3">
      <c r="A926" s="13"/>
      <c r="B926" s="14"/>
      <c r="C926" s="15"/>
      <c r="D926" s="17"/>
      <c r="E926" s="14"/>
      <c r="F926" s="18"/>
      <c r="G926" s="12" t="str">
        <f>IFERROR(VLOOKUP(D926,Data!$A:$B,2,0),"Revisar")</f>
        <v>Revisar</v>
      </c>
      <c r="H926" s="20"/>
      <c r="I926" s="157">
        <f t="array" ref="I926">_xlfn.XLOOKUP($H926,Data!$E:$E,Data!$F:$F,"Revisar",0)</f>
        <v>0</v>
      </c>
      <c r="J926" s="157">
        <f t="array" ref="J926">_xlfn.XLOOKUP($H926,Data!$E:$E,Data!$G:$G,"Revisar",0)</f>
        <v>0</v>
      </c>
      <c r="K926" s="20"/>
      <c r="L926" s="18"/>
      <c r="M926" s="20"/>
      <c r="N926" s="14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 ht="15" customHeight="1" x14ac:dyDescent="0.3">
      <c r="A927" s="13"/>
      <c r="B927" s="14"/>
      <c r="C927" s="15"/>
      <c r="D927" s="17"/>
      <c r="E927" s="14"/>
      <c r="F927" s="18"/>
      <c r="G927" s="12" t="str">
        <f>IFERROR(VLOOKUP(D927,Data!$A:$B,2,0),"Revisar")</f>
        <v>Revisar</v>
      </c>
      <c r="H927" s="20"/>
      <c r="I927" s="157">
        <f t="array" ref="I927">_xlfn.XLOOKUP($H927,Data!$E:$E,Data!$F:$F,"Revisar",0)</f>
        <v>0</v>
      </c>
      <c r="J927" s="157">
        <f t="array" ref="J927">_xlfn.XLOOKUP($H927,Data!$E:$E,Data!$G:$G,"Revisar",0)</f>
        <v>0</v>
      </c>
      <c r="K927" s="20"/>
      <c r="L927" s="18"/>
      <c r="M927" s="20"/>
      <c r="N927" s="14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 ht="15" customHeight="1" x14ac:dyDescent="0.3">
      <c r="A928" s="13"/>
      <c r="B928" s="14"/>
      <c r="C928" s="15"/>
      <c r="D928" s="17"/>
      <c r="E928" s="14"/>
      <c r="F928" s="18"/>
      <c r="G928" s="12" t="str">
        <f>IFERROR(VLOOKUP(D928,Data!$A:$B,2,0),"Revisar")</f>
        <v>Revisar</v>
      </c>
      <c r="H928" s="20"/>
      <c r="I928" s="157">
        <f t="array" ref="I928">_xlfn.XLOOKUP($H928,Data!$E:$E,Data!$F:$F,"Revisar",0)</f>
        <v>0</v>
      </c>
      <c r="J928" s="157">
        <f t="array" ref="J928">_xlfn.XLOOKUP($H928,Data!$E:$E,Data!$G:$G,"Revisar",0)</f>
        <v>0</v>
      </c>
      <c r="K928" s="20"/>
      <c r="L928" s="18"/>
      <c r="M928" s="20"/>
      <c r="N928" s="14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 ht="15" customHeight="1" x14ac:dyDescent="0.3">
      <c r="A929" s="13"/>
      <c r="B929" s="14"/>
      <c r="C929" s="15"/>
      <c r="D929" s="17"/>
      <c r="E929" s="14"/>
      <c r="F929" s="18"/>
      <c r="G929" s="12" t="str">
        <f>IFERROR(VLOOKUP(D929,Data!$A:$B,2,0),"Revisar")</f>
        <v>Revisar</v>
      </c>
      <c r="H929" s="20"/>
      <c r="I929" s="157">
        <f t="array" ref="I929">_xlfn.XLOOKUP($H929,Data!$E:$E,Data!$F:$F,"Revisar",0)</f>
        <v>0</v>
      </c>
      <c r="J929" s="157">
        <f t="array" ref="J929">_xlfn.XLOOKUP($H929,Data!$E:$E,Data!$G:$G,"Revisar",0)</f>
        <v>0</v>
      </c>
      <c r="K929" s="20"/>
      <c r="L929" s="18"/>
      <c r="M929" s="20"/>
      <c r="N929" s="14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 ht="15" customHeight="1" x14ac:dyDescent="0.3">
      <c r="A930" s="13"/>
      <c r="B930" s="14"/>
      <c r="C930" s="15"/>
      <c r="D930" s="17"/>
      <c r="E930" s="14"/>
      <c r="F930" s="18"/>
      <c r="G930" s="12" t="str">
        <f>IFERROR(VLOOKUP(D930,Data!$A:$B,2,0),"Revisar")</f>
        <v>Revisar</v>
      </c>
      <c r="H930" s="20"/>
      <c r="I930" s="157">
        <f t="array" ref="I930">_xlfn.XLOOKUP($H930,Data!$E:$E,Data!$F:$F,"Revisar",0)</f>
        <v>0</v>
      </c>
      <c r="J930" s="157">
        <f t="array" ref="J930">_xlfn.XLOOKUP($H930,Data!$E:$E,Data!$G:$G,"Revisar",0)</f>
        <v>0</v>
      </c>
      <c r="K930" s="20"/>
      <c r="L930" s="18"/>
      <c r="M930" s="20"/>
      <c r="N930" s="14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 ht="15" customHeight="1" x14ac:dyDescent="0.3">
      <c r="A931" s="13"/>
      <c r="B931" s="14"/>
      <c r="C931" s="15"/>
      <c r="D931" s="17"/>
      <c r="E931" s="14"/>
      <c r="F931" s="18"/>
      <c r="G931" s="12" t="str">
        <f>IFERROR(VLOOKUP(D931,Data!$A:$B,2,0),"Revisar")</f>
        <v>Revisar</v>
      </c>
      <c r="H931" s="20"/>
      <c r="I931" s="157">
        <f t="array" ref="I931">_xlfn.XLOOKUP($H931,Data!$E:$E,Data!$F:$F,"Revisar",0)</f>
        <v>0</v>
      </c>
      <c r="J931" s="157">
        <f t="array" ref="J931">_xlfn.XLOOKUP($H931,Data!$E:$E,Data!$G:$G,"Revisar",0)</f>
        <v>0</v>
      </c>
      <c r="K931" s="20"/>
      <c r="L931" s="18"/>
      <c r="M931" s="20"/>
      <c r="N931" s="14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 ht="15" customHeight="1" x14ac:dyDescent="0.3">
      <c r="A932" s="13"/>
      <c r="B932" s="14"/>
      <c r="C932" s="15"/>
      <c r="D932" s="17"/>
      <c r="E932" s="14"/>
      <c r="F932" s="18"/>
      <c r="G932" s="12" t="str">
        <f>IFERROR(VLOOKUP(D932,Data!$A:$B,2,0),"Revisar")</f>
        <v>Revisar</v>
      </c>
      <c r="H932" s="20"/>
      <c r="I932" s="157">
        <f t="array" ref="I932">_xlfn.XLOOKUP($H932,Data!$E:$E,Data!$F:$F,"Revisar",0)</f>
        <v>0</v>
      </c>
      <c r="J932" s="157">
        <f t="array" ref="J932">_xlfn.XLOOKUP($H932,Data!$E:$E,Data!$G:$G,"Revisar",0)</f>
        <v>0</v>
      </c>
      <c r="K932" s="20"/>
      <c r="L932" s="18"/>
      <c r="M932" s="20"/>
      <c r="N932" s="14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 ht="15" customHeight="1" x14ac:dyDescent="0.3">
      <c r="A933" s="13"/>
      <c r="B933" s="14"/>
      <c r="C933" s="15"/>
      <c r="D933" s="17"/>
      <c r="E933" s="14"/>
      <c r="F933" s="18"/>
      <c r="G933" s="12" t="str">
        <f>IFERROR(VLOOKUP(D933,Data!$A:$B,2,0),"Revisar")</f>
        <v>Revisar</v>
      </c>
      <c r="H933" s="20"/>
      <c r="I933" s="157">
        <f t="array" ref="I933">_xlfn.XLOOKUP($H933,Data!$E:$E,Data!$F:$F,"Revisar",0)</f>
        <v>0</v>
      </c>
      <c r="J933" s="157">
        <f t="array" ref="J933">_xlfn.XLOOKUP($H933,Data!$E:$E,Data!$G:$G,"Revisar",0)</f>
        <v>0</v>
      </c>
      <c r="K933" s="20"/>
      <c r="L933" s="18"/>
      <c r="M933" s="20"/>
      <c r="N933" s="14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 ht="15" customHeight="1" x14ac:dyDescent="0.3">
      <c r="A934" s="13"/>
      <c r="B934" s="14"/>
      <c r="C934" s="15"/>
      <c r="D934" s="17"/>
      <c r="E934" s="14"/>
      <c r="F934" s="18"/>
      <c r="G934" s="12" t="str">
        <f>IFERROR(VLOOKUP(D934,Data!$A:$B,2,0),"Revisar")</f>
        <v>Revisar</v>
      </c>
      <c r="H934" s="20"/>
      <c r="I934" s="157">
        <f t="array" ref="I934">_xlfn.XLOOKUP($H934,Data!$E:$E,Data!$F:$F,"Revisar",0)</f>
        <v>0</v>
      </c>
      <c r="J934" s="157">
        <f t="array" ref="J934">_xlfn.XLOOKUP($H934,Data!$E:$E,Data!$G:$G,"Revisar",0)</f>
        <v>0</v>
      </c>
      <c r="K934" s="20"/>
      <c r="L934" s="18"/>
      <c r="M934" s="20"/>
      <c r="N934" s="14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 ht="15" customHeight="1" x14ac:dyDescent="0.3">
      <c r="A935" s="13"/>
      <c r="B935" s="14"/>
      <c r="C935" s="15"/>
      <c r="D935" s="17"/>
      <c r="E935" s="14"/>
      <c r="F935" s="18"/>
      <c r="G935" s="12" t="str">
        <f>IFERROR(VLOOKUP(D935,Data!$A:$B,2,0),"Revisar")</f>
        <v>Revisar</v>
      </c>
      <c r="H935" s="20"/>
      <c r="I935" s="157">
        <f t="array" ref="I935">_xlfn.XLOOKUP($H935,Data!$E:$E,Data!$F:$F,"Revisar",0)</f>
        <v>0</v>
      </c>
      <c r="J935" s="157">
        <f t="array" ref="J935">_xlfn.XLOOKUP($H935,Data!$E:$E,Data!$G:$G,"Revisar",0)</f>
        <v>0</v>
      </c>
      <c r="K935" s="20"/>
      <c r="L935" s="18"/>
      <c r="M935" s="20"/>
      <c r="N935" s="14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 ht="15" customHeight="1" x14ac:dyDescent="0.3">
      <c r="A936" s="13"/>
      <c r="B936" s="14"/>
      <c r="C936" s="15"/>
      <c r="D936" s="17"/>
      <c r="E936" s="14"/>
      <c r="F936" s="18"/>
      <c r="G936" s="12" t="str">
        <f>IFERROR(VLOOKUP(D936,Data!$A:$B,2,0),"Revisar")</f>
        <v>Revisar</v>
      </c>
      <c r="H936" s="20"/>
      <c r="I936" s="157">
        <f t="array" ref="I936">_xlfn.XLOOKUP($H936,Data!$E:$E,Data!$F:$F,"Revisar",0)</f>
        <v>0</v>
      </c>
      <c r="J936" s="157">
        <f t="array" ref="J936">_xlfn.XLOOKUP($H936,Data!$E:$E,Data!$G:$G,"Revisar",0)</f>
        <v>0</v>
      </c>
      <c r="K936" s="20"/>
      <c r="L936" s="18"/>
      <c r="M936" s="20"/>
      <c r="N936" s="14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 ht="15" customHeight="1" x14ac:dyDescent="0.3">
      <c r="A937" s="13"/>
      <c r="B937" s="14"/>
      <c r="C937" s="15"/>
      <c r="D937" s="17"/>
      <c r="E937" s="14"/>
      <c r="F937" s="18"/>
      <c r="G937" s="12" t="str">
        <f>IFERROR(VLOOKUP(D937,Data!$A:$B,2,0),"Revisar")</f>
        <v>Revisar</v>
      </c>
      <c r="H937" s="20"/>
      <c r="I937" s="157">
        <f t="array" ref="I937">_xlfn.XLOOKUP($H937,Data!$E:$E,Data!$F:$F,"Revisar",0)</f>
        <v>0</v>
      </c>
      <c r="J937" s="157">
        <f t="array" ref="J937">_xlfn.XLOOKUP($H937,Data!$E:$E,Data!$G:$G,"Revisar",0)</f>
        <v>0</v>
      </c>
      <c r="K937" s="20"/>
      <c r="L937" s="18"/>
      <c r="M937" s="20"/>
      <c r="N937" s="14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 ht="15" customHeight="1" x14ac:dyDescent="0.3">
      <c r="A938" s="13"/>
      <c r="B938" s="14"/>
      <c r="C938" s="15"/>
      <c r="D938" s="17"/>
      <c r="E938" s="14"/>
      <c r="F938" s="18"/>
      <c r="G938" s="12" t="str">
        <f>IFERROR(VLOOKUP(D938,Data!$A:$B,2,0),"Revisar")</f>
        <v>Revisar</v>
      </c>
      <c r="H938" s="20"/>
      <c r="I938" s="157">
        <f t="array" ref="I938">_xlfn.XLOOKUP($H938,Data!$E:$E,Data!$F:$F,"Revisar",0)</f>
        <v>0</v>
      </c>
      <c r="J938" s="157">
        <f t="array" ref="J938">_xlfn.XLOOKUP($H938,Data!$E:$E,Data!$G:$G,"Revisar",0)</f>
        <v>0</v>
      </c>
      <c r="K938" s="20"/>
      <c r="L938" s="18"/>
      <c r="M938" s="20"/>
      <c r="N938" s="14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 ht="15" customHeight="1" x14ac:dyDescent="0.3">
      <c r="A939" s="13"/>
      <c r="B939" s="14"/>
      <c r="C939" s="15"/>
      <c r="D939" s="17"/>
      <c r="E939" s="14"/>
      <c r="F939" s="18"/>
      <c r="G939" s="12" t="str">
        <f>IFERROR(VLOOKUP(D939,Data!$A:$B,2,0),"Revisar")</f>
        <v>Revisar</v>
      </c>
      <c r="H939" s="20"/>
      <c r="I939" s="157">
        <f t="array" ref="I939">_xlfn.XLOOKUP($H939,Data!$E:$E,Data!$F:$F,"Revisar",0)</f>
        <v>0</v>
      </c>
      <c r="J939" s="157">
        <f t="array" ref="J939">_xlfn.XLOOKUP($H939,Data!$E:$E,Data!$G:$G,"Revisar",0)</f>
        <v>0</v>
      </c>
      <c r="K939" s="20"/>
      <c r="L939" s="18"/>
      <c r="M939" s="20"/>
      <c r="N939" s="14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 ht="15" customHeight="1" x14ac:dyDescent="0.3">
      <c r="A940" s="13"/>
      <c r="B940" s="14"/>
      <c r="C940" s="15"/>
      <c r="D940" s="17"/>
      <c r="E940" s="14"/>
      <c r="F940" s="18"/>
      <c r="G940" s="12" t="str">
        <f>IFERROR(VLOOKUP(D940,Data!$A:$B,2,0),"Revisar")</f>
        <v>Revisar</v>
      </c>
      <c r="H940" s="20"/>
      <c r="I940" s="157">
        <f t="array" ref="I940">_xlfn.XLOOKUP($H940,Data!$E:$E,Data!$F:$F,"Revisar",0)</f>
        <v>0</v>
      </c>
      <c r="J940" s="157">
        <f t="array" ref="J940">_xlfn.XLOOKUP($H940,Data!$E:$E,Data!$G:$G,"Revisar",0)</f>
        <v>0</v>
      </c>
      <c r="K940" s="20"/>
      <c r="L940" s="18"/>
      <c r="M940" s="20"/>
      <c r="N940" s="14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 ht="15" customHeight="1" x14ac:dyDescent="0.3">
      <c r="A941" s="13"/>
      <c r="B941" s="14"/>
      <c r="C941" s="15"/>
      <c r="D941" s="17"/>
      <c r="E941" s="14"/>
      <c r="F941" s="18"/>
      <c r="G941" s="12" t="str">
        <f>IFERROR(VLOOKUP(D941,Data!$A:$B,2,0),"Revisar")</f>
        <v>Revisar</v>
      </c>
      <c r="H941" s="20"/>
      <c r="I941" s="157">
        <f t="array" ref="I941">_xlfn.XLOOKUP($H941,Data!$E:$E,Data!$F:$F,"Revisar",0)</f>
        <v>0</v>
      </c>
      <c r="J941" s="157">
        <f t="array" ref="J941">_xlfn.XLOOKUP($H941,Data!$E:$E,Data!$G:$G,"Revisar",0)</f>
        <v>0</v>
      </c>
      <c r="K941" s="20"/>
      <c r="L941" s="18"/>
      <c r="M941" s="20"/>
      <c r="N941" s="14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 ht="15" customHeight="1" x14ac:dyDescent="0.3">
      <c r="A942" s="13"/>
      <c r="B942" s="14"/>
      <c r="C942" s="15"/>
      <c r="D942" s="17"/>
      <c r="E942" s="14"/>
      <c r="F942" s="18"/>
      <c r="G942" s="12" t="str">
        <f>IFERROR(VLOOKUP(D942,Data!$A:$B,2,0),"Revisar")</f>
        <v>Revisar</v>
      </c>
      <c r="H942" s="20"/>
      <c r="I942" s="157">
        <f t="array" ref="I942">_xlfn.XLOOKUP($H942,Data!$E:$E,Data!$F:$F,"Revisar",0)</f>
        <v>0</v>
      </c>
      <c r="J942" s="157">
        <f t="array" ref="J942">_xlfn.XLOOKUP($H942,Data!$E:$E,Data!$G:$G,"Revisar",0)</f>
        <v>0</v>
      </c>
      <c r="K942" s="20"/>
      <c r="L942" s="18"/>
      <c r="M942" s="20"/>
      <c r="N942" s="14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 ht="15" customHeight="1" x14ac:dyDescent="0.3">
      <c r="A943" s="13"/>
      <c r="B943" s="14"/>
      <c r="C943" s="15"/>
      <c r="D943" s="17"/>
      <c r="E943" s="14"/>
      <c r="F943" s="18"/>
      <c r="G943" s="12" t="str">
        <f>IFERROR(VLOOKUP(D943,Data!$A:$B,2,0),"Revisar")</f>
        <v>Revisar</v>
      </c>
      <c r="H943" s="20"/>
      <c r="I943" s="157">
        <f t="array" ref="I943">_xlfn.XLOOKUP($H943,Data!$E:$E,Data!$F:$F,"Revisar",0)</f>
        <v>0</v>
      </c>
      <c r="J943" s="157">
        <f t="array" ref="J943">_xlfn.XLOOKUP($H943,Data!$E:$E,Data!$G:$G,"Revisar",0)</f>
        <v>0</v>
      </c>
      <c r="K943" s="20"/>
      <c r="L943" s="18"/>
      <c r="M943" s="20"/>
      <c r="N943" s="14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 ht="15" customHeight="1" x14ac:dyDescent="0.3">
      <c r="A944" s="13"/>
      <c r="B944" s="14"/>
      <c r="C944" s="15"/>
      <c r="D944" s="17"/>
      <c r="E944" s="14"/>
      <c r="F944" s="18"/>
      <c r="G944" s="12" t="str">
        <f>IFERROR(VLOOKUP(D944,Data!$A:$B,2,0),"Revisar")</f>
        <v>Revisar</v>
      </c>
      <c r="H944" s="20"/>
      <c r="I944" s="157">
        <f t="array" ref="I944">_xlfn.XLOOKUP($H944,Data!$E:$E,Data!$F:$F,"Revisar",0)</f>
        <v>0</v>
      </c>
      <c r="J944" s="157">
        <f t="array" ref="J944">_xlfn.XLOOKUP($H944,Data!$E:$E,Data!$G:$G,"Revisar",0)</f>
        <v>0</v>
      </c>
      <c r="K944" s="20"/>
      <c r="L944" s="18"/>
      <c r="M944" s="20"/>
      <c r="N944" s="14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 ht="15" customHeight="1" x14ac:dyDescent="0.3">
      <c r="A945" s="13"/>
      <c r="B945" s="14"/>
      <c r="C945" s="15"/>
      <c r="D945" s="17"/>
      <c r="E945" s="14"/>
      <c r="F945" s="18"/>
      <c r="G945" s="12" t="str">
        <f>IFERROR(VLOOKUP(D945,Data!$A:$B,2,0),"Revisar")</f>
        <v>Revisar</v>
      </c>
      <c r="H945" s="20"/>
      <c r="I945" s="157">
        <f t="array" ref="I945">_xlfn.XLOOKUP($H945,Data!$E:$E,Data!$F:$F,"Revisar",0)</f>
        <v>0</v>
      </c>
      <c r="J945" s="157">
        <f t="array" ref="J945">_xlfn.XLOOKUP($H945,Data!$E:$E,Data!$G:$G,"Revisar",0)</f>
        <v>0</v>
      </c>
      <c r="K945" s="20"/>
      <c r="L945" s="18"/>
      <c r="M945" s="20"/>
      <c r="N945" s="14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 ht="15" customHeight="1" x14ac:dyDescent="0.3">
      <c r="A946" s="13"/>
      <c r="B946" s="14"/>
      <c r="C946" s="15"/>
      <c r="D946" s="17"/>
      <c r="E946" s="14"/>
      <c r="F946" s="18"/>
      <c r="G946" s="12" t="str">
        <f>IFERROR(VLOOKUP(D946,Data!$A:$B,2,0),"Revisar")</f>
        <v>Revisar</v>
      </c>
      <c r="H946" s="20"/>
      <c r="I946" s="157">
        <f t="array" ref="I946">_xlfn.XLOOKUP($H946,Data!$E:$E,Data!$F:$F,"Revisar",0)</f>
        <v>0</v>
      </c>
      <c r="J946" s="157">
        <f t="array" ref="J946">_xlfn.XLOOKUP($H946,Data!$E:$E,Data!$G:$G,"Revisar",0)</f>
        <v>0</v>
      </c>
      <c r="K946" s="20"/>
      <c r="L946" s="18"/>
      <c r="M946" s="20"/>
      <c r="N946" s="14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 ht="15" customHeight="1" x14ac:dyDescent="0.3">
      <c r="A947" s="13"/>
      <c r="B947" s="14"/>
      <c r="C947" s="15"/>
      <c r="D947" s="17"/>
      <c r="E947" s="14"/>
      <c r="F947" s="18"/>
      <c r="G947" s="12" t="str">
        <f>IFERROR(VLOOKUP(D947,Data!$A:$B,2,0),"Revisar")</f>
        <v>Revisar</v>
      </c>
      <c r="H947" s="20"/>
      <c r="I947" s="157">
        <f t="array" ref="I947">_xlfn.XLOOKUP($H947,Data!$E:$E,Data!$F:$F,"Revisar",0)</f>
        <v>0</v>
      </c>
      <c r="J947" s="157">
        <f t="array" ref="J947">_xlfn.XLOOKUP($H947,Data!$E:$E,Data!$G:$G,"Revisar",0)</f>
        <v>0</v>
      </c>
      <c r="K947" s="20"/>
      <c r="L947" s="18"/>
      <c r="M947" s="20"/>
      <c r="N947" s="14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 ht="15" customHeight="1" x14ac:dyDescent="0.3">
      <c r="A948" s="13"/>
      <c r="B948" s="14"/>
      <c r="C948" s="15"/>
      <c r="D948" s="17"/>
      <c r="E948" s="14"/>
      <c r="F948" s="18"/>
      <c r="G948" s="12" t="str">
        <f>IFERROR(VLOOKUP(D948,Data!$A:$B,2,0),"Revisar")</f>
        <v>Revisar</v>
      </c>
      <c r="H948" s="20"/>
      <c r="I948" s="157">
        <f t="array" ref="I948">_xlfn.XLOOKUP($H948,Data!$E:$E,Data!$F:$F,"Revisar",0)</f>
        <v>0</v>
      </c>
      <c r="J948" s="157">
        <f t="array" ref="J948">_xlfn.XLOOKUP($H948,Data!$E:$E,Data!$G:$G,"Revisar",0)</f>
        <v>0</v>
      </c>
      <c r="K948" s="20"/>
      <c r="L948" s="18"/>
      <c r="M948" s="20"/>
      <c r="N948" s="14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 ht="15" customHeight="1" x14ac:dyDescent="0.3">
      <c r="A949" s="13"/>
      <c r="B949" s="14"/>
      <c r="C949" s="15"/>
      <c r="D949" s="17"/>
      <c r="E949" s="14"/>
      <c r="F949" s="18"/>
      <c r="G949" s="12" t="str">
        <f>IFERROR(VLOOKUP(D949,Data!$A:$B,2,0),"Revisar")</f>
        <v>Revisar</v>
      </c>
      <c r="H949" s="20"/>
      <c r="I949" s="157">
        <f t="array" ref="I949">_xlfn.XLOOKUP($H949,Data!$E:$E,Data!$F:$F,"Revisar",0)</f>
        <v>0</v>
      </c>
      <c r="J949" s="157">
        <f t="array" ref="J949">_xlfn.XLOOKUP($H949,Data!$E:$E,Data!$G:$G,"Revisar",0)</f>
        <v>0</v>
      </c>
      <c r="K949" s="20"/>
      <c r="L949" s="18"/>
      <c r="M949" s="20"/>
      <c r="N949" s="14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 ht="15" customHeight="1" x14ac:dyDescent="0.3">
      <c r="A950" s="13"/>
      <c r="B950" s="14"/>
      <c r="C950" s="15"/>
      <c r="D950" s="17"/>
      <c r="E950" s="14"/>
      <c r="F950" s="18"/>
      <c r="G950" s="12" t="str">
        <f>IFERROR(VLOOKUP(D950,Data!$A:$B,2,0),"Revisar")</f>
        <v>Revisar</v>
      </c>
      <c r="H950" s="20"/>
      <c r="I950" s="157">
        <f t="array" ref="I950">_xlfn.XLOOKUP($H950,Data!$E:$E,Data!$F:$F,"Revisar",0)</f>
        <v>0</v>
      </c>
      <c r="J950" s="157">
        <f t="array" ref="J950">_xlfn.XLOOKUP($H950,Data!$E:$E,Data!$G:$G,"Revisar",0)</f>
        <v>0</v>
      </c>
      <c r="K950" s="20"/>
      <c r="L950" s="18"/>
      <c r="M950" s="20"/>
      <c r="N950" s="14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 ht="15" customHeight="1" x14ac:dyDescent="0.3">
      <c r="A951" s="13"/>
      <c r="B951" s="14"/>
      <c r="C951" s="15"/>
      <c r="D951" s="17"/>
      <c r="E951" s="14"/>
      <c r="F951" s="18"/>
      <c r="G951" s="12" t="str">
        <f>IFERROR(VLOOKUP(D951,Data!$A:$B,2,0),"Revisar")</f>
        <v>Revisar</v>
      </c>
      <c r="H951" s="20"/>
      <c r="I951" s="157">
        <f t="array" ref="I951">_xlfn.XLOOKUP($H951,Data!$E:$E,Data!$F:$F,"Revisar",0)</f>
        <v>0</v>
      </c>
      <c r="J951" s="157">
        <f t="array" ref="J951">_xlfn.XLOOKUP($H951,Data!$E:$E,Data!$G:$G,"Revisar",0)</f>
        <v>0</v>
      </c>
      <c r="K951" s="20"/>
      <c r="L951" s="18"/>
      <c r="M951" s="20"/>
      <c r="N951" s="14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 ht="15" customHeight="1" x14ac:dyDescent="0.3">
      <c r="A952" s="13"/>
      <c r="B952" s="14"/>
      <c r="C952" s="15"/>
      <c r="D952" s="17"/>
      <c r="E952" s="14"/>
      <c r="F952" s="18"/>
      <c r="G952" s="12" t="str">
        <f>IFERROR(VLOOKUP(D952,Data!$A:$B,2,0),"Revisar")</f>
        <v>Revisar</v>
      </c>
      <c r="H952" s="20"/>
      <c r="I952" s="157">
        <f t="array" ref="I952">_xlfn.XLOOKUP($H952,Data!$E:$E,Data!$F:$F,"Revisar",0)</f>
        <v>0</v>
      </c>
      <c r="J952" s="157">
        <f t="array" ref="J952">_xlfn.XLOOKUP($H952,Data!$E:$E,Data!$G:$G,"Revisar",0)</f>
        <v>0</v>
      </c>
      <c r="K952" s="20"/>
      <c r="L952" s="18"/>
      <c r="M952" s="20"/>
      <c r="N952" s="14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 ht="15" customHeight="1" x14ac:dyDescent="0.3">
      <c r="A953" s="13"/>
      <c r="B953" s="14"/>
      <c r="C953" s="15"/>
      <c r="D953" s="17"/>
      <c r="E953" s="14"/>
      <c r="F953" s="18"/>
      <c r="G953" s="12" t="str">
        <f>IFERROR(VLOOKUP(D953,Data!$A:$B,2,0),"Revisar")</f>
        <v>Revisar</v>
      </c>
      <c r="H953" s="20"/>
      <c r="I953" s="157">
        <f t="array" ref="I953">_xlfn.XLOOKUP($H953,Data!$E:$E,Data!$F:$F,"Revisar",0)</f>
        <v>0</v>
      </c>
      <c r="J953" s="157">
        <f t="array" ref="J953">_xlfn.XLOOKUP($H953,Data!$E:$E,Data!$G:$G,"Revisar",0)</f>
        <v>0</v>
      </c>
      <c r="K953" s="20"/>
      <c r="L953" s="18"/>
      <c r="M953" s="20"/>
      <c r="N953" s="14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 ht="15" customHeight="1" x14ac:dyDescent="0.3">
      <c r="A954" s="13"/>
      <c r="B954" s="14"/>
      <c r="C954" s="15"/>
      <c r="D954" s="17"/>
      <c r="E954" s="14"/>
      <c r="F954" s="18"/>
      <c r="G954" s="12" t="str">
        <f>IFERROR(VLOOKUP(D954,Data!$A:$B,2,0),"Revisar")</f>
        <v>Revisar</v>
      </c>
      <c r="H954" s="20"/>
      <c r="I954" s="157">
        <f t="array" ref="I954">_xlfn.XLOOKUP($H954,Data!$E:$E,Data!$F:$F,"Revisar",0)</f>
        <v>0</v>
      </c>
      <c r="J954" s="157">
        <f t="array" ref="J954">_xlfn.XLOOKUP($H954,Data!$E:$E,Data!$G:$G,"Revisar",0)</f>
        <v>0</v>
      </c>
      <c r="K954" s="20"/>
      <c r="L954" s="18"/>
      <c r="M954" s="20"/>
      <c r="N954" s="14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 ht="15" customHeight="1" x14ac:dyDescent="0.3">
      <c r="A955" s="13"/>
      <c r="B955" s="14"/>
      <c r="C955" s="15"/>
      <c r="D955" s="17"/>
      <c r="E955" s="14"/>
      <c r="F955" s="18"/>
      <c r="G955" s="12" t="str">
        <f>IFERROR(VLOOKUP(D955,Data!$A:$B,2,0),"Revisar")</f>
        <v>Revisar</v>
      </c>
      <c r="H955" s="20"/>
      <c r="I955" s="157">
        <f t="array" ref="I955">_xlfn.XLOOKUP($H955,Data!$E:$E,Data!$F:$F,"Revisar",0)</f>
        <v>0</v>
      </c>
      <c r="J955" s="157">
        <f t="array" ref="J955">_xlfn.XLOOKUP($H955,Data!$E:$E,Data!$G:$G,"Revisar",0)</f>
        <v>0</v>
      </c>
      <c r="K955" s="20"/>
      <c r="L955" s="18"/>
      <c r="M955" s="20"/>
      <c r="N955" s="14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 ht="15" customHeight="1" x14ac:dyDescent="0.3">
      <c r="A956" s="13"/>
      <c r="B956" s="14"/>
      <c r="C956" s="15"/>
      <c r="D956" s="17"/>
      <c r="E956" s="14"/>
      <c r="F956" s="18"/>
      <c r="G956" s="12" t="str">
        <f>IFERROR(VLOOKUP(D956,Data!$A:$B,2,0),"Revisar")</f>
        <v>Revisar</v>
      </c>
      <c r="H956" s="20"/>
      <c r="I956" s="157">
        <f t="array" ref="I956">_xlfn.XLOOKUP($H956,Data!$E:$E,Data!$F:$F,"Revisar",0)</f>
        <v>0</v>
      </c>
      <c r="J956" s="157">
        <f t="array" ref="J956">_xlfn.XLOOKUP($H956,Data!$E:$E,Data!$G:$G,"Revisar",0)</f>
        <v>0</v>
      </c>
      <c r="K956" s="20"/>
      <c r="L956" s="18"/>
      <c r="M956" s="20"/>
      <c r="N956" s="14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 ht="15" customHeight="1" x14ac:dyDescent="0.3">
      <c r="A957" s="13"/>
      <c r="B957" s="14"/>
      <c r="C957" s="15"/>
      <c r="D957" s="17"/>
      <c r="E957" s="14"/>
      <c r="F957" s="18"/>
      <c r="G957" s="12" t="str">
        <f>IFERROR(VLOOKUP(D957,Data!$A:$B,2,0),"Revisar")</f>
        <v>Revisar</v>
      </c>
      <c r="H957" s="20"/>
      <c r="I957" s="157">
        <f t="array" ref="I957">_xlfn.XLOOKUP($H957,Data!$E:$E,Data!$F:$F,"Revisar",0)</f>
        <v>0</v>
      </c>
      <c r="J957" s="157">
        <f t="array" ref="J957">_xlfn.XLOOKUP($H957,Data!$E:$E,Data!$G:$G,"Revisar",0)</f>
        <v>0</v>
      </c>
      <c r="K957" s="20"/>
      <c r="L957" s="18"/>
      <c r="M957" s="20"/>
      <c r="N957" s="14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 ht="15" customHeight="1" x14ac:dyDescent="0.3">
      <c r="A958" s="13"/>
      <c r="B958" s="14"/>
      <c r="C958" s="15"/>
      <c r="D958" s="17"/>
      <c r="E958" s="14"/>
      <c r="F958" s="18"/>
      <c r="G958" s="12" t="str">
        <f>IFERROR(VLOOKUP(D958,Data!$A:$B,2,0),"Revisar")</f>
        <v>Revisar</v>
      </c>
      <c r="H958" s="20"/>
      <c r="I958" s="157">
        <f t="array" ref="I958">_xlfn.XLOOKUP($H958,Data!$E:$E,Data!$F:$F,"Revisar",0)</f>
        <v>0</v>
      </c>
      <c r="J958" s="157">
        <f t="array" ref="J958">_xlfn.XLOOKUP($H958,Data!$E:$E,Data!$G:$G,"Revisar",0)</f>
        <v>0</v>
      </c>
      <c r="K958" s="20"/>
      <c r="L958" s="18"/>
      <c r="M958" s="20"/>
      <c r="N958" s="14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 ht="15" customHeight="1" x14ac:dyDescent="0.3">
      <c r="A959" s="13"/>
      <c r="B959" s="14"/>
      <c r="C959" s="15"/>
      <c r="D959" s="17"/>
      <c r="E959" s="14"/>
      <c r="F959" s="18"/>
      <c r="G959" s="12" t="str">
        <f>IFERROR(VLOOKUP(D959,Data!$A:$B,2,0),"Revisar")</f>
        <v>Revisar</v>
      </c>
      <c r="H959" s="20"/>
      <c r="I959" s="157">
        <f t="array" ref="I959">_xlfn.XLOOKUP($H959,Data!$E:$E,Data!$F:$F,"Revisar",0)</f>
        <v>0</v>
      </c>
      <c r="J959" s="157">
        <f t="array" ref="J959">_xlfn.XLOOKUP($H959,Data!$E:$E,Data!$G:$G,"Revisar",0)</f>
        <v>0</v>
      </c>
      <c r="K959" s="20"/>
      <c r="L959" s="18"/>
      <c r="M959" s="20"/>
      <c r="N959" s="14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 ht="15" customHeight="1" x14ac:dyDescent="0.3">
      <c r="A960" s="13"/>
      <c r="B960" s="14"/>
      <c r="C960" s="15"/>
      <c r="D960" s="17"/>
      <c r="E960" s="14"/>
      <c r="F960" s="18"/>
      <c r="G960" s="12" t="str">
        <f>IFERROR(VLOOKUP(D960,Data!$A:$B,2,0),"Revisar")</f>
        <v>Revisar</v>
      </c>
      <c r="H960" s="20"/>
      <c r="I960" s="157">
        <f t="array" ref="I960">_xlfn.XLOOKUP($H960,Data!$E:$E,Data!$F:$F,"Revisar",0)</f>
        <v>0</v>
      </c>
      <c r="J960" s="157">
        <f t="array" ref="J960">_xlfn.XLOOKUP($H960,Data!$E:$E,Data!$G:$G,"Revisar",0)</f>
        <v>0</v>
      </c>
      <c r="K960" s="20"/>
      <c r="L960" s="18"/>
      <c r="M960" s="20"/>
      <c r="N960" s="14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 ht="15" customHeight="1" x14ac:dyDescent="0.3">
      <c r="A961" s="13"/>
      <c r="B961" s="14"/>
      <c r="C961" s="15"/>
      <c r="D961" s="17"/>
      <c r="E961" s="14"/>
      <c r="F961" s="18"/>
      <c r="G961" s="12" t="str">
        <f>IFERROR(VLOOKUP(D961,Data!$A:$B,2,0),"Revisar")</f>
        <v>Revisar</v>
      </c>
      <c r="H961" s="20"/>
      <c r="I961" s="157">
        <f t="array" ref="I961">_xlfn.XLOOKUP($H961,Data!$E:$E,Data!$F:$F,"Revisar",0)</f>
        <v>0</v>
      </c>
      <c r="J961" s="157">
        <f t="array" ref="J961">_xlfn.XLOOKUP($H961,Data!$E:$E,Data!$G:$G,"Revisar",0)</f>
        <v>0</v>
      </c>
      <c r="K961" s="20"/>
      <c r="L961" s="18"/>
      <c r="M961" s="20"/>
      <c r="N961" s="14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 ht="15" customHeight="1" x14ac:dyDescent="0.3">
      <c r="A962" s="13"/>
      <c r="B962" s="14"/>
      <c r="C962" s="15"/>
      <c r="D962" s="17"/>
      <c r="E962" s="14"/>
      <c r="F962" s="18"/>
      <c r="G962" s="12" t="str">
        <f>IFERROR(VLOOKUP(D962,Data!$A:$B,2,0),"Revisar")</f>
        <v>Revisar</v>
      </c>
      <c r="H962" s="20"/>
      <c r="I962" s="157">
        <f t="array" ref="I962">_xlfn.XLOOKUP($H962,Data!$E:$E,Data!$F:$F,"Revisar",0)</f>
        <v>0</v>
      </c>
      <c r="J962" s="157">
        <f t="array" ref="J962">_xlfn.XLOOKUP($H962,Data!$E:$E,Data!$G:$G,"Revisar",0)</f>
        <v>0</v>
      </c>
      <c r="K962" s="20"/>
      <c r="L962" s="18"/>
      <c r="M962" s="20"/>
      <c r="N962" s="14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 ht="15" customHeight="1" x14ac:dyDescent="0.3">
      <c r="A963" s="13"/>
      <c r="B963" s="14"/>
      <c r="C963" s="15"/>
      <c r="D963" s="17"/>
      <c r="E963" s="14"/>
      <c r="F963" s="18"/>
      <c r="G963" s="12" t="str">
        <f>IFERROR(VLOOKUP(D963,Data!$A:$B,2,0),"Revisar")</f>
        <v>Revisar</v>
      </c>
      <c r="H963" s="20"/>
      <c r="I963" s="157">
        <f t="array" ref="I963">_xlfn.XLOOKUP($H963,Data!$E:$E,Data!$F:$F,"Revisar",0)</f>
        <v>0</v>
      </c>
      <c r="J963" s="157">
        <f t="array" ref="J963">_xlfn.XLOOKUP($H963,Data!$E:$E,Data!$G:$G,"Revisar",0)</f>
        <v>0</v>
      </c>
      <c r="K963" s="20"/>
      <c r="L963" s="18"/>
      <c r="M963" s="20"/>
      <c r="N963" s="14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 ht="15" customHeight="1" x14ac:dyDescent="0.3">
      <c r="A964" s="13"/>
      <c r="B964" s="14"/>
      <c r="C964" s="15"/>
      <c r="D964" s="17"/>
      <c r="E964" s="14"/>
      <c r="F964" s="18"/>
      <c r="G964" s="12" t="str">
        <f>IFERROR(VLOOKUP(D964,Data!$A:$B,2,0),"Revisar")</f>
        <v>Revisar</v>
      </c>
      <c r="H964" s="20"/>
      <c r="I964" s="157">
        <f t="array" ref="I964">_xlfn.XLOOKUP($H964,Data!$E:$E,Data!$F:$F,"Revisar",0)</f>
        <v>0</v>
      </c>
      <c r="J964" s="157">
        <f t="array" ref="J964">_xlfn.XLOOKUP($H964,Data!$E:$E,Data!$G:$G,"Revisar",0)</f>
        <v>0</v>
      </c>
      <c r="K964" s="20"/>
      <c r="L964" s="18"/>
      <c r="M964" s="20"/>
      <c r="N964" s="14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 ht="15" customHeight="1" x14ac:dyDescent="0.3">
      <c r="A965" s="13"/>
      <c r="B965" s="14"/>
      <c r="C965" s="15"/>
      <c r="D965" s="17"/>
      <c r="E965" s="14"/>
      <c r="F965" s="18"/>
      <c r="G965" s="12" t="str">
        <f>IFERROR(VLOOKUP(D965,Data!$A:$B,2,0),"Revisar")</f>
        <v>Revisar</v>
      </c>
      <c r="H965" s="20"/>
      <c r="I965" s="157">
        <f t="array" ref="I965">_xlfn.XLOOKUP($H965,Data!$E:$E,Data!$F:$F,"Revisar",0)</f>
        <v>0</v>
      </c>
      <c r="J965" s="157">
        <f t="array" ref="J965">_xlfn.XLOOKUP($H965,Data!$E:$E,Data!$G:$G,"Revisar",0)</f>
        <v>0</v>
      </c>
      <c r="K965" s="20"/>
      <c r="L965" s="18"/>
      <c r="M965" s="20"/>
      <c r="N965" s="14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 ht="15" customHeight="1" x14ac:dyDescent="0.3">
      <c r="A966" s="13"/>
      <c r="B966" s="14"/>
      <c r="C966" s="15"/>
      <c r="D966" s="17"/>
      <c r="E966" s="14"/>
      <c r="F966" s="18"/>
      <c r="G966" s="12" t="str">
        <f>IFERROR(VLOOKUP(D966,Data!$A:$B,2,0),"Revisar")</f>
        <v>Revisar</v>
      </c>
      <c r="H966" s="20"/>
      <c r="I966" s="157">
        <f t="array" ref="I966">_xlfn.XLOOKUP($H966,Data!$E:$E,Data!$F:$F,"Revisar",0)</f>
        <v>0</v>
      </c>
      <c r="J966" s="157">
        <f t="array" ref="J966">_xlfn.XLOOKUP($H966,Data!$E:$E,Data!$G:$G,"Revisar",0)</f>
        <v>0</v>
      </c>
      <c r="K966" s="20"/>
      <c r="L966" s="18"/>
      <c r="M966" s="20"/>
      <c r="N966" s="14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 ht="15" customHeight="1" x14ac:dyDescent="0.3">
      <c r="A967" s="13"/>
      <c r="B967" s="14"/>
      <c r="C967" s="15"/>
      <c r="D967" s="17"/>
      <c r="E967" s="14"/>
      <c r="F967" s="18"/>
      <c r="G967" s="12" t="str">
        <f>IFERROR(VLOOKUP(D967,Data!$A:$B,2,0),"Revisar")</f>
        <v>Revisar</v>
      </c>
      <c r="H967" s="20"/>
      <c r="I967" s="157">
        <f t="array" ref="I967">_xlfn.XLOOKUP($H967,Data!$E:$E,Data!$F:$F,"Revisar",0)</f>
        <v>0</v>
      </c>
      <c r="J967" s="157">
        <f t="array" ref="J967">_xlfn.XLOOKUP($H967,Data!$E:$E,Data!$G:$G,"Revisar",0)</f>
        <v>0</v>
      </c>
      <c r="K967" s="20"/>
      <c r="L967" s="18"/>
      <c r="M967" s="20"/>
      <c r="N967" s="14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 ht="15" customHeight="1" x14ac:dyDescent="0.3">
      <c r="A968" s="13"/>
      <c r="B968" s="14"/>
      <c r="C968" s="15"/>
      <c r="D968" s="17"/>
      <c r="E968" s="14"/>
      <c r="F968" s="18"/>
      <c r="G968" s="12" t="str">
        <f>IFERROR(VLOOKUP(D968,Data!$A:$B,2,0),"Revisar")</f>
        <v>Revisar</v>
      </c>
      <c r="H968" s="20"/>
      <c r="I968" s="157">
        <f t="array" ref="I968">_xlfn.XLOOKUP($H968,Data!$E:$E,Data!$F:$F,"Revisar",0)</f>
        <v>0</v>
      </c>
      <c r="J968" s="157">
        <f t="array" ref="J968">_xlfn.XLOOKUP($H968,Data!$E:$E,Data!$G:$G,"Revisar",0)</f>
        <v>0</v>
      </c>
      <c r="K968" s="20"/>
      <c r="L968" s="18"/>
      <c r="M968" s="20"/>
      <c r="N968" s="14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 ht="15" customHeight="1" x14ac:dyDescent="0.3">
      <c r="A969" s="13"/>
      <c r="B969" s="14"/>
      <c r="C969" s="15"/>
      <c r="D969" s="17"/>
      <c r="E969" s="14"/>
      <c r="F969" s="18"/>
      <c r="G969" s="12" t="str">
        <f>IFERROR(VLOOKUP(D969,Data!$A:$B,2,0),"Revisar")</f>
        <v>Revisar</v>
      </c>
      <c r="H969" s="20"/>
      <c r="I969" s="157">
        <f t="array" ref="I969">_xlfn.XLOOKUP($H969,Data!$E:$E,Data!$F:$F,"Revisar",0)</f>
        <v>0</v>
      </c>
      <c r="J969" s="157">
        <f t="array" ref="J969">_xlfn.XLOOKUP($H969,Data!$E:$E,Data!$G:$G,"Revisar",0)</f>
        <v>0</v>
      </c>
      <c r="K969" s="20"/>
      <c r="L969" s="18"/>
      <c r="M969" s="20"/>
      <c r="N969" s="14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 ht="15" customHeight="1" x14ac:dyDescent="0.3">
      <c r="A970" s="13"/>
      <c r="B970" s="14"/>
      <c r="C970" s="15"/>
      <c r="D970" s="17"/>
      <c r="E970" s="14"/>
      <c r="F970" s="18"/>
      <c r="G970" s="12" t="str">
        <f>IFERROR(VLOOKUP(D970,Data!$A:$B,2,0),"Revisar")</f>
        <v>Revisar</v>
      </c>
      <c r="H970" s="20"/>
      <c r="I970" s="157">
        <f t="array" ref="I970">_xlfn.XLOOKUP($H970,Data!$E:$E,Data!$F:$F,"Revisar",0)</f>
        <v>0</v>
      </c>
      <c r="J970" s="157">
        <f t="array" ref="J970">_xlfn.XLOOKUP($H970,Data!$E:$E,Data!$G:$G,"Revisar",0)</f>
        <v>0</v>
      </c>
      <c r="K970" s="20"/>
      <c r="L970" s="18"/>
      <c r="M970" s="20"/>
      <c r="N970" s="14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 ht="15" customHeight="1" x14ac:dyDescent="0.3">
      <c r="A971" s="13"/>
      <c r="B971" s="14"/>
      <c r="C971" s="15"/>
      <c r="D971" s="17"/>
      <c r="E971" s="14"/>
      <c r="F971" s="18"/>
      <c r="G971" s="12" t="str">
        <f>IFERROR(VLOOKUP(D971,Data!$A:$B,2,0),"Revisar")</f>
        <v>Revisar</v>
      </c>
      <c r="H971" s="20"/>
      <c r="I971" s="157">
        <f t="array" ref="I971">_xlfn.XLOOKUP($H971,Data!$E:$E,Data!$F:$F,"Revisar",0)</f>
        <v>0</v>
      </c>
      <c r="J971" s="157">
        <f t="array" ref="J971">_xlfn.XLOOKUP($H971,Data!$E:$E,Data!$G:$G,"Revisar",0)</f>
        <v>0</v>
      </c>
      <c r="K971" s="20"/>
      <c r="L971" s="18"/>
      <c r="M971" s="20"/>
      <c r="N971" s="14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 ht="15" customHeight="1" x14ac:dyDescent="0.3">
      <c r="A972" s="13"/>
      <c r="B972" s="14"/>
      <c r="C972" s="15"/>
      <c r="D972" s="17"/>
      <c r="E972" s="14"/>
      <c r="F972" s="18"/>
      <c r="G972" s="12" t="str">
        <f>IFERROR(VLOOKUP(D972,Data!$A:$B,2,0),"Revisar")</f>
        <v>Revisar</v>
      </c>
      <c r="H972" s="20"/>
      <c r="I972" s="157">
        <f t="array" ref="I972">_xlfn.XLOOKUP($H972,Data!$E:$E,Data!$F:$F,"Revisar",0)</f>
        <v>0</v>
      </c>
      <c r="J972" s="157">
        <f t="array" ref="J972">_xlfn.XLOOKUP($H972,Data!$E:$E,Data!$G:$G,"Revisar",0)</f>
        <v>0</v>
      </c>
      <c r="K972" s="20"/>
      <c r="L972" s="18"/>
      <c r="M972" s="20"/>
      <c r="N972" s="14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 ht="15" customHeight="1" x14ac:dyDescent="0.3">
      <c r="A973" s="13"/>
      <c r="B973" s="14"/>
      <c r="C973" s="15"/>
      <c r="D973" s="17"/>
      <c r="E973" s="14"/>
      <c r="F973" s="18"/>
      <c r="G973" s="12" t="str">
        <f>IFERROR(VLOOKUP(D973,Data!$A:$B,2,0),"Revisar")</f>
        <v>Revisar</v>
      </c>
      <c r="H973" s="20"/>
      <c r="I973" s="157">
        <f t="array" ref="I973">_xlfn.XLOOKUP($H973,Data!$E:$E,Data!$F:$F,"Revisar",0)</f>
        <v>0</v>
      </c>
      <c r="J973" s="157">
        <f t="array" ref="J973">_xlfn.XLOOKUP($H973,Data!$E:$E,Data!$G:$G,"Revisar",0)</f>
        <v>0</v>
      </c>
      <c r="K973" s="20"/>
      <c r="L973" s="18"/>
      <c r="M973" s="20"/>
      <c r="N973" s="14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 ht="15" customHeight="1" x14ac:dyDescent="0.3">
      <c r="A974" s="13"/>
      <c r="B974" s="14"/>
      <c r="C974" s="15"/>
      <c r="D974" s="17"/>
      <c r="E974" s="14"/>
      <c r="F974" s="18"/>
      <c r="G974" s="12" t="str">
        <f>IFERROR(VLOOKUP(D974,Data!$A:$B,2,0),"Revisar")</f>
        <v>Revisar</v>
      </c>
      <c r="H974" s="20"/>
      <c r="I974" s="157">
        <f t="array" ref="I974">_xlfn.XLOOKUP($H974,Data!$E:$E,Data!$F:$F,"Revisar",0)</f>
        <v>0</v>
      </c>
      <c r="J974" s="157">
        <f t="array" ref="J974">_xlfn.XLOOKUP($H974,Data!$E:$E,Data!$G:$G,"Revisar",0)</f>
        <v>0</v>
      </c>
      <c r="K974" s="20"/>
      <c r="L974" s="18"/>
      <c r="M974" s="20"/>
      <c r="N974" s="14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 ht="15" customHeight="1" x14ac:dyDescent="0.3">
      <c r="A975" s="13"/>
      <c r="B975" s="14"/>
      <c r="C975" s="15"/>
      <c r="D975" s="17"/>
      <c r="E975" s="14"/>
      <c r="F975" s="18"/>
      <c r="G975" s="12" t="str">
        <f>IFERROR(VLOOKUP(D975,Data!$A:$B,2,0),"Revisar")</f>
        <v>Revisar</v>
      </c>
      <c r="H975" s="20"/>
      <c r="I975" s="157">
        <f t="array" ref="I975">_xlfn.XLOOKUP($H975,Data!$E:$E,Data!$F:$F,"Revisar",0)</f>
        <v>0</v>
      </c>
      <c r="J975" s="157">
        <f t="array" ref="J975">_xlfn.XLOOKUP($H975,Data!$E:$E,Data!$G:$G,"Revisar",0)</f>
        <v>0</v>
      </c>
      <c r="K975" s="20"/>
      <c r="L975" s="18"/>
      <c r="M975" s="20"/>
      <c r="N975" s="14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 ht="15" customHeight="1" x14ac:dyDescent="0.3">
      <c r="A976" s="13"/>
      <c r="B976" s="14"/>
      <c r="C976" s="15"/>
      <c r="D976" s="17"/>
      <c r="E976" s="14"/>
      <c r="F976" s="18"/>
      <c r="G976" s="12" t="str">
        <f>IFERROR(VLOOKUP(D976,Data!$A:$B,2,0),"Revisar")</f>
        <v>Revisar</v>
      </c>
      <c r="H976" s="20"/>
      <c r="I976" s="157">
        <f t="array" ref="I976">_xlfn.XLOOKUP($H976,Data!$E:$E,Data!$F:$F,"Revisar",0)</f>
        <v>0</v>
      </c>
      <c r="J976" s="157">
        <f t="array" ref="J976">_xlfn.XLOOKUP($H976,Data!$E:$E,Data!$G:$G,"Revisar",0)</f>
        <v>0</v>
      </c>
      <c r="K976" s="20"/>
      <c r="L976" s="18"/>
      <c r="M976" s="20"/>
      <c r="N976" s="14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spans="1:28" ht="15" customHeight="1" x14ac:dyDescent="0.3">
      <c r="A977" s="13"/>
      <c r="B977" s="14"/>
      <c r="C977" s="15"/>
      <c r="D977" s="17"/>
      <c r="E977" s="14"/>
      <c r="F977" s="18"/>
      <c r="G977" s="12" t="str">
        <f>IFERROR(VLOOKUP(D977,Data!$A:$B,2,0),"Revisar")</f>
        <v>Revisar</v>
      </c>
      <c r="H977" s="20"/>
      <c r="I977" s="157">
        <f t="array" ref="I977">_xlfn.XLOOKUP($H977,Data!$E:$E,Data!$F:$F,"Revisar",0)</f>
        <v>0</v>
      </c>
      <c r="J977" s="157">
        <f t="array" ref="J977">_xlfn.XLOOKUP($H977,Data!$E:$E,Data!$G:$G,"Revisar",0)</f>
        <v>0</v>
      </c>
      <c r="K977" s="20"/>
      <c r="L977" s="18"/>
      <c r="M977" s="20"/>
      <c r="N977" s="14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spans="1:28" ht="15" customHeight="1" x14ac:dyDescent="0.3">
      <c r="A978" s="13"/>
      <c r="B978" s="14"/>
      <c r="C978" s="15"/>
      <c r="D978" s="17"/>
      <c r="E978" s="14"/>
      <c r="F978" s="18"/>
      <c r="G978" s="12" t="str">
        <f>IFERROR(VLOOKUP(D978,Data!$A:$B,2,0),"Revisar")</f>
        <v>Revisar</v>
      </c>
      <c r="H978" s="20"/>
      <c r="I978" s="157">
        <f t="array" ref="I978">_xlfn.XLOOKUP($H978,Data!$E:$E,Data!$F:$F,"Revisar",0)</f>
        <v>0</v>
      </c>
      <c r="J978" s="157">
        <f t="array" ref="J978">_xlfn.XLOOKUP($H978,Data!$E:$E,Data!$G:$G,"Revisar",0)</f>
        <v>0</v>
      </c>
      <c r="K978" s="20"/>
      <c r="L978" s="18"/>
      <c r="M978" s="20"/>
      <c r="N978" s="14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spans="1:28" ht="15" customHeight="1" x14ac:dyDescent="0.3">
      <c r="A979" s="13"/>
      <c r="B979" s="14"/>
      <c r="C979" s="15"/>
      <c r="D979" s="17"/>
      <c r="E979" s="14"/>
      <c r="F979" s="18"/>
      <c r="G979" s="12" t="str">
        <f>IFERROR(VLOOKUP(D979,Data!$A:$B,2,0),"Revisar")</f>
        <v>Revisar</v>
      </c>
      <c r="H979" s="20"/>
      <c r="I979" s="157">
        <f t="array" ref="I979">_xlfn.XLOOKUP($H979,Data!$E:$E,Data!$F:$F,"Revisar",0)</f>
        <v>0</v>
      </c>
      <c r="J979" s="157">
        <f t="array" ref="J979">_xlfn.XLOOKUP($H979,Data!$E:$E,Data!$G:$G,"Revisar",0)</f>
        <v>0</v>
      </c>
      <c r="K979" s="20"/>
      <c r="L979" s="18"/>
      <c r="M979" s="20"/>
      <c r="N979" s="14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spans="1:28" ht="15" customHeight="1" x14ac:dyDescent="0.3">
      <c r="A980" s="13"/>
      <c r="B980" s="14"/>
      <c r="C980" s="15"/>
      <c r="D980" s="17"/>
      <c r="E980" s="14"/>
      <c r="F980" s="18"/>
      <c r="G980" s="12" t="str">
        <f>IFERROR(VLOOKUP(D980,Data!$A:$B,2,0),"Revisar")</f>
        <v>Revisar</v>
      </c>
      <c r="H980" s="20"/>
      <c r="I980" s="157">
        <f t="array" ref="I980">_xlfn.XLOOKUP($H980,Data!$E:$E,Data!$F:$F,"Revisar",0)</f>
        <v>0</v>
      </c>
      <c r="J980" s="157">
        <f t="array" ref="J980">_xlfn.XLOOKUP($H980,Data!$E:$E,Data!$G:$G,"Revisar",0)</f>
        <v>0</v>
      </c>
      <c r="K980" s="20"/>
      <c r="L980" s="18"/>
      <c r="M980" s="20"/>
      <c r="N980" s="14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spans="1:28" ht="15" customHeight="1" x14ac:dyDescent="0.3">
      <c r="A981" s="13"/>
      <c r="B981" s="14"/>
      <c r="C981" s="15"/>
      <c r="D981" s="17"/>
      <c r="E981" s="14"/>
      <c r="F981" s="18"/>
      <c r="G981" s="12" t="str">
        <f>IFERROR(VLOOKUP(D981,Data!$A:$B,2,0),"Revisar")</f>
        <v>Revisar</v>
      </c>
      <c r="H981" s="20"/>
      <c r="I981" s="157">
        <f t="array" ref="I981">_xlfn.XLOOKUP($H981,Data!$E:$E,Data!$F:$F,"Revisar",0)</f>
        <v>0</v>
      </c>
      <c r="J981" s="157">
        <f t="array" ref="J981">_xlfn.XLOOKUP($H981,Data!$E:$E,Data!$G:$G,"Revisar",0)</f>
        <v>0</v>
      </c>
      <c r="K981" s="20"/>
      <c r="L981" s="18"/>
      <c r="M981" s="20"/>
      <c r="N981" s="14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spans="1:28" ht="15" customHeight="1" x14ac:dyDescent="0.3">
      <c r="A982" s="13"/>
      <c r="B982" s="14"/>
      <c r="C982" s="15"/>
      <c r="D982" s="17"/>
      <c r="E982" s="14"/>
      <c r="F982" s="18"/>
      <c r="G982" s="12" t="str">
        <f>IFERROR(VLOOKUP(D982,Data!$A:$B,2,0),"Revisar")</f>
        <v>Revisar</v>
      </c>
      <c r="H982" s="20"/>
      <c r="I982" s="157">
        <f t="array" ref="I982">_xlfn.XLOOKUP($H982,Data!$E:$E,Data!$F:$F,"Revisar",0)</f>
        <v>0</v>
      </c>
      <c r="J982" s="157">
        <f t="array" ref="J982">_xlfn.XLOOKUP($H982,Data!$E:$E,Data!$G:$G,"Revisar",0)</f>
        <v>0</v>
      </c>
      <c r="K982" s="20"/>
      <c r="L982" s="18"/>
      <c r="M982" s="20"/>
      <c r="N982" s="14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spans="1:28" ht="15" customHeight="1" x14ac:dyDescent="0.3">
      <c r="A983" s="13"/>
      <c r="B983" s="14"/>
      <c r="C983" s="15"/>
      <c r="D983" s="17"/>
      <c r="E983" s="14"/>
      <c r="F983" s="18"/>
      <c r="G983" s="12" t="str">
        <f>IFERROR(VLOOKUP(D983,Data!$A:$B,2,0),"Revisar")</f>
        <v>Revisar</v>
      </c>
      <c r="H983" s="20"/>
      <c r="I983" s="157">
        <f t="array" ref="I983">_xlfn.XLOOKUP($H983,Data!$E:$E,Data!$F:$F,"Revisar",0)</f>
        <v>0</v>
      </c>
      <c r="J983" s="157">
        <f t="array" ref="J983">_xlfn.XLOOKUP($H983,Data!$E:$E,Data!$G:$G,"Revisar",0)</f>
        <v>0</v>
      </c>
      <c r="K983" s="20"/>
      <c r="L983" s="18"/>
      <c r="M983" s="20"/>
      <c r="N983" s="14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spans="1:28" ht="15" customHeight="1" x14ac:dyDescent="0.3">
      <c r="A984" s="13"/>
      <c r="B984" s="14"/>
      <c r="C984" s="15"/>
      <c r="D984" s="17"/>
      <c r="E984" s="14"/>
      <c r="F984" s="18"/>
      <c r="G984" s="12" t="str">
        <f>IFERROR(VLOOKUP(D984,Data!$A:$B,2,0),"Revisar")</f>
        <v>Revisar</v>
      </c>
      <c r="H984" s="20"/>
      <c r="I984" s="157">
        <f t="array" ref="I984">_xlfn.XLOOKUP($H984,Data!$E:$E,Data!$F:$F,"Revisar",0)</f>
        <v>0</v>
      </c>
      <c r="J984" s="157">
        <f t="array" ref="J984">_xlfn.XLOOKUP($H984,Data!$E:$E,Data!$G:$G,"Revisar",0)</f>
        <v>0</v>
      </c>
      <c r="K984" s="20"/>
      <c r="L984" s="18"/>
      <c r="M984" s="20"/>
      <c r="N984" s="14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spans="1:28" ht="15" customHeight="1" x14ac:dyDescent="0.3">
      <c r="A985" s="13"/>
      <c r="B985" s="14"/>
      <c r="C985" s="15"/>
      <c r="D985" s="17"/>
      <c r="E985" s="14"/>
      <c r="F985" s="18"/>
      <c r="G985" s="12" t="str">
        <f>IFERROR(VLOOKUP(D985,Data!$A:$B,2,0),"Revisar")</f>
        <v>Revisar</v>
      </c>
      <c r="H985" s="20"/>
      <c r="I985" s="157">
        <f t="array" ref="I985">_xlfn.XLOOKUP($H985,Data!$E:$E,Data!$F:$F,"Revisar",0)</f>
        <v>0</v>
      </c>
      <c r="J985" s="157">
        <f t="array" ref="J985">_xlfn.XLOOKUP($H985,Data!$E:$E,Data!$G:$G,"Revisar",0)</f>
        <v>0</v>
      </c>
      <c r="K985" s="20"/>
      <c r="L985" s="18"/>
      <c r="M985" s="20"/>
      <c r="N985" s="14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spans="1:28" ht="15" customHeight="1" x14ac:dyDescent="0.3">
      <c r="A986" s="13"/>
      <c r="B986" s="14"/>
      <c r="C986" s="15"/>
      <c r="D986" s="17"/>
      <c r="E986" s="14"/>
      <c r="F986" s="18"/>
      <c r="G986" s="12" t="str">
        <f>IFERROR(VLOOKUP(D986,Data!$A:$B,2,0),"Revisar")</f>
        <v>Revisar</v>
      </c>
      <c r="H986" s="20"/>
      <c r="I986" s="157">
        <f t="array" ref="I986">_xlfn.XLOOKUP($H986,Data!$E:$E,Data!$F:$F,"Revisar",0)</f>
        <v>0</v>
      </c>
      <c r="J986" s="157">
        <f t="array" ref="J986">_xlfn.XLOOKUP($H986,Data!$E:$E,Data!$G:$G,"Revisar",0)</f>
        <v>0</v>
      </c>
      <c r="K986" s="20"/>
      <c r="L986" s="18"/>
      <c r="M986" s="20"/>
      <c r="N986" s="14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spans="1:28" ht="15" customHeight="1" x14ac:dyDescent="0.3">
      <c r="A987" s="13"/>
      <c r="B987" s="14"/>
      <c r="C987" s="15"/>
      <c r="D987" s="17"/>
      <c r="E987" s="14"/>
      <c r="F987" s="18"/>
      <c r="G987" s="12" t="str">
        <f>IFERROR(VLOOKUP(D987,Data!$A:$B,2,0),"Revisar")</f>
        <v>Revisar</v>
      </c>
      <c r="H987" s="20"/>
      <c r="I987" s="157">
        <f t="array" ref="I987">_xlfn.XLOOKUP($H987,Data!$E:$E,Data!$F:$F,"Revisar",0)</f>
        <v>0</v>
      </c>
      <c r="J987" s="157">
        <f t="array" ref="J987">_xlfn.XLOOKUP($H987,Data!$E:$E,Data!$G:$G,"Revisar",0)</f>
        <v>0</v>
      </c>
      <c r="K987" s="20"/>
      <c r="L987" s="18"/>
      <c r="M987" s="20"/>
      <c r="N987" s="14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spans="1:28" ht="15" customHeight="1" x14ac:dyDescent="0.3">
      <c r="A988" s="13"/>
      <c r="B988" s="14"/>
      <c r="C988" s="15"/>
      <c r="D988" s="17"/>
      <c r="E988" s="14"/>
      <c r="F988" s="18"/>
      <c r="G988" s="12" t="str">
        <f>IFERROR(VLOOKUP(D988,Data!$A:$B,2,0),"Revisar")</f>
        <v>Revisar</v>
      </c>
      <c r="H988" s="20"/>
      <c r="I988" s="157">
        <f t="array" ref="I988">_xlfn.XLOOKUP($H988,Data!$E:$E,Data!$F:$F,"Revisar",0)</f>
        <v>0</v>
      </c>
      <c r="J988" s="157">
        <f t="array" ref="J988">_xlfn.XLOOKUP($H988,Data!$E:$E,Data!$G:$G,"Revisar",0)</f>
        <v>0</v>
      </c>
      <c r="K988" s="20"/>
      <c r="L988" s="18"/>
      <c r="M988" s="20"/>
      <c r="N988" s="14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spans="1:28" ht="15" customHeight="1" x14ac:dyDescent="0.3">
      <c r="A989" s="13"/>
      <c r="B989" s="14"/>
      <c r="C989" s="15"/>
      <c r="D989" s="17"/>
      <c r="E989" s="14"/>
      <c r="F989" s="18"/>
      <c r="G989" s="12" t="str">
        <f>IFERROR(VLOOKUP(D989,Data!$A:$B,2,0),"Revisar")</f>
        <v>Revisar</v>
      </c>
      <c r="H989" s="20"/>
      <c r="I989" s="157">
        <f t="array" ref="I989">_xlfn.XLOOKUP($H989,Data!$E:$E,Data!$F:$F,"Revisar",0)</f>
        <v>0</v>
      </c>
      <c r="J989" s="157">
        <f t="array" ref="J989">_xlfn.XLOOKUP($H989,Data!$E:$E,Data!$G:$G,"Revisar",0)</f>
        <v>0</v>
      </c>
      <c r="K989" s="20"/>
      <c r="L989" s="18"/>
      <c r="M989" s="20"/>
      <c r="N989" s="14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spans="1:28" ht="15" customHeight="1" x14ac:dyDescent="0.3">
      <c r="A990" s="13"/>
      <c r="B990" s="14"/>
      <c r="C990" s="15"/>
      <c r="D990" s="17"/>
      <c r="E990" s="14"/>
      <c r="F990" s="18"/>
      <c r="G990" s="12" t="str">
        <f>IFERROR(VLOOKUP(D990,Data!$A:$B,2,0),"Revisar")</f>
        <v>Revisar</v>
      </c>
      <c r="H990" s="20"/>
      <c r="I990" s="157">
        <f t="array" ref="I990">_xlfn.XLOOKUP($H990,Data!$E:$E,Data!$F:$F,"Revisar",0)</f>
        <v>0</v>
      </c>
      <c r="J990" s="157">
        <f t="array" ref="J990">_xlfn.XLOOKUP($H990,Data!$E:$E,Data!$G:$G,"Revisar",0)</f>
        <v>0</v>
      </c>
      <c r="K990" s="20"/>
      <c r="L990" s="18"/>
      <c r="M990" s="20"/>
      <c r="N990" s="14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spans="1:28" ht="15" customHeight="1" x14ac:dyDescent="0.3">
      <c r="A991" s="13"/>
      <c r="B991" s="14"/>
      <c r="C991" s="15"/>
      <c r="D991" s="17"/>
      <c r="E991" s="14"/>
      <c r="F991" s="18"/>
      <c r="G991" s="12" t="str">
        <f>IFERROR(VLOOKUP(D991,Data!$A:$B,2,0),"Revisar")</f>
        <v>Revisar</v>
      </c>
      <c r="H991" s="20"/>
      <c r="I991" s="157">
        <f t="array" ref="I991">_xlfn.XLOOKUP($H991,Data!$E:$E,Data!$F:$F,"Revisar",0)</f>
        <v>0</v>
      </c>
      <c r="J991" s="157">
        <f t="array" ref="J991">_xlfn.XLOOKUP($H991,Data!$E:$E,Data!$G:$G,"Revisar",0)</f>
        <v>0</v>
      </c>
      <c r="K991" s="20"/>
      <c r="L991" s="18"/>
      <c r="M991" s="20"/>
      <c r="N991" s="14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spans="1:28" ht="15" customHeight="1" x14ac:dyDescent="0.3">
      <c r="A992" s="13"/>
      <c r="B992" s="14"/>
      <c r="C992" s="15"/>
      <c r="D992" s="17"/>
      <c r="E992" s="14"/>
      <c r="F992" s="18"/>
      <c r="G992" s="12" t="str">
        <f>IFERROR(VLOOKUP(D992,Data!$A:$B,2,0),"Revisar")</f>
        <v>Revisar</v>
      </c>
      <c r="H992" s="20"/>
      <c r="I992" s="157">
        <f t="array" ref="I992">_xlfn.XLOOKUP($H992,Data!$E:$E,Data!$F:$F,"Revisar",0)</f>
        <v>0</v>
      </c>
      <c r="J992" s="157">
        <f t="array" ref="J992">_xlfn.XLOOKUP($H992,Data!$E:$E,Data!$G:$G,"Revisar",0)</f>
        <v>0</v>
      </c>
      <c r="K992" s="20"/>
      <c r="L992" s="18"/>
      <c r="M992" s="20"/>
      <c r="N992" s="14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spans="1:28" ht="15" customHeight="1" x14ac:dyDescent="0.3">
      <c r="A993" s="13"/>
      <c r="B993" s="14"/>
      <c r="C993" s="15"/>
      <c r="D993" s="17"/>
      <c r="E993" s="14"/>
      <c r="F993" s="18"/>
      <c r="G993" s="12" t="str">
        <f>IFERROR(VLOOKUP(D993,Data!$A:$B,2,0),"Revisar")</f>
        <v>Revisar</v>
      </c>
      <c r="H993" s="20"/>
      <c r="I993" s="157">
        <f t="array" ref="I993">_xlfn.XLOOKUP($H993,Data!$E:$E,Data!$F:$F,"Revisar",0)</f>
        <v>0</v>
      </c>
      <c r="J993" s="157">
        <f t="array" ref="J993">_xlfn.XLOOKUP($H993,Data!$E:$E,Data!$G:$G,"Revisar",0)</f>
        <v>0</v>
      </c>
      <c r="K993" s="20"/>
      <c r="L993" s="18"/>
      <c r="M993" s="20"/>
      <c r="N993" s="14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spans="1:28" ht="15" customHeight="1" x14ac:dyDescent="0.3">
      <c r="A994" s="13"/>
      <c r="B994" s="14"/>
      <c r="C994" s="15"/>
      <c r="D994" s="17"/>
      <c r="E994" s="14"/>
      <c r="F994" s="18"/>
      <c r="G994" s="12" t="str">
        <f>IFERROR(VLOOKUP(D994,Data!$A:$B,2,0),"Revisar")</f>
        <v>Revisar</v>
      </c>
      <c r="H994" s="20"/>
      <c r="I994" s="157">
        <f t="array" ref="I994">_xlfn.XLOOKUP($H994,Data!$E:$E,Data!$F:$F,"Revisar",0)</f>
        <v>0</v>
      </c>
      <c r="J994" s="157">
        <f t="array" ref="J994">_xlfn.XLOOKUP($H994,Data!$E:$E,Data!$G:$G,"Revisar",0)</f>
        <v>0</v>
      </c>
      <c r="K994" s="20"/>
      <c r="L994" s="18"/>
      <c r="M994" s="20"/>
      <c r="N994" s="14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spans="1:28" ht="15" customHeight="1" x14ac:dyDescent="0.3">
      <c r="A995" s="13"/>
      <c r="B995" s="14"/>
      <c r="C995" s="15"/>
      <c r="D995" s="17"/>
      <c r="E995" s="14"/>
      <c r="F995" s="18"/>
      <c r="G995" s="12" t="str">
        <f>IFERROR(VLOOKUP(D995,Data!$A:$B,2,0),"Revisar")</f>
        <v>Revisar</v>
      </c>
      <c r="H995" s="20"/>
      <c r="I995" s="157">
        <f t="array" ref="I995">_xlfn.XLOOKUP($H995,Data!$E:$E,Data!$F:$F,"Revisar",0)</f>
        <v>0</v>
      </c>
      <c r="J995" s="157">
        <f t="array" ref="J995">_xlfn.XLOOKUP($H995,Data!$E:$E,Data!$G:$G,"Revisar",0)</f>
        <v>0</v>
      </c>
      <c r="K995" s="20"/>
      <c r="L995" s="18"/>
      <c r="M995" s="20"/>
      <c r="N995" s="14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spans="1:28" ht="15" customHeight="1" x14ac:dyDescent="0.3">
      <c r="A996" s="13"/>
      <c r="B996" s="14"/>
      <c r="C996" s="15"/>
      <c r="D996" s="17"/>
      <c r="E996" s="14"/>
      <c r="F996" s="18"/>
      <c r="G996" s="12" t="str">
        <f>IFERROR(VLOOKUP(D996,Data!$A:$B,2,0),"Revisar")</f>
        <v>Revisar</v>
      </c>
      <c r="H996" s="20"/>
      <c r="I996" s="157">
        <f t="array" ref="I996">_xlfn.XLOOKUP($H996,Data!$E:$E,Data!$F:$F,"Revisar",0)</f>
        <v>0</v>
      </c>
      <c r="J996" s="157">
        <f t="array" ref="J996">_xlfn.XLOOKUP($H996,Data!$E:$E,Data!$G:$G,"Revisar",0)</f>
        <v>0</v>
      </c>
      <c r="K996" s="20"/>
      <c r="L996" s="18"/>
      <c r="M996" s="20"/>
      <c r="N996" s="14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spans="1:28" ht="15" customHeight="1" x14ac:dyDescent="0.3">
      <c r="A997" s="13"/>
      <c r="B997" s="14"/>
      <c r="C997" s="15"/>
      <c r="D997" s="17"/>
      <c r="E997" s="14"/>
      <c r="F997" s="18"/>
      <c r="G997" s="12" t="str">
        <f>IFERROR(VLOOKUP(D997,Data!$A:$B,2,0),"Revisar")</f>
        <v>Revisar</v>
      </c>
      <c r="H997" s="20"/>
      <c r="I997" s="157">
        <f t="array" ref="I997">_xlfn.XLOOKUP($H997,Data!$E:$E,Data!$F:$F,"Revisar",0)</f>
        <v>0</v>
      </c>
      <c r="J997" s="157">
        <f t="array" ref="J997">_xlfn.XLOOKUP($H997,Data!$E:$E,Data!$G:$G,"Revisar",0)</f>
        <v>0</v>
      </c>
      <c r="K997" s="20"/>
      <c r="L997" s="18"/>
      <c r="M997" s="20"/>
      <c r="N997" s="14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spans="1:28" ht="15" customHeight="1" x14ac:dyDescent="0.3">
      <c r="A998" s="13"/>
      <c r="B998" s="14"/>
      <c r="C998" s="15"/>
      <c r="D998" s="17"/>
      <c r="E998" s="14"/>
      <c r="F998" s="18"/>
      <c r="G998" s="12" t="str">
        <f>IFERROR(VLOOKUP(D998,Data!$A:$B,2,0),"Revisar")</f>
        <v>Revisar</v>
      </c>
      <c r="H998" s="20"/>
      <c r="I998" s="157">
        <f t="array" ref="I998">_xlfn.XLOOKUP($H998,Data!$E:$E,Data!$F:$F,"Revisar",0)</f>
        <v>0</v>
      </c>
      <c r="J998" s="157">
        <f t="array" ref="J998">_xlfn.XLOOKUP($H998,Data!$E:$E,Data!$G:$G,"Revisar",0)</f>
        <v>0</v>
      </c>
      <c r="K998" s="20"/>
      <c r="L998" s="18"/>
      <c r="M998" s="20"/>
      <c r="N998" s="14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spans="1:28" ht="15" customHeight="1" x14ac:dyDescent="0.3">
      <c r="A999" s="13"/>
      <c r="B999" s="14"/>
      <c r="C999" s="15"/>
      <c r="D999" s="17"/>
      <c r="E999" s="14"/>
      <c r="F999" s="18"/>
      <c r="G999" s="12" t="str">
        <f>IFERROR(VLOOKUP(D999,Data!$A:$B,2,0),"Revisar")</f>
        <v>Revisar</v>
      </c>
      <c r="H999" s="20"/>
      <c r="I999" s="157">
        <f t="array" ref="I999">_xlfn.XLOOKUP($H999,Data!$E:$E,Data!$F:$F,"Revisar",0)</f>
        <v>0</v>
      </c>
      <c r="J999" s="157">
        <f t="array" ref="J999">_xlfn.XLOOKUP($H999,Data!$E:$E,Data!$G:$G,"Revisar",0)</f>
        <v>0</v>
      </c>
      <c r="K999" s="20"/>
      <c r="L999" s="18"/>
      <c r="M999" s="20"/>
      <c r="N999" s="14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spans="1:28" ht="15" customHeight="1" x14ac:dyDescent="0.3">
      <c r="A1000" s="13"/>
      <c r="B1000" s="14"/>
      <c r="C1000" s="15"/>
      <c r="D1000" s="17"/>
      <c r="E1000" s="14"/>
      <c r="F1000" s="18"/>
      <c r="G1000" s="12" t="str">
        <f>IFERROR(VLOOKUP(D1000,Data!$A:$B,2,0),"Revisar")</f>
        <v>Revisar</v>
      </c>
      <c r="H1000" s="20"/>
      <c r="I1000" s="157">
        <f t="array" ref="I1000">_xlfn.XLOOKUP($H1000,Data!$E:$E,Data!$F:$F,"Revisar",0)</f>
        <v>0</v>
      </c>
      <c r="J1000" s="157">
        <f t="array" ref="J1000">_xlfn.XLOOKUP($H1000,Data!$E:$E,Data!$G:$G,"Revisar",0)</f>
        <v>0</v>
      </c>
      <c r="K1000" s="20"/>
      <c r="L1000" s="18"/>
      <c r="M1000" s="20"/>
      <c r="N1000" s="14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 spans="1:28" ht="15" customHeight="1" x14ac:dyDescent="0.3">
      <c r="A1001" s="13"/>
      <c r="B1001" s="14"/>
      <c r="C1001" s="15"/>
      <c r="D1001" s="17"/>
      <c r="E1001" s="14"/>
      <c r="F1001" s="18"/>
      <c r="G1001" s="12" t="str">
        <f>IFERROR(VLOOKUP(D1001,Data!$A:$B,2,0),"Revisar")</f>
        <v>Revisar</v>
      </c>
      <c r="H1001" s="20"/>
      <c r="I1001" s="157">
        <f t="array" ref="I1001">_xlfn.XLOOKUP($H1001,Data!$E:$E,Data!$F:$F,"Revisar",0)</f>
        <v>0</v>
      </c>
      <c r="J1001" s="157">
        <f t="array" ref="J1001">_xlfn.XLOOKUP($H1001,Data!$E:$E,Data!$G:$G,"Revisar",0)</f>
        <v>0</v>
      </c>
      <c r="K1001" s="20"/>
      <c r="L1001" s="18"/>
      <c r="M1001" s="20"/>
      <c r="N1001" s="14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 spans="1:28" ht="15" customHeight="1" x14ac:dyDescent="0.3">
      <c r="A1002" s="13"/>
      <c r="B1002" s="14"/>
      <c r="C1002" s="15"/>
      <c r="D1002" s="17"/>
      <c r="E1002" s="14"/>
      <c r="F1002" s="18"/>
      <c r="G1002" s="12" t="str">
        <f>IFERROR(VLOOKUP(D1002,Data!$A:$B,2,0),"Revisar")</f>
        <v>Revisar</v>
      </c>
      <c r="H1002" s="20"/>
      <c r="I1002" s="157">
        <f t="array" ref="I1002">_xlfn.XLOOKUP($H1002,Data!$E:$E,Data!$F:$F,"Revisar",0)</f>
        <v>0</v>
      </c>
      <c r="J1002" s="157">
        <f t="array" ref="J1002">_xlfn.XLOOKUP($H1002,Data!$E:$E,Data!$G:$G,"Revisar",0)</f>
        <v>0</v>
      </c>
      <c r="K1002" s="20"/>
      <c r="L1002" s="18"/>
      <c r="M1002" s="20"/>
      <c r="N1002" s="14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 spans="1:28" ht="15" customHeight="1" x14ac:dyDescent="0.3">
      <c r="A1003" s="13"/>
      <c r="B1003" s="14"/>
      <c r="C1003" s="15"/>
      <c r="D1003" s="17"/>
      <c r="E1003" s="14"/>
      <c r="F1003" s="18"/>
      <c r="G1003" s="12" t="str">
        <f>IFERROR(VLOOKUP(D1003,Data!$A:$B,2,0),"Revisar")</f>
        <v>Revisar</v>
      </c>
      <c r="H1003" s="20"/>
      <c r="I1003" s="157">
        <f t="array" ref="I1003">_xlfn.XLOOKUP($H1003,Data!$E:$E,Data!$F:$F,"Revisar",0)</f>
        <v>0</v>
      </c>
      <c r="J1003" s="157">
        <f t="array" ref="J1003">_xlfn.XLOOKUP($H1003,Data!$E:$E,Data!$G:$G,"Revisar",0)</f>
        <v>0</v>
      </c>
      <c r="K1003" s="20"/>
      <c r="L1003" s="18"/>
      <c r="M1003" s="20"/>
      <c r="N1003" s="14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 spans="1:28" ht="15" customHeight="1" x14ac:dyDescent="0.3">
      <c r="A1004" s="13"/>
      <c r="B1004" s="14"/>
      <c r="C1004" s="15"/>
      <c r="D1004" s="17"/>
      <c r="E1004" s="14"/>
      <c r="F1004" s="18"/>
      <c r="G1004" s="12" t="str">
        <f>IFERROR(VLOOKUP(D1004,Data!$A:$B,2,0),"Revisar")</f>
        <v>Revisar</v>
      </c>
      <c r="H1004" s="20"/>
      <c r="I1004" s="157">
        <f t="array" ref="I1004">_xlfn.XLOOKUP($H1004,Data!$E:$E,Data!$F:$F,"Revisar",0)</f>
        <v>0</v>
      </c>
      <c r="J1004" s="157">
        <f t="array" ref="J1004">_xlfn.XLOOKUP($H1004,Data!$E:$E,Data!$G:$G,"Revisar",0)</f>
        <v>0</v>
      </c>
      <c r="K1004" s="20"/>
      <c r="L1004" s="18"/>
      <c r="M1004" s="20"/>
      <c r="N1004" s="14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  <row r="1005" spans="1:28" ht="15" customHeight="1" x14ac:dyDescent="0.3">
      <c r="A1005" s="13"/>
      <c r="B1005" s="14"/>
      <c r="C1005" s="15"/>
      <c r="D1005" s="17"/>
      <c r="E1005" s="14"/>
      <c r="F1005" s="18"/>
      <c r="G1005" s="12" t="str">
        <f>IFERROR(VLOOKUP(D1005,Data!$A:$B,2,0),"Revisar")</f>
        <v>Revisar</v>
      </c>
      <c r="H1005" s="20"/>
      <c r="I1005" s="157">
        <f t="array" ref="I1005">_xlfn.XLOOKUP($H1005,Data!$E:$E,Data!$F:$F,"Revisar",0)</f>
        <v>0</v>
      </c>
      <c r="J1005" s="157">
        <f t="array" ref="J1005">_xlfn.XLOOKUP($H1005,Data!$E:$E,Data!$G:$G,"Revisar",0)</f>
        <v>0</v>
      </c>
      <c r="K1005" s="20"/>
      <c r="L1005" s="18"/>
      <c r="M1005" s="20"/>
      <c r="N1005" s="14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</row>
    <row r="1006" spans="1:28" ht="15" customHeight="1" x14ac:dyDescent="0.3">
      <c r="A1006" s="13"/>
      <c r="B1006" s="14"/>
      <c r="C1006" s="15"/>
      <c r="D1006" s="17"/>
      <c r="E1006" s="14"/>
      <c r="F1006" s="18"/>
      <c r="G1006" s="12" t="str">
        <f>IFERROR(VLOOKUP(D1006,Data!$A:$B,2,0),"Revisar")</f>
        <v>Revisar</v>
      </c>
      <c r="H1006" s="20"/>
      <c r="I1006" s="157">
        <f t="array" ref="I1006">_xlfn.XLOOKUP($H1006,Data!$E:$E,Data!$F:$F,"Revisar",0)</f>
        <v>0</v>
      </c>
      <c r="J1006" s="157">
        <f t="array" ref="J1006">_xlfn.XLOOKUP($H1006,Data!$E:$E,Data!$G:$G,"Revisar",0)</f>
        <v>0</v>
      </c>
      <c r="K1006" s="20"/>
      <c r="L1006" s="18"/>
      <c r="M1006" s="20"/>
      <c r="N1006" s="14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</row>
    <row r="1007" spans="1:28" ht="15" customHeight="1" x14ac:dyDescent="0.3">
      <c r="A1007" s="13"/>
      <c r="B1007" s="14"/>
      <c r="C1007" s="15"/>
      <c r="D1007" s="17"/>
      <c r="E1007" s="14"/>
      <c r="F1007" s="18"/>
      <c r="G1007" s="12" t="str">
        <f>IFERROR(VLOOKUP(D1007,Data!$A:$B,2,0),"Revisar")</f>
        <v>Revisar</v>
      </c>
      <c r="H1007" s="20"/>
      <c r="I1007" s="157">
        <f t="array" ref="I1007">_xlfn.XLOOKUP($H1007,Data!$E:$E,Data!$F:$F,"Revisar",0)</f>
        <v>0</v>
      </c>
      <c r="J1007" s="157">
        <f t="array" ref="J1007">_xlfn.XLOOKUP($H1007,Data!$E:$E,Data!$G:$G,"Revisar",0)</f>
        <v>0</v>
      </c>
      <c r="K1007" s="20"/>
      <c r="L1007" s="18"/>
      <c r="M1007" s="20"/>
      <c r="N1007" s="14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</row>
    <row r="1008" spans="1:28" ht="15" customHeight="1" x14ac:dyDescent="0.3">
      <c r="A1008" s="13"/>
      <c r="B1008" s="14"/>
      <c r="C1008" s="15"/>
      <c r="D1008" s="17"/>
      <c r="E1008" s="14"/>
      <c r="F1008" s="18"/>
      <c r="G1008" s="12" t="str">
        <f>IFERROR(VLOOKUP(D1008,Data!$A:$B,2,0),"Revisar")</f>
        <v>Revisar</v>
      </c>
      <c r="H1008" s="20"/>
      <c r="I1008" s="157">
        <f t="array" ref="I1008">_xlfn.XLOOKUP($H1008,Data!$E:$E,Data!$F:$F,"Revisar",0)</f>
        <v>0</v>
      </c>
      <c r="J1008" s="157">
        <f t="array" ref="J1008">_xlfn.XLOOKUP($H1008,Data!$E:$E,Data!$G:$G,"Revisar",0)</f>
        <v>0</v>
      </c>
      <c r="K1008" s="20"/>
      <c r="L1008" s="18"/>
      <c r="M1008" s="20"/>
      <c r="N1008" s="14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</row>
    <row r="1009" spans="1:28" ht="15" customHeight="1" x14ac:dyDescent="0.3">
      <c r="A1009" s="13"/>
      <c r="B1009" s="14"/>
      <c r="C1009" s="15"/>
      <c r="D1009" s="17"/>
      <c r="E1009" s="14"/>
      <c r="F1009" s="18"/>
      <c r="G1009" s="12" t="str">
        <f>IFERROR(VLOOKUP(D1009,Data!$A:$B,2,0),"Revisar")</f>
        <v>Revisar</v>
      </c>
      <c r="H1009" s="20"/>
      <c r="I1009" s="157">
        <f t="array" ref="I1009">_xlfn.XLOOKUP($H1009,Data!$E:$E,Data!$F:$F,"Revisar",0)</f>
        <v>0</v>
      </c>
      <c r="J1009" s="157">
        <f t="array" ref="J1009">_xlfn.XLOOKUP($H1009,Data!$E:$E,Data!$G:$G,"Revisar",0)</f>
        <v>0</v>
      </c>
      <c r="K1009" s="20"/>
      <c r="L1009" s="18"/>
      <c r="M1009" s="20"/>
      <c r="N1009" s="14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</row>
    <row r="1010" spans="1:28" ht="15" customHeight="1" x14ac:dyDescent="0.3">
      <c r="A1010" s="13"/>
      <c r="B1010" s="14"/>
      <c r="C1010" s="15"/>
      <c r="D1010" s="17"/>
      <c r="E1010" s="14"/>
      <c r="F1010" s="18"/>
      <c r="G1010" s="12" t="str">
        <f>IFERROR(VLOOKUP(D1010,Data!$A:$B,2,0),"Revisar")</f>
        <v>Revisar</v>
      </c>
      <c r="H1010" s="20"/>
      <c r="I1010" s="157">
        <f t="array" ref="I1010">_xlfn.XLOOKUP($H1010,Data!$E:$E,Data!$F:$F,"Revisar",0)</f>
        <v>0</v>
      </c>
      <c r="J1010" s="157">
        <f t="array" ref="J1010">_xlfn.XLOOKUP($H1010,Data!$E:$E,Data!$G:$G,"Revisar",0)</f>
        <v>0</v>
      </c>
      <c r="K1010" s="20"/>
      <c r="L1010" s="18"/>
      <c r="M1010" s="20"/>
      <c r="N1010" s="14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</row>
    <row r="1011" spans="1:28" ht="15" customHeight="1" x14ac:dyDescent="0.3">
      <c r="A1011" s="13"/>
      <c r="B1011" s="14"/>
      <c r="C1011" s="15"/>
      <c r="D1011" s="17"/>
      <c r="E1011" s="14"/>
      <c r="F1011" s="18"/>
      <c r="G1011" s="12" t="str">
        <f>IFERROR(VLOOKUP(D1011,Data!$A:$B,2,0),"Revisar")</f>
        <v>Revisar</v>
      </c>
      <c r="H1011" s="20"/>
      <c r="I1011" s="157">
        <f t="array" ref="I1011">_xlfn.XLOOKUP($H1011,Data!$E:$E,Data!$F:$F,"Revisar",0)</f>
        <v>0</v>
      </c>
      <c r="J1011" s="157">
        <f t="array" ref="J1011">_xlfn.XLOOKUP($H1011,Data!$E:$E,Data!$G:$G,"Revisar",0)</f>
        <v>0</v>
      </c>
      <c r="K1011" s="20"/>
      <c r="L1011" s="18"/>
      <c r="M1011" s="20"/>
      <c r="N1011" s="14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</row>
    <row r="1012" spans="1:28" ht="15" customHeight="1" x14ac:dyDescent="0.3">
      <c r="A1012" s="13"/>
      <c r="B1012" s="14"/>
      <c r="C1012" s="15"/>
      <c r="D1012" s="17"/>
      <c r="E1012" s="14"/>
      <c r="F1012" s="18"/>
      <c r="G1012" s="12" t="str">
        <f>IFERROR(VLOOKUP(D1012,Data!$A:$B,2,0),"Revisar")</f>
        <v>Revisar</v>
      </c>
      <c r="H1012" s="20"/>
      <c r="I1012" s="157">
        <f t="array" ref="I1012">_xlfn.XLOOKUP($H1012,Data!$E:$E,Data!$F:$F,"Revisar",0)</f>
        <v>0</v>
      </c>
      <c r="J1012" s="157">
        <f t="array" ref="J1012">_xlfn.XLOOKUP($H1012,Data!$E:$E,Data!$G:$G,"Revisar",0)</f>
        <v>0</v>
      </c>
      <c r="K1012" s="20"/>
      <c r="L1012" s="18"/>
      <c r="M1012" s="20"/>
      <c r="N1012" s="14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</row>
    <row r="1013" spans="1:28" ht="15" customHeight="1" x14ac:dyDescent="0.3">
      <c r="A1013" s="13"/>
      <c r="B1013" s="14"/>
      <c r="C1013" s="15"/>
      <c r="D1013" s="17"/>
      <c r="E1013" s="14"/>
      <c r="F1013" s="18"/>
      <c r="G1013" s="12" t="str">
        <f>IFERROR(VLOOKUP(D1013,Data!$A:$B,2,0),"Revisar")</f>
        <v>Revisar</v>
      </c>
      <c r="H1013" s="20"/>
      <c r="I1013" s="157">
        <f t="array" ref="I1013">_xlfn.XLOOKUP($H1013,Data!$E:$E,Data!$F:$F,"Revisar",0)</f>
        <v>0</v>
      </c>
      <c r="J1013" s="157">
        <f t="array" ref="J1013">_xlfn.XLOOKUP($H1013,Data!$E:$E,Data!$G:$G,"Revisar",0)</f>
        <v>0</v>
      </c>
      <c r="K1013" s="20"/>
      <c r="L1013" s="18"/>
      <c r="M1013" s="20"/>
      <c r="N1013" s="14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</row>
    <row r="1014" spans="1:28" ht="15" customHeight="1" x14ac:dyDescent="0.3">
      <c r="A1014" s="13"/>
      <c r="B1014" s="14"/>
      <c r="C1014" s="15"/>
      <c r="D1014" s="17"/>
      <c r="E1014" s="14"/>
      <c r="F1014" s="18"/>
      <c r="G1014" s="12" t="str">
        <f>IFERROR(VLOOKUP(D1014,Data!$A:$B,2,0),"Revisar")</f>
        <v>Revisar</v>
      </c>
      <c r="H1014" s="20"/>
      <c r="I1014" s="157">
        <f t="array" ref="I1014">_xlfn.XLOOKUP($H1014,Data!$E:$E,Data!$F:$F,"Revisar",0)</f>
        <v>0</v>
      </c>
      <c r="J1014" s="157">
        <f t="array" ref="J1014">_xlfn.XLOOKUP($H1014,Data!$E:$E,Data!$G:$G,"Revisar",0)</f>
        <v>0</v>
      </c>
      <c r="K1014" s="20"/>
      <c r="L1014" s="18"/>
      <c r="M1014" s="20"/>
      <c r="N1014" s="14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</row>
    <row r="1015" spans="1:28" ht="15" customHeight="1" x14ac:dyDescent="0.3">
      <c r="A1015" s="13"/>
      <c r="B1015" s="14"/>
      <c r="C1015" s="15"/>
      <c r="D1015" s="17"/>
      <c r="E1015" s="14"/>
      <c r="F1015" s="18"/>
      <c r="G1015" s="12" t="str">
        <f>IFERROR(VLOOKUP(D1015,Data!$A:$B,2,0),"Revisar")</f>
        <v>Revisar</v>
      </c>
      <c r="H1015" s="20"/>
      <c r="I1015" s="157">
        <f t="array" ref="I1015">_xlfn.XLOOKUP($H1015,Data!$E:$E,Data!$F:$F,"Revisar",0)</f>
        <v>0</v>
      </c>
      <c r="J1015" s="157">
        <f t="array" ref="J1015">_xlfn.XLOOKUP($H1015,Data!$E:$E,Data!$G:$G,"Revisar",0)</f>
        <v>0</v>
      </c>
      <c r="K1015" s="20"/>
      <c r="L1015" s="18"/>
      <c r="M1015" s="20"/>
      <c r="N1015" s="14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</row>
  </sheetData>
  <autoFilter ref="A1:N1015" xr:uid="{00000000-0001-0000-0200-000000000000}"/>
  <conditionalFormatting sqref="I1:I6 H1:H271 L1:L286 J2:J6 I8:J79 I81:J139 I143:J182 I185:J271 H272:J1015 L296:L298 L301:L317 L331:L333 L353:L388 L390:L1015 D1:D1015">
    <cfRule type="cellIs" dxfId="4" priority="1" operator="equal">
      <formula>"Revisar"</formula>
    </cfRule>
  </conditionalFormatting>
  <hyperlinks>
    <hyperlink ref="O1" r:id="rId1" location="gid=527771349" xr:uid="{00000000-0004-0000-0200-000000000000}"/>
    <hyperlink ref="P1" r:id="rId2" location="gid=527771349" xr:uid="{2EB5EAE1-02FA-4800-BFF3-F0ECBD08A8A3}"/>
  </hyperlinks>
  <pageMargins left="0.74791666666666701" right="0.74791666666666701" top="0.98402777777777795" bottom="0.9840277777777779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0000000}">
          <x14:formula1>
            <xm:f>Data!$A$2:$A$28</xm:f>
          </x14:formula1>
          <xm:sqref>D2:D1015</xm:sqref>
        </x14:dataValidation>
        <x14:dataValidation type="list" allowBlank="1" xr:uid="{00000000-0002-0000-0200-000001000000}">
          <x14:formula1>
            <xm:f>Data!$E$2:$E$48</xm:f>
          </x14:formula1>
          <xm:sqref>H2:H1015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14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12.6640625" defaultRowHeight="15" customHeight="1" x14ac:dyDescent="0.3"/>
  <cols>
    <col min="1" max="1" width="2" customWidth="1"/>
    <col min="2" max="2" width="19.6640625" customWidth="1"/>
    <col min="3" max="3" width="11" customWidth="1"/>
    <col min="4" max="4" width="16" customWidth="1"/>
    <col min="5" max="5" width="24" customWidth="1"/>
    <col min="6" max="6" width="34" customWidth="1"/>
    <col min="7" max="7" width="44.33203125" bestFit="1" customWidth="1"/>
    <col min="8" max="8" width="13" customWidth="1"/>
    <col min="9" max="9" width="16" customWidth="1"/>
    <col min="10" max="11" width="14.9140625" customWidth="1"/>
    <col min="12" max="13" width="14" customWidth="1"/>
    <col min="14" max="15" width="11" customWidth="1"/>
    <col min="16" max="16" width="15.4140625" bestFit="1" customWidth="1"/>
    <col min="17" max="18" width="28" customWidth="1"/>
    <col min="19" max="19" width="42" customWidth="1"/>
    <col min="20" max="20" width="7" customWidth="1"/>
    <col min="21" max="22" width="38.9140625" customWidth="1"/>
    <col min="23" max="23" width="8.6640625" customWidth="1"/>
  </cols>
  <sheetData>
    <row r="1" spans="1:27" ht="24" customHeight="1" x14ac:dyDescent="0.3">
      <c r="A1" s="1"/>
      <c r="B1" s="5" t="s">
        <v>96</v>
      </c>
      <c r="C1" s="5"/>
      <c r="D1" s="5"/>
      <c r="E1" s="5"/>
      <c r="F1" s="5">
        <v>3115790113</v>
      </c>
      <c r="G1" s="190" t="s">
        <v>1139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1"/>
      <c r="V1" s="1"/>
      <c r="W1" s="1"/>
      <c r="X1" s="1"/>
      <c r="Y1" s="1"/>
      <c r="Z1" s="1"/>
      <c r="AA1" s="1"/>
    </row>
    <row r="2" spans="1:27" ht="15" customHeight="1" x14ac:dyDescent="0.3">
      <c r="A2" s="1"/>
      <c r="B2" s="21" t="s">
        <v>100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1"/>
      <c r="V2" s="1"/>
      <c r="W2" s="1"/>
      <c r="X2" s="1"/>
      <c r="Y2" s="1"/>
      <c r="Z2" s="1"/>
      <c r="AA2" s="1"/>
    </row>
    <row r="3" spans="1:27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" customHeight="1" x14ac:dyDescent="0.3">
      <c r="A4" s="1"/>
      <c r="B4" s="167" t="s">
        <v>101</v>
      </c>
      <c r="U4" s="1"/>
      <c r="V4" s="1"/>
      <c r="W4" s="1"/>
      <c r="X4" s="1"/>
      <c r="Y4" s="1"/>
      <c r="Z4" s="1"/>
      <c r="AA4" s="1"/>
    </row>
    <row r="5" spans="1:27" ht="15" customHeight="1" x14ac:dyDescent="0.3">
      <c r="A5" s="1"/>
      <c r="B5" s="205" t="s">
        <v>103</v>
      </c>
      <c r="C5" s="204"/>
      <c r="D5" s="6"/>
      <c r="E5" s="205" t="s">
        <v>104</v>
      </c>
      <c r="F5" s="204"/>
      <c r="G5" s="205" t="s">
        <v>105</v>
      </c>
      <c r="H5" s="204"/>
      <c r="I5" s="205" t="s">
        <v>106</v>
      </c>
      <c r="J5" s="20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customHeight="1" x14ac:dyDescent="0.3">
      <c r="A6" s="1"/>
      <c r="B6" s="210">
        <f>J52</f>
        <v>579151036.17000008</v>
      </c>
      <c r="C6" s="204"/>
      <c r="D6" s="38"/>
      <c r="E6" s="210">
        <f>K52</f>
        <v>13189918.610000003</v>
      </c>
      <c r="F6" s="204"/>
      <c r="G6" s="210">
        <f>M52</f>
        <v>541565951.55999994</v>
      </c>
      <c r="H6" s="204"/>
      <c r="I6" s="210">
        <f>N52</f>
        <v>24395165.649999999</v>
      </c>
      <c r="J6" s="20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7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" customHeight="1" x14ac:dyDescent="0.3">
      <c r="A9" s="1"/>
      <c r="B9" s="208" t="s">
        <v>113</v>
      </c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1"/>
      <c r="V9" s="1"/>
      <c r="W9" s="1"/>
      <c r="X9" s="1"/>
      <c r="Y9" s="1"/>
      <c r="Z9" s="1"/>
      <c r="AA9" s="1"/>
    </row>
    <row r="10" spans="1:27" ht="30" customHeight="1" x14ac:dyDescent="0.3">
      <c r="A10" s="1"/>
      <c r="B10" s="6" t="s">
        <v>115</v>
      </c>
      <c r="C10" s="6" t="s">
        <v>0</v>
      </c>
      <c r="D10" s="6" t="s">
        <v>8</v>
      </c>
      <c r="E10" s="6" t="s">
        <v>9</v>
      </c>
      <c r="F10" s="6" t="s">
        <v>11</v>
      </c>
      <c r="G10" s="6" t="s">
        <v>116</v>
      </c>
      <c r="H10" s="6" t="s">
        <v>117</v>
      </c>
      <c r="I10" s="6" t="s">
        <v>118</v>
      </c>
      <c r="J10" s="6" t="s">
        <v>119</v>
      </c>
      <c r="K10" s="6" t="s">
        <v>43</v>
      </c>
      <c r="L10" s="6" t="s">
        <v>120</v>
      </c>
      <c r="M10" s="6" t="s">
        <v>121</v>
      </c>
      <c r="N10" s="6" t="s">
        <v>122</v>
      </c>
      <c r="O10" s="6" t="s">
        <v>123</v>
      </c>
      <c r="P10" s="6" t="s">
        <v>124</v>
      </c>
      <c r="Q10" s="6" t="s">
        <v>125</v>
      </c>
      <c r="R10" s="6" t="s">
        <v>35</v>
      </c>
      <c r="S10" s="6" t="s">
        <v>47</v>
      </c>
      <c r="T10" s="6" t="s">
        <v>126</v>
      </c>
      <c r="U10" s="6" t="s">
        <v>128</v>
      </c>
      <c r="V10" s="6" t="s">
        <v>130</v>
      </c>
      <c r="W10" s="1"/>
      <c r="X10" s="1"/>
      <c r="Y10" s="1"/>
      <c r="Z10" s="1"/>
      <c r="AA10" s="1"/>
    </row>
    <row r="11" spans="1:27" ht="15" customHeight="1" x14ac:dyDescent="0.3">
      <c r="A11" s="1" t="str">
        <f t="shared" ref="A11:A51" si="0">VLOOKUP(E11,$B$66:$B$80,1,0)</f>
        <v>AXIS</v>
      </c>
      <c r="B11" s="28" t="s">
        <v>132</v>
      </c>
      <c r="C11" s="39">
        <v>46127</v>
      </c>
      <c r="D11" s="27" t="s">
        <v>76</v>
      </c>
      <c r="E11" s="36" t="str">
        <f t="array" ref="E11">_xlfn.XLOOKUP($D11,Data!$E:$E,Data!$F:$F,"Revisar",0)</f>
        <v>AXIS</v>
      </c>
      <c r="F11" s="36" t="str">
        <f t="array" ref="F11">_xlfn.XLOOKUP($D11,Data!$E:$E,Data!$G:$G,"Revisar",0)</f>
        <v>Evento mundial de fútbol y merchandising</v>
      </c>
      <c r="G11" s="27" t="s">
        <v>137</v>
      </c>
      <c r="H11" s="31">
        <v>31867817</v>
      </c>
      <c r="I11" s="31">
        <v>6054885.2300000004</v>
      </c>
      <c r="J11" s="32">
        <f t="shared" ref="J11:J51" si="1">IF($B11="","",H11+I11)</f>
        <v>37922702.230000004</v>
      </c>
      <c r="K11" s="31">
        <v>908233.23</v>
      </c>
      <c r="L11" s="32">
        <f t="shared" ref="L11:L51" si="2">IF($B11="","",J11-K11)</f>
        <v>37014469.000000007</v>
      </c>
      <c r="M11" s="33">
        <f>IF($B11="","",SUMIFS('Extractos bancarios - Manglar'!$C:$C,'Extractos bancarios - Manglar'!$M:$M,$B11))</f>
        <v>37014469</v>
      </c>
      <c r="N11" s="191">
        <v>0</v>
      </c>
      <c r="O11" s="39">
        <v>46146</v>
      </c>
      <c r="P11" s="160">
        <f t="shared" ref="P11:P51" ca="1" si="3">IF($B11="","",IF(N11&lt;=0,0,MAX(0,TODAY()-O11)))</f>
        <v>0</v>
      </c>
      <c r="Q11" s="26" t="str">
        <f t="shared" ref="Q11:Q51" si="4">IF($B11="","",IF(N11&lt;=0,"Al dia",IF(P11=0,"Vigente",IF(P11&lt;=30,"1-30",IF(P11&lt;=60,"31-60",IF(P11&lt;=90,"61-90","&gt;90"))))))</f>
        <v>Al dia</v>
      </c>
      <c r="R11" s="26" t="str">
        <f>IF($B11="","",IF(N11&lt;=0,"Cobrada",IF(M11=0,"Pendiente","Parcial")))</f>
        <v>Cobrada</v>
      </c>
      <c r="S11" s="40" t="s">
        <v>145</v>
      </c>
      <c r="T11" s="41">
        <f t="shared" ref="T11:T51" si="5">IF($C11="","",MONTH($C11))</f>
        <v>4</v>
      </c>
      <c r="U11" s="33">
        <f t="shared" ref="U11:U51" si="6">IF($B11="","",IF(ABS(K11-H11*0.04)&lt;1000,0,IF(K11&gt;=I11*0.15-1000,I11*0.15,0)))</f>
        <v>908232.78450000007</v>
      </c>
      <c r="V11" s="33">
        <f t="shared" ref="V11:V51" si="7">IF($B11="","",K11-U11)</f>
        <v>0.44549999991431832</v>
      </c>
      <c r="W11" s="1"/>
      <c r="X11" s="1"/>
      <c r="Y11" s="1"/>
      <c r="Z11" s="1"/>
      <c r="AA11" s="1"/>
    </row>
    <row r="12" spans="1:27" ht="15" customHeight="1" x14ac:dyDescent="0.3">
      <c r="A12" s="1" t="str">
        <f t="shared" si="0"/>
        <v>Konrad Adenauer Stiftung</v>
      </c>
      <c r="B12" s="28" t="s">
        <v>149</v>
      </c>
      <c r="C12" s="39">
        <v>46129</v>
      </c>
      <c r="D12" s="27" t="s">
        <v>99</v>
      </c>
      <c r="E12" s="36" t="str">
        <f t="array" ref="E12">_xlfn.XLOOKUP($D12,Data!$E:$E,Data!$F:$F,"Revisar",0)</f>
        <v>Konrad Adenauer Stiftung</v>
      </c>
      <c r="F12" s="36" t="str">
        <f t="array" ref="F12">_xlfn.XLOOKUP($D12,Data!$E:$E,Data!$G:$G,"Revisar",0)</f>
        <v>Material KAS - Tacos y pocillos</v>
      </c>
      <c r="G12" s="27" t="s">
        <v>150</v>
      </c>
      <c r="H12" s="31">
        <v>8102757</v>
      </c>
      <c r="I12" s="31">
        <v>1539523.83</v>
      </c>
      <c r="J12" s="32">
        <f t="shared" si="1"/>
        <v>9642280.8300000001</v>
      </c>
      <c r="K12" s="31">
        <v>0</v>
      </c>
      <c r="L12" s="32">
        <f t="shared" si="2"/>
        <v>9642280.8300000001</v>
      </c>
      <c r="M12" s="33">
        <f>IF($B12="","",SUMIFS('Extractos bancarios - Manglar'!$C:$C,'Extractos bancarios - Manglar'!$M:$M,$B12))</f>
        <v>9642280.8300000001</v>
      </c>
      <c r="N12" s="32">
        <f t="shared" ref="N12:N51" si="8">IF($B12="","",L12-M12)</f>
        <v>0</v>
      </c>
      <c r="O12" s="39">
        <v>46142</v>
      </c>
      <c r="P12" s="160">
        <f t="shared" ca="1" si="3"/>
        <v>0</v>
      </c>
      <c r="Q12" s="26" t="str">
        <f t="shared" si="4"/>
        <v>Al dia</v>
      </c>
      <c r="R12" s="26" t="str">
        <f t="shared" ref="R12:R51" si="9">IF($B12="","",IF(N12&lt;=0,"Cobrada",IF(M12=0,"Pendiente","Parcial")))</f>
        <v>Cobrada</v>
      </c>
      <c r="S12" s="40" t="s">
        <v>153</v>
      </c>
      <c r="T12" s="41">
        <f t="shared" si="5"/>
        <v>4</v>
      </c>
      <c r="U12" s="33">
        <f t="shared" si="6"/>
        <v>0</v>
      </c>
      <c r="V12" s="33">
        <f t="shared" si="7"/>
        <v>0</v>
      </c>
      <c r="W12" s="1"/>
      <c r="X12" s="1"/>
      <c r="Y12" s="1"/>
      <c r="Z12" s="1"/>
      <c r="AA12" s="1"/>
    </row>
    <row r="13" spans="1:27" ht="15" customHeight="1" x14ac:dyDescent="0.3">
      <c r="A13" s="1" t="str">
        <f t="shared" si="0"/>
        <v>Innovaitors</v>
      </c>
      <c r="B13" s="28" t="s">
        <v>155</v>
      </c>
      <c r="C13" s="39">
        <v>46147</v>
      </c>
      <c r="D13" s="27" t="s">
        <v>131</v>
      </c>
      <c r="E13" s="36" t="str">
        <f t="array" ref="E13">_xlfn.XLOOKUP($D13,Data!$E:$E,Data!$F:$F,"Revisar",0)</f>
        <v>Innovaitors</v>
      </c>
      <c r="F13" s="36" t="str">
        <f t="array" ref="F13">_xlfn.XLOOKUP($D13,Data!$E:$E,Data!$G:$G,"Revisar",0)</f>
        <v>Kits Innovaitors</v>
      </c>
      <c r="G13" s="27" t="s">
        <v>157</v>
      </c>
      <c r="H13" s="31">
        <v>1760000</v>
      </c>
      <c r="I13" s="31">
        <v>334400</v>
      </c>
      <c r="J13" s="32">
        <f t="shared" si="1"/>
        <v>2094400</v>
      </c>
      <c r="K13" s="31">
        <v>26630</v>
      </c>
      <c r="L13" s="32">
        <f t="shared" si="2"/>
        <v>2067770</v>
      </c>
      <c r="M13" s="33">
        <f>IF($B13="","",SUMIFS('Extractos bancarios - Manglar'!$C:$C,'Extractos bancarios - Manglar'!$M:$M,$B13))</f>
        <v>2067770</v>
      </c>
      <c r="N13" s="32">
        <f t="shared" si="8"/>
        <v>0</v>
      </c>
      <c r="O13" s="39">
        <v>46161</v>
      </c>
      <c r="P13" s="160">
        <f t="shared" ca="1" si="3"/>
        <v>0</v>
      </c>
      <c r="Q13" s="26" t="str">
        <f t="shared" si="4"/>
        <v>Al dia</v>
      </c>
      <c r="R13" s="26" t="str">
        <f t="shared" si="9"/>
        <v>Cobrada</v>
      </c>
      <c r="S13" s="40" t="s">
        <v>158</v>
      </c>
      <c r="T13" s="41">
        <f t="shared" si="5"/>
        <v>5</v>
      </c>
      <c r="U13" s="33">
        <f t="shared" si="6"/>
        <v>0</v>
      </c>
      <c r="V13" s="33">
        <f t="shared" si="7"/>
        <v>26630</v>
      </c>
      <c r="W13" s="1"/>
      <c r="X13" s="1"/>
      <c r="Y13" s="1"/>
      <c r="Z13" s="1"/>
      <c r="AA13" s="1"/>
    </row>
    <row r="14" spans="1:27" ht="15" customHeight="1" x14ac:dyDescent="0.3">
      <c r="A14" s="1" t="str">
        <f t="shared" si="0"/>
        <v>Kaspersky</v>
      </c>
      <c r="B14" s="28" t="s">
        <v>160</v>
      </c>
      <c r="C14" s="39">
        <v>46147</v>
      </c>
      <c r="D14" s="27" t="s">
        <v>161</v>
      </c>
      <c r="E14" s="36" t="str">
        <f t="array" ref="E14">_xlfn.XLOOKUP($D14,Data!$E:$E,Data!$F:$F,"Revisar",0)</f>
        <v>Kaspersky</v>
      </c>
      <c r="F14" s="36" t="str">
        <f t="array" ref="F14">_xlfn.XLOOKUP($D14,Data!$E:$E,Data!$G:$G,"Revisar",0)</f>
        <v>Bolsa Incentivos 2026</v>
      </c>
      <c r="G14" s="27" t="s">
        <v>164</v>
      </c>
      <c r="H14" s="31">
        <v>60400005</v>
      </c>
      <c r="I14" s="31">
        <v>11476000.949999999</v>
      </c>
      <c r="J14" s="32">
        <f t="shared" si="1"/>
        <v>71876005.950000003</v>
      </c>
      <c r="K14" s="31">
        <v>1721399.95</v>
      </c>
      <c r="L14" s="32">
        <f t="shared" si="2"/>
        <v>70154606</v>
      </c>
      <c r="M14" s="33">
        <f>IF($B14="","",SUMIFS('Extractos bancarios - Manglar'!$C:$C,'Extractos bancarios - Manglar'!$M:$M,$B14))</f>
        <v>70154606</v>
      </c>
      <c r="N14" s="32">
        <f t="shared" si="8"/>
        <v>0</v>
      </c>
      <c r="O14" s="39">
        <v>46173</v>
      </c>
      <c r="P14" s="160">
        <f t="shared" ca="1" si="3"/>
        <v>0</v>
      </c>
      <c r="Q14" s="26" t="str">
        <f t="shared" si="4"/>
        <v>Al dia</v>
      </c>
      <c r="R14" s="26" t="str">
        <f t="shared" si="9"/>
        <v>Cobrada</v>
      </c>
      <c r="S14" s="40" t="s">
        <v>145</v>
      </c>
      <c r="T14" s="41">
        <f t="shared" si="5"/>
        <v>5</v>
      </c>
      <c r="U14" s="33">
        <f t="shared" si="6"/>
        <v>1721400.1424999998</v>
      </c>
      <c r="V14" s="33">
        <f t="shared" si="7"/>
        <v>-0.19249999988824129</v>
      </c>
      <c r="W14" s="1"/>
      <c r="X14" s="1"/>
      <c r="Y14" s="1"/>
      <c r="Z14" s="1"/>
      <c r="AA14" s="1"/>
    </row>
    <row r="15" spans="1:27" ht="15" customHeight="1" x14ac:dyDescent="0.3">
      <c r="A15" s="1" t="str">
        <f t="shared" si="0"/>
        <v>AXIS</v>
      </c>
      <c r="B15" s="28" t="s">
        <v>166</v>
      </c>
      <c r="C15" s="39">
        <v>46154</v>
      </c>
      <c r="D15" s="27" t="s">
        <v>167</v>
      </c>
      <c r="E15" s="36" t="str">
        <f t="array" ref="E15">_xlfn.XLOOKUP($D15,Data!$E:$E,Data!$F:$F,"Revisar",0)</f>
        <v>AXIS</v>
      </c>
      <c r="F15" s="36" t="str">
        <f t="array" ref="F15">_xlfn.XLOOKUP($D15,Data!$E:$E,Data!$G:$G,"Revisar",0)</f>
        <v>Camisetas Academy</v>
      </c>
      <c r="G15" s="27" t="s">
        <v>169</v>
      </c>
      <c r="H15" s="31">
        <v>2349000</v>
      </c>
      <c r="I15" s="31">
        <v>446310</v>
      </c>
      <c r="J15" s="32">
        <f t="shared" si="1"/>
        <v>2795310</v>
      </c>
      <c r="K15" s="31">
        <v>0</v>
      </c>
      <c r="L15" s="32">
        <f t="shared" si="2"/>
        <v>2795310</v>
      </c>
      <c r="M15" s="33">
        <f>IF($B15="","",SUMIFS('Extractos bancarios - Manglar'!$C:$C,'Extractos bancarios - Manglar'!$M:$M,$B15))</f>
        <v>2795310</v>
      </c>
      <c r="N15" s="32">
        <f t="shared" si="8"/>
        <v>0</v>
      </c>
      <c r="O15" s="39">
        <v>46172</v>
      </c>
      <c r="P15" s="160">
        <f t="shared" ca="1" si="3"/>
        <v>0</v>
      </c>
      <c r="Q15" s="26" t="str">
        <f t="shared" si="4"/>
        <v>Al dia</v>
      </c>
      <c r="R15" s="26" t="str">
        <f t="shared" si="9"/>
        <v>Cobrada</v>
      </c>
      <c r="S15" s="40" t="s">
        <v>153</v>
      </c>
      <c r="T15" s="41">
        <f t="shared" si="5"/>
        <v>5</v>
      </c>
      <c r="U15" s="33">
        <f t="shared" si="6"/>
        <v>0</v>
      </c>
      <c r="V15" s="33">
        <f t="shared" si="7"/>
        <v>0</v>
      </c>
      <c r="W15" s="1"/>
      <c r="X15" s="1"/>
      <c r="Y15" s="1"/>
      <c r="Z15" s="1"/>
      <c r="AA15" s="1"/>
    </row>
    <row r="16" spans="1:27" ht="15" customHeight="1" x14ac:dyDescent="0.3">
      <c r="A16" s="1" t="str">
        <f t="shared" si="0"/>
        <v>Innovaitors</v>
      </c>
      <c r="B16" s="28" t="s">
        <v>173</v>
      </c>
      <c r="C16" s="39">
        <v>46161</v>
      </c>
      <c r="D16" s="27" t="s">
        <v>174</v>
      </c>
      <c r="E16" s="36" t="str">
        <f t="array" ref="E16">_xlfn.XLOOKUP($D16,Data!$E:$E,Data!$F:$F,"Revisar",0)</f>
        <v>Innovaitors</v>
      </c>
      <c r="F16" s="36" t="str">
        <f t="array" ref="F16">_xlfn.XLOOKUP($D16,Data!$E:$E,Data!$G:$G,"Revisar",0)</f>
        <v>Banners Rollup</v>
      </c>
      <c r="G16" s="27" t="s">
        <v>176</v>
      </c>
      <c r="H16" s="31">
        <v>260000</v>
      </c>
      <c r="I16" s="31">
        <v>49400</v>
      </c>
      <c r="J16" s="32">
        <f t="shared" si="1"/>
        <v>309400</v>
      </c>
      <c r="K16" s="31">
        <v>0</v>
      </c>
      <c r="L16" s="32">
        <f t="shared" si="2"/>
        <v>309400</v>
      </c>
      <c r="M16" s="33">
        <f>IF($B16="","",SUMIFS('Extractos bancarios - Manglar'!$C:$C,'Extractos bancarios - Manglar'!$M:$M,$B16))</f>
        <v>0</v>
      </c>
      <c r="N16" s="32">
        <f t="shared" si="8"/>
        <v>309400</v>
      </c>
      <c r="O16" s="39">
        <v>46172</v>
      </c>
      <c r="P16" s="160">
        <f t="shared" ca="1" si="3"/>
        <v>151</v>
      </c>
      <c r="Q16" s="26" t="str">
        <f t="shared" ca="1" si="4"/>
        <v>&gt;90</v>
      </c>
      <c r="R16" s="168" t="s">
        <v>1012</v>
      </c>
      <c r="S16" s="45" t="s">
        <v>179</v>
      </c>
      <c r="T16" s="41">
        <f t="shared" si="5"/>
        <v>5</v>
      </c>
      <c r="U16" s="33">
        <f t="shared" si="6"/>
        <v>0</v>
      </c>
      <c r="V16" s="33">
        <f t="shared" si="7"/>
        <v>0</v>
      </c>
      <c r="W16" s="1"/>
      <c r="X16" s="1"/>
      <c r="Y16" s="1"/>
      <c r="Z16" s="1"/>
      <c r="AA16" s="1"/>
    </row>
    <row r="17" spans="1:27" ht="15" customHeight="1" x14ac:dyDescent="0.3">
      <c r="A17" s="1" t="str">
        <f t="shared" si="0"/>
        <v>Psiconometrics</v>
      </c>
      <c r="B17" s="28" t="s">
        <v>181</v>
      </c>
      <c r="C17" s="39">
        <v>46168</v>
      </c>
      <c r="D17" s="27" t="s">
        <v>182</v>
      </c>
      <c r="E17" s="36" t="str">
        <f t="array" ref="E17">_xlfn.XLOOKUP($D17,Data!$E:$E,Data!$F:$F,"Revisar",0)</f>
        <v>Psiconometrics</v>
      </c>
      <c r="F17" s="36" t="str">
        <f t="array" ref="F17">_xlfn.XLOOKUP($D17,Data!$E:$E,Data!$G:$G,"Revisar",0)</f>
        <v>Evento Camara Comercio</v>
      </c>
      <c r="G17" s="27" t="s">
        <v>185</v>
      </c>
      <c r="H17" s="31">
        <v>154135498</v>
      </c>
      <c r="I17" s="31">
        <v>29285744.620000001</v>
      </c>
      <c r="J17" s="32">
        <f t="shared" si="1"/>
        <v>183421242.62</v>
      </c>
      <c r="K17" s="31">
        <v>3949721.62</v>
      </c>
      <c r="L17" s="32">
        <f t="shared" si="2"/>
        <v>179471521</v>
      </c>
      <c r="M17" s="33">
        <f>IF($B17="","",SUMIFS('Extractos bancarios - Manglar'!$C:$C,'Extractos bancarios - Manglar'!$M:$M,$B17))</f>
        <v>179471521</v>
      </c>
      <c r="N17" s="32">
        <f t="shared" si="8"/>
        <v>0</v>
      </c>
      <c r="O17" s="39">
        <v>46172</v>
      </c>
      <c r="P17" s="160">
        <f t="shared" ca="1" si="3"/>
        <v>0</v>
      </c>
      <c r="Q17" s="26" t="str">
        <f t="shared" si="4"/>
        <v>Al dia</v>
      </c>
      <c r="R17" s="26" t="str">
        <f t="shared" si="9"/>
        <v>Cobrada</v>
      </c>
      <c r="S17" s="40" t="s">
        <v>192</v>
      </c>
      <c r="T17" s="41">
        <f t="shared" si="5"/>
        <v>5</v>
      </c>
      <c r="U17" s="33">
        <f t="shared" si="6"/>
        <v>0</v>
      </c>
      <c r="V17" s="33">
        <f t="shared" si="7"/>
        <v>3949721.62</v>
      </c>
      <c r="W17" s="1"/>
      <c r="X17" s="1"/>
      <c r="Y17" s="1"/>
      <c r="Z17" s="1"/>
      <c r="AA17" s="1"/>
    </row>
    <row r="18" spans="1:27" ht="15" customHeight="1" x14ac:dyDescent="0.3">
      <c r="A18" s="1" t="str">
        <f t="shared" si="0"/>
        <v>Psiconometrics</v>
      </c>
      <c r="B18" s="28" t="s">
        <v>193</v>
      </c>
      <c r="C18" s="39">
        <v>46168</v>
      </c>
      <c r="D18" s="27" t="s">
        <v>182</v>
      </c>
      <c r="E18" s="36" t="str">
        <f t="array" ref="E18">_xlfn.XLOOKUP($D18,Data!$E:$E,Data!$F:$F,"Revisar",0)</f>
        <v>Psiconometrics</v>
      </c>
      <c r="F18" s="36" t="str">
        <f t="array" ref="F18">_xlfn.XLOOKUP($D18,Data!$E:$E,Data!$G:$G,"Revisar",0)</f>
        <v>Evento Camara Comercio</v>
      </c>
      <c r="G18" s="27" t="s">
        <v>185</v>
      </c>
      <c r="H18" s="31">
        <v>38533875</v>
      </c>
      <c r="I18" s="31">
        <v>7321436.25</v>
      </c>
      <c r="J18" s="32">
        <f t="shared" si="1"/>
        <v>45855311.25</v>
      </c>
      <c r="K18" s="31">
        <v>1541355.25</v>
      </c>
      <c r="L18" s="32">
        <f t="shared" si="2"/>
        <v>44313956</v>
      </c>
      <c r="M18" s="33">
        <f>IF($B18="","",SUMIFS('Extractos bancarios - Manglar'!$C:$C,'Extractos bancarios - Manglar'!$M:$M,$B18))</f>
        <v>44313956</v>
      </c>
      <c r="N18" s="32">
        <f t="shared" si="8"/>
        <v>0</v>
      </c>
      <c r="O18" s="39">
        <v>46183</v>
      </c>
      <c r="P18" s="160">
        <f t="shared" ca="1" si="3"/>
        <v>0</v>
      </c>
      <c r="Q18" s="26" t="str">
        <f t="shared" si="4"/>
        <v>Al dia</v>
      </c>
      <c r="R18" s="26" t="str">
        <f t="shared" si="9"/>
        <v>Cobrada</v>
      </c>
      <c r="S18" s="40" t="s">
        <v>194</v>
      </c>
      <c r="T18" s="41">
        <f t="shared" si="5"/>
        <v>5</v>
      </c>
      <c r="U18" s="33">
        <f t="shared" si="6"/>
        <v>0</v>
      </c>
      <c r="V18" s="33">
        <f t="shared" si="7"/>
        <v>1541355.25</v>
      </c>
      <c r="W18" s="1"/>
      <c r="X18" s="1"/>
      <c r="Y18" s="1"/>
      <c r="Z18" s="1"/>
      <c r="AA18" s="1"/>
    </row>
    <row r="19" spans="1:27" ht="15" customHeight="1" x14ac:dyDescent="0.3">
      <c r="A19" s="1" t="str">
        <f t="shared" si="0"/>
        <v>AXIS</v>
      </c>
      <c r="B19" s="28" t="s">
        <v>195</v>
      </c>
      <c r="C19" s="39">
        <v>46206</v>
      </c>
      <c r="D19" s="27" t="s">
        <v>197</v>
      </c>
      <c r="E19" s="36" t="str">
        <f t="array" ref="E19">_xlfn.XLOOKUP($D19,Data!$E:$E,Data!$F:$F,"Revisar",0)</f>
        <v>AXIS</v>
      </c>
      <c r="F19" s="36" t="str">
        <f t="array" ref="F19">_xlfn.XLOOKUP($D19,Data!$E:$E,Data!$G:$G,"Revisar",0)</f>
        <v>Hoodies Challenge</v>
      </c>
      <c r="G19" s="27" t="s">
        <v>198</v>
      </c>
      <c r="H19" s="31">
        <v>2744000</v>
      </c>
      <c r="I19" s="31">
        <v>521360</v>
      </c>
      <c r="J19" s="32">
        <f t="shared" si="1"/>
        <v>3265360</v>
      </c>
      <c r="K19" s="31">
        <v>0</v>
      </c>
      <c r="L19" s="32">
        <f t="shared" si="2"/>
        <v>3265360</v>
      </c>
      <c r="M19" s="33">
        <f>IF($B19="","",SUMIFS('Extractos bancarios - Manglar'!$C:$C,'Extractos bancarios - Manglar'!$M:$M,$B19))</f>
        <v>3265360</v>
      </c>
      <c r="N19" s="32">
        <f t="shared" si="8"/>
        <v>0</v>
      </c>
      <c r="O19" s="39">
        <v>46233</v>
      </c>
      <c r="P19" s="160">
        <f t="shared" ca="1" si="3"/>
        <v>0</v>
      </c>
      <c r="Q19" s="26" t="str">
        <f t="shared" si="4"/>
        <v>Al dia</v>
      </c>
      <c r="R19" s="26" t="str">
        <f t="shared" si="9"/>
        <v>Cobrada</v>
      </c>
      <c r="S19" s="40" t="s">
        <v>201</v>
      </c>
      <c r="T19" s="41">
        <f t="shared" si="5"/>
        <v>7</v>
      </c>
      <c r="U19" s="33">
        <f t="shared" si="6"/>
        <v>0</v>
      </c>
      <c r="V19" s="33">
        <f t="shared" si="7"/>
        <v>0</v>
      </c>
      <c r="W19" s="1"/>
      <c r="X19" s="1"/>
      <c r="Y19" s="1"/>
      <c r="Z19" s="1"/>
      <c r="AA19" s="1"/>
    </row>
    <row r="20" spans="1:27" ht="15" customHeight="1" x14ac:dyDescent="0.3">
      <c r="A20" s="1" t="str">
        <f t="shared" si="0"/>
        <v>AXIS</v>
      </c>
      <c r="B20" s="28" t="s">
        <v>202</v>
      </c>
      <c r="C20" s="39">
        <v>46206</v>
      </c>
      <c r="D20" s="27" t="s">
        <v>203</v>
      </c>
      <c r="E20" s="36" t="str">
        <f t="array" ref="E20">_xlfn.XLOOKUP($D20,Data!$E:$E,Data!$F:$F,"Revisar",0)</f>
        <v>AXIS</v>
      </c>
      <c r="F20" s="36" t="str">
        <f t="array" ref="F20">_xlfn.XLOOKUP($D20,Data!$E:$E,Data!$G:$G,"Revisar",0)</f>
        <v>Merch y transporte para Cena feria de seguridad</v>
      </c>
      <c r="G20" s="27" t="s">
        <v>204</v>
      </c>
      <c r="H20" s="31">
        <v>10875250</v>
      </c>
      <c r="I20" s="31">
        <v>2066297.5</v>
      </c>
      <c r="J20" s="32">
        <f t="shared" si="1"/>
        <v>12941547.5</v>
      </c>
      <c r="K20" s="31">
        <v>388148.5</v>
      </c>
      <c r="L20" s="32">
        <f t="shared" si="2"/>
        <v>12553399</v>
      </c>
      <c r="M20" s="33">
        <f>IF($B20="","",SUMIFS('Extractos bancarios - Manglar'!$C:$C,'Extractos bancarios - Manglar'!$M:$M,$B20))</f>
        <v>12553399</v>
      </c>
      <c r="N20" s="32">
        <f t="shared" si="8"/>
        <v>0</v>
      </c>
      <c r="O20" s="39">
        <v>46233</v>
      </c>
      <c r="P20" s="160">
        <f t="shared" ca="1" si="3"/>
        <v>0</v>
      </c>
      <c r="Q20" s="26" t="str">
        <f t="shared" si="4"/>
        <v>Al dia</v>
      </c>
      <c r="R20" s="26" t="str">
        <f t="shared" si="9"/>
        <v>Cobrada</v>
      </c>
      <c r="S20" s="40" t="s">
        <v>205</v>
      </c>
      <c r="T20" s="41">
        <f t="shared" si="5"/>
        <v>7</v>
      </c>
      <c r="U20" s="33">
        <f t="shared" si="6"/>
        <v>309944.625</v>
      </c>
      <c r="V20" s="33">
        <f t="shared" si="7"/>
        <v>78203.875</v>
      </c>
      <c r="W20" s="1"/>
      <c r="X20" s="1"/>
      <c r="Y20" s="1"/>
      <c r="Z20" s="1"/>
      <c r="AA20" s="1"/>
    </row>
    <row r="21" spans="1:27" ht="15" customHeight="1" x14ac:dyDescent="0.3">
      <c r="A21" s="1" t="str">
        <f t="shared" si="0"/>
        <v>ANIXTER</v>
      </c>
      <c r="B21" s="28" t="s">
        <v>206</v>
      </c>
      <c r="C21" s="39">
        <v>46226</v>
      </c>
      <c r="D21" s="27" t="s">
        <v>207</v>
      </c>
      <c r="E21" s="36" t="str">
        <f t="array" ref="E21">_xlfn.XLOOKUP($D21,Data!$E:$E,Data!$F:$F,"Revisar",0)</f>
        <v>ANIXTER</v>
      </c>
      <c r="F21" s="36" t="str">
        <f t="array" ref="F21">_xlfn.XLOOKUP($D21,Data!$E:$E,Data!$G:$G,"Revisar",0)</f>
        <v xml:space="preserve">Evento BoB Datacenter Day - Bogotá </v>
      </c>
      <c r="G21" s="27" t="s">
        <v>208</v>
      </c>
      <c r="H21" s="31">
        <v>20054658</v>
      </c>
      <c r="I21" s="31">
        <v>3810385.02</v>
      </c>
      <c r="J21" s="32">
        <f t="shared" si="1"/>
        <v>23865043.02</v>
      </c>
      <c r="K21" s="31">
        <v>571557.75</v>
      </c>
      <c r="L21" s="32">
        <f t="shared" si="2"/>
        <v>23293485.27</v>
      </c>
      <c r="M21" s="33">
        <f>IF($B21="","",SUMIFS('Extractos bancarios - Manglar'!$C:$C,'Extractos bancarios - Manglar'!$M:$M,$B21))</f>
        <v>23293485.27</v>
      </c>
      <c r="N21" s="32">
        <f t="shared" si="8"/>
        <v>0</v>
      </c>
      <c r="O21" s="39">
        <v>46257</v>
      </c>
      <c r="P21" s="160">
        <f t="shared" ca="1" si="3"/>
        <v>0</v>
      </c>
      <c r="Q21" s="26" t="str">
        <f t="shared" si="4"/>
        <v>Al dia</v>
      </c>
      <c r="R21" s="26" t="str">
        <f t="shared" si="9"/>
        <v>Cobrada</v>
      </c>
      <c r="S21" s="40" t="s">
        <v>212</v>
      </c>
      <c r="T21" s="41">
        <f t="shared" si="5"/>
        <v>7</v>
      </c>
      <c r="U21" s="33">
        <f t="shared" si="6"/>
        <v>571557.75300000003</v>
      </c>
      <c r="V21" s="33">
        <f t="shared" si="7"/>
        <v>-3.0000000260770321E-3</v>
      </c>
      <c r="W21" s="1"/>
      <c r="X21" s="1"/>
      <c r="Y21" s="1"/>
      <c r="Z21" s="1"/>
      <c r="AA21" s="1"/>
    </row>
    <row r="22" spans="1:27" ht="15" customHeight="1" x14ac:dyDescent="0.3">
      <c r="A22" s="1" t="str">
        <f t="shared" si="0"/>
        <v>ANIXTER</v>
      </c>
      <c r="B22" s="28" t="s">
        <v>213</v>
      </c>
      <c r="C22" s="39">
        <v>46226</v>
      </c>
      <c r="D22" s="27" t="s">
        <v>214</v>
      </c>
      <c r="E22" s="36" t="str">
        <f t="array" ref="E22">_xlfn.XLOOKUP($D22,Data!$E:$E,Data!$F:$F,"Revisar",0)</f>
        <v>ANIXTER</v>
      </c>
      <c r="F22" s="36" t="str">
        <f t="array" ref="F22">_xlfn.XLOOKUP($D22,Data!$E:$E,Data!$G:$G,"Revisar",0)</f>
        <v>Tiquetes y alojamiento Pedro Rodriguez</v>
      </c>
      <c r="G22" s="27" t="s">
        <v>218</v>
      </c>
      <c r="H22" s="31">
        <v>4890000</v>
      </c>
      <c r="I22" s="31">
        <v>929100</v>
      </c>
      <c r="J22" s="32">
        <f t="shared" si="1"/>
        <v>5819100</v>
      </c>
      <c r="K22" s="31">
        <v>139365</v>
      </c>
      <c r="L22" s="32">
        <f t="shared" si="2"/>
        <v>5679735</v>
      </c>
      <c r="M22" s="33">
        <f>IF($B22="","",SUMIFS('Extractos bancarios - Manglar'!$C:$C,'Extractos bancarios - Manglar'!$M:$M,$B22))</f>
        <v>5679735</v>
      </c>
      <c r="N22" s="32">
        <f t="shared" si="8"/>
        <v>0</v>
      </c>
      <c r="O22" s="39">
        <v>46257</v>
      </c>
      <c r="P22" s="160">
        <f t="shared" ca="1" si="3"/>
        <v>0</v>
      </c>
      <c r="Q22" s="26" t="str">
        <f t="shared" si="4"/>
        <v>Al dia</v>
      </c>
      <c r="R22" s="26" t="str">
        <f t="shared" si="9"/>
        <v>Cobrada</v>
      </c>
      <c r="S22" s="40" t="s">
        <v>212</v>
      </c>
      <c r="T22" s="41">
        <f t="shared" si="5"/>
        <v>7</v>
      </c>
      <c r="U22" s="33">
        <f t="shared" si="6"/>
        <v>139365</v>
      </c>
      <c r="V22" s="33">
        <f t="shared" si="7"/>
        <v>0</v>
      </c>
      <c r="W22" s="1"/>
      <c r="X22" s="1"/>
      <c r="Y22" s="1"/>
      <c r="Z22" s="1"/>
      <c r="AA22" s="1"/>
    </row>
    <row r="23" spans="1:27" ht="15" customHeight="1" x14ac:dyDescent="0.3">
      <c r="A23" s="1" t="str">
        <f t="shared" si="0"/>
        <v>Commscope</v>
      </c>
      <c r="B23" s="28" t="s">
        <v>224</v>
      </c>
      <c r="C23" s="39">
        <v>46226</v>
      </c>
      <c r="D23" s="27" t="s">
        <v>225</v>
      </c>
      <c r="E23" s="36" t="str">
        <f t="array" ref="E23">_xlfn.XLOOKUP($D23,Data!$E:$E,Data!$F:$F,"Revisar",0)</f>
        <v>Commscope</v>
      </c>
      <c r="F23" s="36" t="str">
        <f t="array" ref="F23">_xlfn.XLOOKUP($D23,Data!$E:$E,Data!$G:$G,"Revisar",0)</f>
        <v>Regalos Cartagena</v>
      </c>
      <c r="G23" s="27" t="s">
        <v>233</v>
      </c>
      <c r="H23" s="31">
        <v>4060000</v>
      </c>
      <c r="I23" s="31">
        <v>771400</v>
      </c>
      <c r="J23" s="32">
        <f t="shared" si="1"/>
        <v>4831400</v>
      </c>
      <c r="K23" s="31">
        <v>115710</v>
      </c>
      <c r="L23" s="32">
        <f t="shared" si="2"/>
        <v>4715690</v>
      </c>
      <c r="M23" s="33">
        <f>IF($B23="","",SUMIFS('Extractos bancarios - Manglar'!$C:$C,'Extractos bancarios - Manglar'!$M:$M,$B23))</f>
        <v>4715690</v>
      </c>
      <c r="N23" s="32">
        <f t="shared" si="8"/>
        <v>0</v>
      </c>
      <c r="O23" s="39">
        <v>46257</v>
      </c>
      <c r="P23" s="160">
        <f t="shared" ca="1" si="3"/>
        <v>0</v>
      </c>
      <c r="Q23" s="26" t="str">
        <f t="shared" si="4"/>
        <v>Al dia</v>
      </c>
      <c r="R23" s="26" t="str">
        <f t="shared" si="9"/>
        <v>Cobrada</v>
      </c>
      <c r="S23" s="40" t="s">
        <v>212</v>
      </c>
      <c r="T23" s="41">
        <f t="shared" si="5"/>
        <v>7</v>
      </c>
      <c r="U23" s="33">
        <f t="shared" si="6"/>
        <v>115710</v>
      </c>
      <c r="V23" s="33">
        <f t="shared" si="7"/>
        <v>0</v>
      </c>
      <c r="W23" s="1"/>
      <c r="X23" s="1"/>
      <c r="Y23" s="1"/>
      <c r="Z23" s="1"/>
      <c r="AA23" s="1"/>
    </row>
    <row r="24" spans="1:27" ht="15" customHeight="1" x14ac:dyDescent="0.3">
      <c r="A24" s="1" t="str">
        <f t="shared" si="0"/>
        <v>Commscope</v>
      </c>
      <c r="B24" s="28" t="s">
        <v>234</v>
      </c>
      <c r="C24" s="39">
        <v>46247</v>
      </c>
      <c r="D24" s="27" t="s">
        <v>235</v>
      </c>
      <c r="E24" s="36" t="str">
        <f t="array" ref="E24">_xlfn.XLOOKUP($D24,Data!$E:$E,Data!$F:$F,"Revisar",0)</f>
        <v>Commscope</v>
      </c>
      <c r="F24" s="36" t="str">
        <f t="array" ref="F24">_xlfn.XLOOKUP($D24,Data!$E:$E,Data!$G:$G,"Revisar",0)</f>
        <v>Brochures COMMSCOPE</v>
      </c>
      <c r="G24" s="27" t="s">
        <v>240</v>
      </c>
      <c r="H24" s="31">
        <v>2185714</v>
      </c>
      <c r="I24" s="31">
        <v>415285.66</v>
      </c>
      <c r="J24" s="32">
        <f t="shared" si="1"/>
        <v>2600999.66</v>
      </c>
      <c r="K24" s="31">
        <v>62292.850000000093</v>
      </c>
      <c r="L24" s="32">
        <f t="shared" si="2"/>
        <v>2538706.81</v>
      </c>
      <c r="M24" s="33">
        <f>IF($B24="","",SUMIFS('Extractos bancarios - Manglar'!$C:$C,'Extractos bancarios - Manglar'!$M:$M,$B24))</f>
        <v>2538706.81</v>
      </c>
      <c r="N24" s="32">
        <f t="shared" si="8"/>
        <v>0</v>
      </c>
      <c r="O24" s="39">
        <v>46277</v>
      </c>
      <c r="P24" s="160">
        <f t="shared" ca="1" si="3"/>
        <v>0</v>
      </c>
      <c r="Q24" s="26" t="str">
        <f t="shared" si="4"/>
        <v>Al dia</v>
      </c>
      <c r="R24" s="26" t="str">
        <f t="shared" si="9"/>
        <v>Cobrada</v>
      </c>
      <c r="S24" s="40" t="s">
        <v>241</v>
      </c>
      <c r="T24" s="41">
        <f t="shared" si="5"/>
        <v>8</v>
      </c>
      <c r="U24" s="33">
        <f t="shared" si="6"/>
        <v>62292.848999999995</v>
      </c>
      <c r="V24" s="33">
        <f t="shared" si="7"/>
        <v>1.0000000984291546E-3</v>
      </c>
      <c r="W24" s="1"/>
      <c r="X24" s="1"/>
      <c r="Y24" s="1"/>
      <c r="Z24" s="1"/>
      <c r="AA24" s="1"/>
    </row>
    <row r="25" spans="1:27" ht="15" customHeight="1" x14ac:dyDescent="0.3">
      <c r="A25" s="1" t="str">
        <f t="shared" si="0"/>
        <v>AXIS</v>
      </c>
      <c r="B25" s="28" t="s">
        <v>242</v>
      </c>
      <c r="C25" s="39">
        <v>46247</v>
      </c>
      <c r="D25" s="27" t="s">
        <v>243</v>
      </c>
      <c r="E25" s="36" t="str">
        <f t="array" ref="E25">_xlfn.XLOOKUP($D25,Data!$E:$E,Data!$F:$F,"Revisar",0)</f>
        <v>AXIS</v>
      </c>
      <c r="F25" s="36" t="str">
        <f t="array" ref="F25">_xlfn.XLOOKUP($D25,Data!$E:$E,Data!$G:$G,"Revisar",0)</f>
        <v>Tarjetas regalo AMAZON y Pantalla</v>
      </c>
      <c r="G25" s="27" t="s">
        <v>246</v>
      </c>
      <c r="H25" s="31">
        <v>1500000</v>
      </c>
      <c r="I25" s="31">
        <v>285000</v>
      </c>
      <c r="J25" s="32">
        <f t="shared" si="1"/>
        <v>1785000</v>
      </c>
      <c r="K25" s="31">
        <v>0</v>
      </c>
      <c r="L25" s="32">
        <f t="shared" si="2"/>
        <v>1785000</v>
      </c>
      <c r="M25" s="33">
        <f>IF($B25="","",SUMIFS('Extractos bancarios - Manglar'!$C:$C,'Extractos bancarios - Manglar'!$M:$M,$B25))</f>
        <v>1785000</v>
      </c>
      <c r="N25" s="32">
        <f t="shared" si="8"/>
        <v>0</v>
      </c>
      <c r="O25" s="39">
        <v>46277</v>
      </c>
      <c r="P25" s="160">
        <f t="shared" ca="1" si="3"/>
        <v>0</v>
      </c>
      <c r="Q25" s="26" t="str">
        <f t="shared" si="4"/>
        <v>Al dia</v>
      </c>
      <c r="R25" s="26" t="str">
        <f t="shared" si="9"/>
        <v>Cobrada</v>
      </c>
      <c r="S25" s="40"/>
      <c r="T25" s="41">
        <f t="shared" si="5"/>
        <v>8</v>
      </c>
      <c r="U25" s="33">
        <f t="shared" si="6"/>
        <v>0</v>
      </c>
      <c r="V25" s="33">
        <f t="shared" si="7"/>
        <v>0</v>
      </c>
      <c r="W25" s="1"/>
      <c r="X25" s="1"/>
      <c r="Y25" s="1"/>
      <c r="Z25" s="1"/>
      <c r="AA25" s="1"/>
    </row>
    <row r="26" spans="1:27" ht="15" customHeight="1" x14ac:dyDescent="0.3">
      <c r="A26" s="1" t="str">
        <f t="shared" si="0"/>
        <v>AXIS</v>
      </c>
      <c r="B26" s="28" t="s">
        <v>247</v>
      </c>
      <c r="C26" s="39">
        <v>46252</v>
      </c>
      <c r="D26" s="27" t="s">
        <v>248</v>
      </c>
      <c r="E26" s="36" t="str">
        <f t="array" ref="E26">_xlfn.XLOOKUP($D26,Data!$E:$E,Data!$F:$F,"Revisar",0)</f>
        <v>AXIS</v>
      </c>
      <c r="F26" s="36" t="str">
        <f t="array" ref="F26">_xlfn.XLOOKUP($D26,Data!$E:$E,Data!$G:$G,"Revisar",0)</f>
        <v>Produccion gomas</v>
      </c>
      <c r="G26" s="27" t="s">
        <v>253</v>
      </c>
      <c r="H26" s="31">
        <v>1980000</v>
      </c>
      <c r="I26" s="31">
        <v>376200</v>
      </c>
      <c r="J26" s="32">
        <f t="shared" si="1"/>
        <v>2356200</v>
      </c>
      <c r="K26" s="31">
        <v>0</v>
      </c>
      <c r="L26" s="32">
        <f t="shared" si="2"/>
        <v>2356200</v>
      </c>
      <c r="M26" s="33">
        <f>IF($B26="","",SUMIFS('Extractos bancarios - Manglar'!$C:$C,'Extractos bancarios - Manglar'!$M:$M,$B26))</f>
        <v>2356200</v>
      </c>
      <c r="N26" s="32">
        <f t="shared" si="8"/>
        <v>0</v>
      </c>
      <c r="O26" s="39">
        <v>46282</v>
      </c>
      <c r="P26" s="160">
        <f t="shared" ca="1" si="3"/>
        <v>0</v>
      </c>
      <c r="Q26" s="26" t="str">
        <f t="shared" si="4"/>
        <v>Al dia</v>
      </c>
      <c r="R26" s="26" t="str">
        <f t="shared" si="9"/>
        <v>Cobrada</v>
      </c>
      <c r="S26" s="40"/>
      <c r="T26" s="41">
        <f t="shared" si="5"/>
        <v>8</v>
      </c>
      <c r="U26" s="33">
        <f t="shared" si="6"/>
        <v>0</v>
      </c>
      <c r="V26" s="33">
        <f t="shared" si="7"/>
        <v>0</v>
      </c>
      <c r="W26" s="1"/>
      <c r="X26" s="1"/>
      <c r="Y26" s="1"/>
      <c r="Z26" s="1"/>
      <c r="AA26" s="1"/>
    </row>
    <row r="27" spans="1:27" ht="15" customHeight="1" x14ac:dyDescent="0.3">
      <c r="A27" s="1" t="str">
        <f t="shared" si="0"/>
        <v>Commscope</v>
      </c>
      <c r="B27" s="28" t="s">
        <v>258</v>
      </c>
      <c r="C27" s="39">
        <v>46252</v>
      </c>
      <c r="D27" s="27" t="s">
        <v>259</v>
      </c>
      <c r="E27" s="36" t="str">
        <f t="array" ref="E27">_xlfn.XLOOKUP($D27,Data!$E:$E,Data!$F:$F,"Revisar",0)</f>
        <v>Commscope</v>
      </c>
      <c r="F27" s="36" t="str">
        <f t="array" ref="F27">_xlfn.XLOOKUP($D27,Data!$E:$E,Data!$G:$G,"Revisar",0)</f>
        <v>Maletas VIP</v>
      </c>
      <c r="G27" s="27" t="s">
        <v>262</v>
      </c>
      <c r="H27" s="31">
        <v>1309866</v>
      </c>
      <c r="I27" s="31">
        <v>248874.54</v>
      </c>
      <c r="J27" s="32">
        <f t="shared" si="1"/>
        <v>1558740.54</v>
      </c>
      <c r="K27" s="31">
        <v>37331.179999999935</v>
      </c>
      <c r="L27" s="32">
        <f t="shared" si="2"/>
        <v>1521409.36</v>
      </c>
      <c r="M27" s="33">
        <f>IF($B27="","",SUMIFS('Extractos bancarios - Manglar'!$C:$C,'Extractos bancarios - Manglar'!$M:$M,$B27))</f>
        <v>1521409.36</v>
      </c>
      <c r="N27" s="32">
        <f t="shared" si="8"/>
        <v>0</v>
      </c>
      <c r="O27" s="39">
        <v>46282</v>
      </c>
      <c r="P27" s="160">
        <f t="shared" ca="1" si="3"/>
        <v>0</v>
      </c>
      <c r="Q27" s="26" t="str">
        <f t="shared" si="4"/>
        <v>Al dia</v>
      </c>
      <c r="R27" s="26" t="str">
        <f t="shared" si="9"/>
        <v>Cobrada</v>
      </c>
      <c r="S27" s="40" t="s">
        <v>266</v>
      </c>
      <c r="T27" s="41">
        <f t="shared" si="5"/>
        <v>8</v>
      </c>
      <c r="U27" s="33">
        <f t="shared" si="6"/>
        <v>37331.180999999997</v>
      </c>
      <c r="V27" s="33">
        <f t="shared" si="7"/>
        <v>-1.0000000620493665E-3</v>
      </c>
      <c r="W27" s="1"/>
      <c r="X27" s="1"/>
      <c r="Y27" s="1"/>
      <c r="Z27" s="1"/>
      <c r="AA27" s="1"/>
    </row>
    <row r="28" spans="1:27" ht="15" customHeight="1" x14ac:dyDescent="0.3">
      <c r="A28" s="1" t="str">
        <f t="shared" si="0"/>
        <v>ANIXTER</v>
      </c>
      <c r="B28" s="28" t="s">
        <v>267</v>
      </c>
      <c r="C28" s="39">
        <v>46253</v>
      </c>
      <c r="D28" s="27" t="s">
        <v>268</v>
      </c>
      <c r="E28" s="36" t="str">
        <f t="array" ref="E28">_xlfn.XLOOKUP($D28,Data!$E:$E,Data!$F:$F,"Revisar",0)</f>
        <v>ANIXTER</v>
      </c>
      <c r="F28" s="36" t="str">
        <f t="array" ref="F28">_xlfn.XLOOKUP($D28,Data!$E:$E,Data!$G:$G,"Revisar",0)</f>
        <v>Almuerzo Evento Corferias ESS+</v>
      </c>
      <c r="G28" s="27" t="s">
        <v>269</v>
      </c>
      <c r="H28" s="31">
        <v>22146348</v>
      </c>
      <c r="I28" s="31">
        <v>4207806.12</v>
      </c>
      <c r="J28" s="32">
        <f t="shared" si="1"/>
        <v>26354154.120000001</v>
      </c>
      <c r="K28" s="31">
        <v>631170.92000000004</v>
      </c>
      <c r="L28" s="32">
        <f t="shared" si="2"/>
        <v>25722983.199999999</v>
      </c>
      <c r="M28" s="33">
        <f>IF($B28="","",SUMIFS('Extractos bancarios - Manglar'!$C:$C,'Extractos bancarios - Manglar'!$M:$M,$B28))</f>
        <v>25722983.199999999</v>
      </c>
      <c r="N28" s="32">
        <f t="shared" si="8"/>
        <v>0</v>
      </c>
      <c r="O28" s="39">
        <v>46282</v>
      </c>
      <c r="P28" s="160">
        <f t="shared" ca="1" si="3"/>
        <v>0</v>
      </c>
      <c r="Q28" s="26" t="str">
        <f t="shared" si="4"/>
        <v>Al dia</v>
      </c>
      <c r="R28" s="26" t="str">
        <f t="shared" si="9"/>
        <v>Cobrada</v>
      </c>
      <c r="S28" s="40"/>
      <c r="T28" s="41">
        <f t="shared" si="5"/>
        <v>8</v>
      </c>
      <c r="U28" s="33">
        <f t="shared" si="6"/>
        <v>631170.91799999995</v>
      </c>
      <c r="V28" s="33">
        <f t="shared" si="7"/>
        <v>2.0000000949949026E-3</v>
      </c>
      <c r="W28" s="1"/>
      <c r="X28" s="1"/>
      <c r="Y28" s="1"/>
      <c r="Z28" s="1"/>
      <c r="AA28" s="1"/>
    </row>
    <row r="29" spans="1:27" ht="15" customHeight="1" x14ac:dyDescent="0.3">
      <c r="A29" s="1" t="str">
        <f t="shared" si="0"/>
        <v>AXIS</v>
      </c>
      <c r="B29" s="28" t="s">
        <v>273</v>
      </c>
      <c r="C29" s="39">
        <v>46255</v>
      </c>
      <c r="D29" s="27" t="s">
        <v>274</v>
      </c>
      <c r="E29" s="36" t="str">
        <f t="array" ref="E29">_xlfn.XLOOKUP($D29,Data!$E:$E,Data!$F:$F,"Revisar",0)</f>
        <v>AXIS</v>
      </c>
      <c r="F29" s="36" t="str">
        <f t="array" ref="F29">_xlfn.XLOOKUP($D29,Data!$E:$E,Data!$G:$G,"Revisar",0)</f>
        <v>Catering ESS</v>
      </c>
      <c r="G29" s="27" t="s">
        <v>277</v>
      </c>
      <c r="H29" s="31">
        <v>33582650</v>
      </c>
      <c r="I29" s="31">
        <v>6380703.5</v>
      </c>
      <c r="J29" s="32">
        <f t="shared" si="1"/>
        <v>39963353.5</v>
      </c>
      <c r="K29" s="31">
        <v>957105.53</v>
      </c>
      <c r="L29" s="32">
        <f t="shared" si="2"/>
        <v>39006247.969999999</v>
      </c>
      <c r="M29" s="33">
        <f>IF($B29="","",SUMIFS('Extractos bancarios - Manglar'!$C:$C,'Extractos bancarios - Manglar'!$M:$M,$B29))</f>
        <v>39343373</v>
      </c>
      <c r="N29" s="32">
        <f t="shared" si="8"/>
        <v>-337125.03000000119</v>
      </c>
      <c r="O29" s="39">
        <v>46285</v>
      </c>
      <c r="P29" s="160">
        <f t="shared" ca="1" si="3"/>
        <v>0</v>
      </c>
      <c r="Q29" s="26" t="str">
        <f t="shared" si="4"/>
        <v>Al dia</v>
      </c>
      <c r="R29" s="26" t="str">
        <f t="shared" si="9"/>
        <v>Cobrada</v>
      </c>
      <c r="S29" s="40"/>
      <c r="T29" s="41">
        <f t="shared" si="5"/>
        <v>8</v>
      </c>
      <c r="U29" s="33">
        <f t="shared" si="6"/>
        <v>957105.52499999991</v>
      </c>
      <c r="V29" s="33">
        <f t="shared" si="7"/>
        <v>5.0000001210719347E-3</v>
      </c>
      <c r="W29" s="1"/>
      <c r="X29" s="1"/>
      <c r="Y29" s="1"/>
      <c r="Z29" s="1"/>
      <c r="AA29" s="1"/>
    </row>
    <row r="30" spans="1:27" ht="15" customHeight="1" x14ac:dyDescent="0.3">
      <c r="A30" s="1" t="str">
        <f t="shared" si="0"/>
        <v>Konrad Adenauer Stiftung</v>
      </c>
      <c r="B30" s="28" t="s">
        <v>280</v>
      </c>
      <c r="C30" s="39">
        <v>46266</v>
      </c>
      <c r="D30" s="27" t="s">
        <v>782</v>
      </c>
      <c r="E30" s="36" t="str">
        <f t="array" ref="E30">_xlfn.XLOOKUP($D30,Data!$E:$E,Data!$F:$F,"Revisar",0)</f>
        <v>Konrad Adenauer Stiftung</v>
      </c>
      <c r="F30" s="36" t="str">
        <f t="array" ref="F30">_xlfn.XLOOKUP($D30,Data!$E:$E,Data!$G:$G,"Revisar",0)</f>
        <v>Morrales y letras KAS</v>
      </c>
      <c r="G30" s="27" t="s">
        <v>283</v>
      </c>
      <c r="H30" s="31">
        <v>8510000</v>
      </c>
      <c r="I30" s="31">
        <v>1616900</v>
      </c>
      <c r="J30" s="32">
        <f t="shared" si="1"/>
        <v>10126900</v>
      </c>
      <c r="K30" s="31">
        <v>0</v>
      </c>
      <c r="L30" s="32">
        <f t="shared" si="2"/>
        <v>10126900</v>
      </c>
      <c r="M30" s="33">
        <f>IF($B30="","",SUMIFS('Extractos bancarios - Manglar'!$C:$C,'Extractos bancarios - Manglar'!$M:$M,$B30))</f>
        <v>10126900</v>
      </c>
      <c r="N30" s="32">
        <f t="shared" si="8"/>
        <v>0</v>
      </c>
      <c r="O30" s="39">
        <v>46296</v>
      </c>
      <c r="P30" s="160">
        <f t="shared" ca="1" si="3"/>
        <v>0</v>
      </c>
      <c r="Q30" s="26" t="str">
        <f t="shared" si="4"/>
        <v>Al dia</v>
      </c>
      <c r="R30" s="26" t="str">
        <f t="shared" si="9"/>
        <v>Cobrada</v>
      </c>
      <c r="S30" s="40"/>
      <c r="T30" s="41">
        <f t="shared" si="5"/>
        <v>9</v>
      </c>
      <c r="U30" s="33">
        <f t="shared" si="6"/>
        <v>0</v>
      </c>
      <c r="V30" s="33">
        <f t="shared" si="7"/>
        <v>0</v>
      </c>
      <c r="W30" s="1"/>
      <c r="X30" s="1"/>
      <c r="Y30" s="1"/>
      <c r="Z30" s="1"/>
      <c r="AA30" s="1"/>
    </row>
    <row r="31" spans="1:27" ht="15" customHeight="1" x14ac:dyDescent="0.3">
      <c r="A31" s="1" t="str">
        <f t="shared" si="0"/>
        <v>Kaspersky</v>
      </c>
      <c r="B31" s="28" t="s">
        <v>288</v>
      </c>
      <c r="C31" s="39">
        <v>46267</v>
      </c>
      <c r="D31" s="27" t="s">
        <v>763</v>
      </c>
      <c r="E31" s="36" t="str">
        <f t="array" ref="E31">_xlfn.XLOOKUP($D31,Data!$E:$E,Data!$F:$F,"Revisar",0)</f>
        <v>Kaspersky</v>
      </c>
      <c r="F31" s="36" t="str">
        <f t="array" ref="F31">_xlfn.XLOOKUP($D31,Data!$E:$E,Data!$G:$G,"Revisar",0)</f>
        <v>Actividades Kaspersky Sep</v>
      </c>
      <c r="G31" s="27" t="s">
        <v>292</v>
      </c>
      <c r="H31" s="31">
        <v>16527804</v>
      </c>
      <c r="I31" s="31">
        <v>3140282.76</v>
      </c>
      <c r="J31" s="32">
        <f t="shared" si="1"/>
        <v>19668086.759999998</v>
      </c>
      <c r="K31" s="31">
        <v>471042.41</v>
      </c>
      <c r="L31" s="32">
        <f t="shared" si="2"/>
        <v>19197044.349999998</v>
      </c>
      <c r="M31" s="33">
        <f>IF($B31="","",SUMIFS('Extractos bancarios - Manglar'!$C:$C,'Extractos bancarios - Manglar'!$M:$M,$B31))</f>
        <v>19197044</v>
      </c>
      <c r="N31" s="191">
        <v>0</v>
      </c>
      <c r="O31" s="39">
        <v>46297</v>
      </c>
      <c r="P31" s="160">
        <f t="shared" ca="1" si="3"/>
        <v>0</v>
      </c>
      <c r="Q31" s="26" t="str">
        <f t="shared" si="4"/>
        <v>Al dia</v>
      </c>
      <c r="R31" s="26" t="str">
        <f t="shared" si="9"/>
        <v>Cobrada</v>
      </c>
      <c r="S31" s="40"/>
      <c r="T31" s="41">
        <f t="shared" si="5"/>
        <v>9</v>
      </c>
      <c r="U31" s="33">
        <f t="shared" si="6"/>
        <v>471042.41399999993</v>
      </c>
      <c r="V31" s="33">
        <f t="shared" si="7"/>
        <v>-3.9999999571591616E-3</v>
      </c>
      <c r="W31" s="1"/>
      <c r="X31" s="1"/>
      <c r="Y31" s="1"/>
      <c r="Z31" s="1"/>
      <c r="AA31" s="1"/>
    </row>
    <row r="32" spans="1:27" ht="15" customHeight="1" x14ac:dyDescent="0.3">
      <c r="A32" s="1" t="str">
        <f t="shared" si="0"/>
        <v>AXIS</v>
      </c>
      <c r="B32" s="28" t="s">
        <v>293</v>
      </c>
      <c r="C32" s="39">
        <v>46267</v>
      </c>
      <c r="D32" s="27" t="s">
        <v>294</v>
      </c>
      <c r="E32" s="36" t="str">
        <f t="array" ref="E32">_xlfn.XLOOKUP($D32,Data!$E:$E,Data!$F:$F,"Revisar",0)</f>
        <v>AXIS</v>
      </c>
      <c r="F32" s="36" t="str">
        <f t="array" ref="F32">_xlfn.XLOOKUP($D32,Data!$E:$E,Data!$G:$G,"Revisar",0)</f>
        <v>Adicionales Mezanine ESS+</v>
      </c>
      <c r="G32" s="27" t="s">
        <v>302</v>
      </c>
      <c r="H32" s="31">
        <v>4391660</v>
      </c>
      <c r="I32" s="31">
        <v>834415.4</v>
      </c>
      <c r="J32" s="32">
        <f t="shared" si="1"/>
        <v>5226075.4000000004</v>
      </c>
      <c r="K32" s="31">
        <v>125162.31</v>
      </c>
      <c r="L32" s="32">
        <f t="shared" si="2"/>
        <v>5100913.0900000008</v>
      </c>
      <c r="M32" s="33">
        <f>IF($B32="","",SUMIFS('Extractos bancarios - Manglar'!$C:$C,'Extractos bancarios - Manglar'!$M:$M,$B32))</f>
        <v>5100913.09</v>
      </c>
      <c r="N32" s="191">
        <v>0</v>
      </c>
      <c r="O32" s="39">
        <v>46297</v>
      </c>
      <c r="P32" s="160">
        <f t="shared" ca="1" si="3"/>
        <v>0</v>
      </c>
      <c r="Q32" s="26" t="str">
        <f t="shared" si="4"/>
        <v>Al dia</v>
      </c>
      <c r="R32" s="26" t="str">
        <f t="shared" si="9"/>
        <v>Cobrada</v>
      </c>
      <c r="S32" s="40" t="s">
        <v>145</v>
      </c>
      <c r="T32" s="41">
        <f t="shared" si="5"/>
        <v>9</v>
      </c>
      <c r="U32" s="33">
        <f t="shared" si="6"/>
        <v>125162.31</v>
      </c>
      <c r="V32" s="33">
        <f t="shared" si="7"/>
        <v>0</v>
      </c>
      <c r="W32" s="1"/>
      <c r="X32" s="1"/>
      <c r="Y32" s="1"/>
      <c r="Z32" s="1"/>
      <c r="AA32" s="1"/>
    </row>
    <row r="33" spans="1:27" ht="15" customHeight="1" x14ac:dyDescent="0.3">
      <c r="A33" s="1" t="str">
        <f t="shared" si="0"/>
        <v>AXIS</v>
      </c>
      <c r="B33" s="28" t="s">
        <v>304</v>
      </c>
      <c r="C33" s="39">
        <v>46268</v>
      </c>
      <c r="D33" s="27" t="s">
        <v>305</v>
      </c>
      <c r="E33" s="36" t="str">
        <f t="array" ref="E33">_xlfn.XLOOKUP($D33,Data!$E:$E,Data!$F:$F,"Revisar",0)</f>
        <v>AXIS</v>
      </c>
      <c r="F33" s="36" t="str">
        <f t="array" ref="F33">_xlfn.XLOOKUP($D33,Data!$E:$E,Data!$G:$G,"Revisar",0)</f>
        <v>Recarga Router</v>
      </c>
      <c r="G33" s="27" t="s">
        <v>311</v>
      </c>
      <c r="H33" s="31">
        <v>350000</v>
      </c>
      <c r="I33" s="31">
        <v>66500</v>
      </c>
      <c r="J33" s="32">
        <f t="shared" si="1"/>
        <v>416500</v>
      </c>
      <c r="K33" s="31">
        <v>0</v>
      </c>
      <c r="L33" s="32">
        <f t="shared" si="2"/>
        <v>416500</v>
      </c>
      <c r="M33" s="33">
        <f>IF($B33="","",SUMIFS('Extractos bancarios - Manglar'!$C:$C,'Extractos bancarios - Manglar'!$M:$M,$B33))</f>
        <v>416500</v>
      </c>
      <c r="N33" s="32">
        <f t="shared" si="8"/>
        <v>0</v>
      </c>
      <c r="O33" s="39">
        <v>46298</v>
      </c>
      <c r="P33" s="160">
        <f t="shared" ca="1" si="3"/>
        <v>0</v>
      </c>
      <c r="Q33" s="26" t="str">
        <f t="shared" si="4"/>
        <v>Al dia</v>
      </c>
      <c r="R33" s="26" t="str">
        <f t="shared" si="9"/>
        <v>Cobrada</v>
      </c>
      <c r="S33" s="40" t="s">
        <v>313</v>
      </c>
      <c r="T33" s="41">
        <f t="shared" si="5"/>
        <v>9</v>
      </c>
      <c r="U33" s="33">
        <f t="shared" si="6"/>
        <v>0</v>
      </c>
      <c r="V33" s="33">
        <f t="shared" si="7"/>
        <v>0</v>
      </c>
      <c r="W33" s="1"/>
      <c r="X33" s="1"/>
      <c r="Y33" s="1"/>
      <c r="Z33" s="1"/>
      <c r="AA33" s="1"/>
    </row>
    <row r="34" spans="1:27" ht="15" customHeight="1" x14ac:dyDescent="0.3">
      <c r="A34" s="1" t="str">
        <f t="shared" si="0"/>
        <v>ANIXTER</v>
      </c>
      <c r="B34" s="28" t="s">
        <v>315</v>
      </c>
      <c r="C34" s="39">
        <v>46272</v>
      </c>
      <c r="D34" s="27" t="s">
        <v>316</v>
      </c>
      <c r="E34" s="36" t="str">
        <f t="array" ref="E34">_xlfn.XLOOKUP($D34,Data!$E:$E,Data!$F:$F,"Revisar",0)</f>
        <v>ANIXTER</v>
      </c>
      <c r="F34" s="36" t="str">
        <f t="array" ref="F34">_xlfn.XLOOKUP($D34,Data!$E:$E,Data!$G:$G,"Revisar",0)</f>
        <v>Adicionales Almuerzo ESS+</v>
      </c>
      <c r="G34" s="27" t="s">
        <v>319</v>
      </c>
      <c r="H34" s="31">
        <v>4339753</v>
      </c>
      <c r="I34" s="31">
        <v>824553.07</v>
      </c>
      <c r="J34" s="32">
        <f t="shared" si="1"/>
        <v>5164306.07</v>
      </c>
      <c r="K34" s="31">
        <v>123682.96</v>
      </c>
      <c r="L34" s="32">
        <f t="shared" si="2"/>
        <v>5040623.1100000003</v>
      </c>
      <c r="M34" s="33">
        <f>IF($B34="","",SUMIFS('Extractos bancarios - Manglar'!$C:$C,'Extractos bancarios - Manglar'!$M:$M,$B34))</f>
        <v>5040623.1100000003</v>
      </c>
      <c r="N34" s="32">
        <f t="shared" si="8"/>
        <v>0</v>
      </c>
      <c r="O34" s="39">
        <v>46302</v>
      </c>
      <c r="P34" s="160">
        <f t="shared" ca="1" si="3"/>
        <v>0</v>
      </c>
      <c r="Q34" s="26" t="str">
        <f t="shared" si="4"/>
        <v>Al dia</v>
      </c>
      <c r="R34" s="26" t="str">
        <f t="shared" si="9"/>
        <v>Cobrada</v>
      </c>
      <c r="S34" s="40" t="s">
        <v>145</v>
      </c>
      <c r="T34" s="41">
        <f t="shared" si="5"/>
        <v>9</v>
      </c>
      <c r="U34" s="33">
        <f t="shared" si="6"/>
        <v>123682.96049999999</v>
      </c>
      <c r="V34" s="33">
        <f t="shared" si="7"/>
        <v>-4.9999998009297997E-4</v>
      </c>
      <c r="W34" s="1"/>
      <c r="X34" s="1"/>
      <c r="Y34" s="1"/>
      <c r="Z34" s="1"/>
      <c r="AA34" s="1"/>
    </row>
    <row r="35" spans="1:27" ht="15" customHeight="1" x14ac:dyDescent="0.3">
      <c r="A35" s="1" t="str">
        <f t="shared" si="0"/>
        <v>Kaspersky</v>
      </c>
      <c r="B35" s="28" t="s">
        <v>844</v>
      </c>
      <c r="C35" s="39">
        <v>46279</v>
      </c>
      <c r="D35" s="27" t="s">
        <v>766</v>
      </c>
      <c r="E35" s="36" t="str">
        <f t="array" ref="E35">_xlfn.XLOOKUP($D35,Data!$E:$E,Data!$F:$F,"Revisar",0)</f>
        <v>Kaspersky</v>
      </c>
      <c r="F35" s="36" t="str">
        <f t="array" ref="F35">_xlfn.XLOOKUP($D35,Data!$E:$E,Data!$G:$G,"Revisar",0)</f>
        <v>Alojamiento 24 a 27 de septiembre</v>
      </c>
      <c r="G35" s="27" t="s">
        <v>845</v>
      </c>
      <c r="H35" s="31">
        <v>12705000</v>
      </c>
      <c r="I35" s="31">
        <v>2413950</v>
      </c>
      <c r="J35" s="32">
        <f t="shared" si="1"/>
        <v>15118950</v>
      </c>
      <c r="K35" s="31">
        <v>362092.5</v>
      </c>
      <c r="L35" s="32">
        <f t="shared" si="2"/>
        <v>14756857.5</v>
      </c>
      <c r="M35" s="33">
        <f>IF($B35="","",SUMIFS('Extractos bancarios - Manglar'!$C:$C,'Extractos bancarios - Manglar'!$M:$M,$B35))</f>
        <v>14756858</v>
      </c>
      <c r="N35" s="32">
        <f t="shared" si="8"/>
        <v>-0.5</v>
      </c>
      <c r="O35" s="39">
        <v>46309</v>
      </c>
      <c r="P35" s="160">
        <f t="shared" ca="1" si="3"/>
        <v>0</v>
      </c>
      <c r="Q35" s="26" t="str">
        <f t="shared" si="4"/>
        <v>Al dia</v>
      </c>
      <c r="R35" s="26" t="str">
        <f t="shared" si="9"/>
        <v>Cobrada</v>
      </c>
      <c r="S35" s="40" t="s">
        <v>145</v>
      </c>
      <c r="T35" s="41">
        <f t="shared" si="5"/>
        <v>9</v>
      </c>
      <c r="U35" s="33">
        <f t="shared" si="6"/>
        <v>362092.5</v>
      </c>
      <c r="V35" s="33">
        <f t="shared" si="7"/>
        <v>0</v>
      </c>
      <c r="W35" s="1"/>
      <c r="X35" s="1"/>
      <c r="Y35" s="1"/>
      <c r="Z35" s="1"/>
      <c r="AA35" s="1"/>
    </row>
    <row r="36" spans="1:27" ht="15" customHeight="1" x14ac:dyDescent="0.3">
      <c r="A36" s="1" t="str">
        <f t="shared" si="0"/>
        <v>AXIS</v>
      </c>
      <c r="B36" s="193" t="s">
        <v>932</v>
      </c>
      <c r="C36" s="194">
        <v>46286</v>
      </c>
      <c r="D36" s="195" t="s">
        <v>952</v>
      </c>
      <c r="E36" s="196" t="str">
        <f t="array" ref="E36">_xlfn.XLOOKUP($D36,Data!$E:$E,Data!$F:$F,"Revisar",0)</f>
        <v>AXIS</v>
      </c>
      <c r="F36" s="196" t="str">
        <f t="array" ref="F36">_xlfn.XLOOKUP($D36,Data!$E:$E,Data!$G:$G,"Revisar",0)</f>
        <v>Bono Amazon</v>
      </c>
      <c r="G36" s="195" t="s">
        <v>933</v>
      </c>
      <c r="H36" s="197">
        <v>705000</v>
      </c>
      <c r="I36" s="197">
        <v>133950</v>
      </c>
      <c r="J36" s="198">
        <f t="shared" si="1"/>
        <v>838950</v>
      </c>
      <c r="K36" s="197">
        <v>20092.5</v>
      </c>
      <c r="L36" s="198">
        <f t="shared" si="2"/>
        <v>818857.5</v>
      </c>
      <c r="M36" s="199">
        <f>IF($B36="","",SUMIFS('Extractos bancarios - Manglar'!$C:$C,'Extractos bancarios - Manglar'!$M:$M,$B36))</f>
        <v>808882.91</v>
      </c>
      <c r="N36" s="198">
        <f t="shared" si="8"/>
        <v>9974.5899999999674</v>
      </c>
      <c r="O36" s="194">
        <v>46316</v>
      </c>
      <c r="P36" s="200">
        <f t="shared" ca="1" si="3"/>
        <v>7</v>
      </c>
      <c r="Q36" s="201" t="str">
        <f t="shared" ca="1" si="4"/>
        <v>1-30</v>
      </c>
      <c r="R36" s="201" t="str">
        <f t="shared" si="9"/>
        <v>Parcial</v>
      </c>
      <c r="S36" s="202" t="s">
        <v>145</v>
      </c>
      <c r="T36" s="41">
        <f t="shared" si="5"/>
        <v>9</v>
      </c>
      <c r="U36" s="33">
        <f t="shared" si="6"/>
        <v>20092.5</v>
      </c>
      <c r="V36" s="33">
        <f t="shared" si="7"/>
        <v>0</v>
      </c>
      <c r="W36" s="1"/>
      <c r="X36" s="1"/>
      <c r="Y36" s="1"/>
      <c r="Z36" s="1"/>
      <c r="AA36" s="1"/>
    </row>
    <row r="37" spans="1:27" ht="15" customHeight="1" x14ac:dyDescent="0.3">
      <c r="A37" s="1" t="str">
        <f t="shared" si="0"/>
        <v>Innovaitors</v>
      </c>
      <c r="B37" s="28" t="s">
        <v>1050</v>
      </c>
      <c r="C37" s="39">
        <v>46300</v>
      </c>
      <c r="D37" s="27" t="s">
        <v>937</v>
      </c>
      <c r="E37" s="36" t="str">
        <f t="array" ref="E37">_xlfn.XLOOKUP($D37,Data!$E:$E,Data!$F:$F,"Revisar",0)</f>
        <v>INNOVAITORS</v>
      </c>
      <c r="F37" s="36" t="str">
        <f t="array" ref="F37">_xlfn.XLOOKUP($D37,Data!$E:$E,Data!$G:$G,"Revisar",0)</f>
        <v>Kits Octubre</v>
      </c>
      <c r="G37" s="27" t="s">
        <v>939</v>
      </c>
      <c r="H37" s="31">
        <v>1020000</v>
      </c>
      <c r="I37" s="31">
        <v>193800</v>
      </c>
      <c r="J37" s="32">
        <f t="shared" si="1"/>
        <v>1213800</v>
      </c>
      <c r="K37" s="31">
        <v>29070</v>
      </c>
      <c r="L37" s="32">
        <f t="shared" si="2"/>
        <v>1184730</v>
      </c>
      <c r="M37" s="33">
        <f>IF($B37="","",SUMIFS('Extractos bancarios - Manglar'!$C:$C,'Extractos bancarios - Manglar'!$M:$M,$B37))</f>
        <v>0</v>
      </c>
      <c r="N37" s="32">
        <f t="shared" si="8"/>
        <v>1184730</v>
      </c>
      <c r="O37" s="39">
        <v>46330</v>
      </c>
      <c r="P37" s="160">
        <f t="shared" ca="1" si="3"/>
        <v>0</v>
      </c>
      <c r="Q37" s="26" t="str">
        <f t="shared" ca="1" si="4"/>
        <v>Vigente</v>
      </c>
      <c r="R37" s="26" t="str">
        <f t="shared" si="9"/>
        <v>Pendiente</v>
      </c>
      <c r="S37" s="40" t="s">
        <v>1054</v>
      </c>
      <c r="T37" s="41">
        <f t="shared" si="5"/>
        <v>10</v>
      </c>
      <c r="U37" s="33">
        <f t="shared" si="6"/>
        <v>29070</v>
      </c>
      <c r="V37" s="33">
        <f t="shared" si="7"/>
        <v>0</v>
      </c>
      <c r="W37" s="1"/>
      <c r="X37" s="1"/>
      <c r="Y37" s="1"/>
      <c r="Z37" s="1"/>
      <c r="AA37" s="1"/>
    </row>
    <row r="38" spans="1:27" ht="15" customHeight="1" x14ac:dyDescent="0.3">
      <c r="A38" s="1" t="str">
        <f t="shared" si="0"/>
        <v>AXIS</v>
      </c>
      <c r="B38" s="179" t="s">
        <v>1051</v>
      </c>
      <c r="C38" s="180">
        <v>46300</v>
      </c>
      <c r="D38" s="181" t="s">
        <v>1052</v>
      </c>
      <c r="E38" s="182" t="str">
        <f t="array" ref="E38">_xlfn.XLOOKUP($D38,Data!$E:$E,Data!$F:$F,"Revisar",0)</f>
        <v>AXIS</v>
      </c>
      <c r="F38" s="182" t="str">
        <f t="array" ref="F38">_xlfn.XLOOKUP($D38,Data!$E:$E,Data!$G:$G,"Revisar",0)</f>
        <v>Bono amazon 100 USD ARG</v>
      </c>
      <c r="G38" s="181" t="s">
        <v>1053</v>
      </c>
      <c r="H38" s="183">
        <v>405838</v>
      </c>
      <c r="I38" s="183">
        <v>77109.22</v>
      </c>
      <c r="J38" s="184">
        <f t="shared" si="1"/>
        <v>482947.22</v>
      </c>
      <c r="K38" s="183">
        <v>11566.22</v>
      </c>
      <c r="L38" s="184">
        <f t="shared" si="2"/>
        <v>471381</v>
      </c>
      <c r="M38" s="185">
        <f>IF($B38="","",SUMIFS('Extractos bancarios - Manglar'!$C:$C,'Extractos bancarios - Manglar'!$M:$M,$B38))</f>
        <v>471381</v>
      </c>
      <c r="N38" s="184">
        <f t="shared" si="8"/>
        <v>0</v>
      </c>
      <c r="O38" s="180">
        <v>46330</v>
      </c>
      <c r="P38" s="186">
        <f t="shared" ca="1" si="3"/>
        <v>0</v>
      </c>
      <c r="Q38" s="187" t="str">
        <f t="shared" si="4"/>
        <v>Al dia</v>
      </c>
      <c r="R38" s="187" t="str">
        <f t="shared" si="9"/>
        <v>Cobrada</v>
      </c>
      <c r="S38" s="188" t="s">
        <v>1055</v>
      </c>
      <c r="T38" s="189">
        <f t="shared" si="5"/>
        <v>10</v>
      </c>
      <c r="U38" s="185">
        <f t="shared" si="6"/>
        <v>11566.383</v>
      </c>
      <c r="V38" s="33">
        <f t="shared" si="7"/>
        <v>-0.16300000000046566</v>
      </c>
      <c r="W38" s="1"/>
      <c r="X38" s="1"/>
      <c r="Y38" s="1"/>
      <c r="Z38" s="1"/>
      <c r="AA38" s="1"/>
    </row>
    <row r="39" spans="1:27" ht="15" customHeight="1" x14ac:dyDescent="0.3">
      <c r="A39" s="1" t="str">
        <f t="shared" si="0"/>
        <v>MOTOROLA</v>
      </c>
      <c r="B39" s="28" t="s">
        <v>1115</v>
      </c>
      <c r="C39" s="39">
        <v>46301</v>
      </c>
      <c r="D39" s="27" t="s">
        <v>882</v>
      </c>
      <c r="E39" s="36" t="str">
        <f t="array" ref="E39">_xlfn.XLOOKUP($D39,Data!$E:$E,Data!$F:$F,"Revisar",0)</f>
        <v>MOTOROLA</v>
      </c>
      <c r="F39" s="36" t="str">
        <f t="array" ref="F39">_xlfn.XLOOKUP($D39,Data!$E:$E,Data!$G:$G,"Revisar",0)</f>
        <v>Entrepartners CALI</v>
      </c>
      <c r="G39" s="27" t="s">
        <v>1118</v>
      </c>
      <c r="H39" s="31">
        <v>7449400</v>
      </c>
      <c r="I39" s="31">
        <v>1415386</v>
      </c>
      <c r="J39" s="32">
        <f t="shared" ref="J39:J44" si="10">IF($B39="","",H39+I39)</f>
        <v>8864786</v>
      </c>
      <c r="K39" s="31">
        <v>212307.9</v>
      </c>
      <c r="L39" s="32">
        <f t="shared" ref="L39:L44" si="11">IF($B39="","",J39-K39)</f>
        <v>8652478.0999999996</v>
      </c>
      <c r="M39" s="33">
        <f>IF($B39="","",SUMIFS('Extractos bancarios - Manglar'!$C:$C,'Extractos bancarios - Manglar'!$M:$M,$B39))</f>
        <v>0</v>
      </c>
      <c r="N39" s="32">
        <f t="shared" ref="N39:N44" si="12">IF($B39="","",L39-M39)</f>
        <v>8652478.0999999996</v>
      </c>
      <c r="O39" s="39">
        <v>46331</v>
      </c>
      <c r="P39" s="160">
        <f t="shared" ref="P39:P44" ca="1" si="13">IF($B39="","",IF(N39&lt;=0,0,MAX(0,TODAY()-O39)))</f>
        <v>0</v>
      </c>
      <c r="Q39" s="26" t="str">
        <f t="shared" ref="Q39:Q44" ca="1" si="14">IF($B39="","",IF(N39&lt;=0,"Al dia",IF(P39=0,"Vigente",IF(P39&lt;=30,"1-30",IF(P39&lt;=60,"31-60",IF(P39&lt;=90,"61-90","&gt;90"))))))</f>
        <v>Vigente</v>
      </c>
      <c r="R39" s="26" t="str">
        <f t="shared" ref="R39:R44" si="15">IF($B39="","",IF(N39&lt;=0,"Cobrada",IF(M39=0,"Pendiente","Parcial")))</f>
        <v>Pendiente</v>
      </c>
      <c r="S39" s="40" t="s">
        <v>1121</v>
      </c>
      <c r="T39" s="41">
        <f t="shared" si="5"/>
        <v>10</v>
      </c>
      <c r="U39" s="33">
        <f t="shared" ref="U39:U44" si="16">IF($B39="","",IF(ABS(K39-H39*0.04)&lt;1000,0,IF(K39&gt;=I39*0.15-1000,I39*0.15,0)))</f>
        <v>212307.9</v>
      </c>
      <c r="V39" s="33">
        <f t="shared" ref="V39:V44" si="17">IF($B39="","",K39-U39)</f>
        <v>0</v>
      </c>
      <c r="W39" s="1"/>
      <c r="X39" s="1"/>
      <c r="Y39" s="1"/>
      <c r="Z39" s="1"/>
      <c r="AA39" s="1"/>
    </row>
    <row r="40" spans="1:27" ht="15" customHeight="1" x14ac:dyDescent="0.3">
      <c r="A40" s="1" t="str">
        <f t="shared" si="0"/>
        <v>MOTOROLA</v>
      </c>
      <c r="B40" s="28" t="s">
        <v>1116</v>
      </c>
      <c r="C40" s="39">
        <v>46301</v>
      </c>
      <c r="D40" s="27" t="s">
        <v>883</v>
      </c>
      <c r="E40" s="36" t="str">
        <f t="array" ref="E40">_xlfn.XLOOKUP($D40,Data!$E:$E,Data!$F:$F,"Revisar",0)</f>
        <v>MOTOROLA</v>
      </c>
      <c r="F40" s="36" t="str">
        <f t="array" ref="F40">_xlfn.XLOOKUP($D40,Data!$E:$E,Data!$G:$G,"Revisar",0)</f>
        <v>Entrepartners MEDELLIN</v>
      </c>
      <c r="G40" s="27" t="s">
        <v>1119</v>
      </c>
      <c r="H40" s="31">
        <v>11815900</v>
      </c>
      <c r="I40" s="31">
        <v>2245021</v>
      </c>
      <c r="J40" s="32">
        <f t="shared" si="10"/>
        <v>14060921</v>
      </c>
      <c r="K40" s="31">
        <v>336753.15</v>
      </c>
      <c r="L40" s="32">
        <f t="shared" si="11"/>
        <v>13724167.85</v>
      </c>
      <c r="M40" s="33">
        <f>IF($B40="","",SUMIFS('Extractos bancarios - Manglar'!$C:$C,'Extractos bancarios - Manglar'!$M:$M,$B40))</f>
        <v>0</v>
      </c>
      <c r="N40" s="32">
        <f t="shared" si="12"/>
        <v>13724167.85</v>
      </c>
      <c r="O40" s="39">
        <v>46331</v>
      </c>
      <c r="P40" s="160">
        <f t="shared" ca="1" si="13"/>
        <v>0</v>
      </c>
      <c r="Q40" s="26" t="str">
        <f t="shared" ca="1" si="14"/>
        <v>Vigente</v>
      </c>
      <c r="R40" s="26" t="str">
        <f t="shared" si="15"/>
        <v>Pendiente</v>
      </c>
      <c r="S40" s="40" t="s">
        <v>1121</v>
      </c>
      <c r="T40" s="41">
        <f t="shared" si="5"/>
        <v>10</v>
      </c>
      <c r="U40" s="33">
        <f t="shared" si="16"/>
        <v>336753.14999999997</v>
      </c>
      <c r="V40" s="33">
        <f t="shared" si="17"/>
        <v>5.8207660913467407E-11</v>
      </c>
      <c r="W40" s="1"/>
      <c r="X40" s="1"/>
      <c r="Y40" s="1"/>
      <c r="Z40" s="1"/>
      <c r="AA40" s="1"/>
    </row>
    <row r="41" spans="1:27" ht="15" customHeight="1" x14ac:dyDescent="0.3">
      <c r="A41" s="1" t="str">
        <f t="shared" si="0"/>
        <v>MOTOROLA</v>
      </c>
      <c r="B41" s="28" t="s">
        <v>1117</v>
      </c>
      <c r="C41" s="39">
        <v>46301</v>
      </c>
      <c r="D41" s="27" t="s">
        <v>784</v>
      </c>
      <c r="E41" s="36" t="str">
        <f t="array" ref="E41">_xlfn.XLOOKUP($D41,Data!$E:$E,Data!$F:$F,"Revisar",0)</f>
        <v>MOTOROLA</v>
      </c>
      <c r="F41" s="36" t="str">
        <f t="array" ref="F41">_xlfn.XLOOKUP($D41,Data!$E:$E,Data!$G:$G,"Revisar",0)</f>
        <v>Entrepartners BOGOTA</v>
      </c>
      <c r="G41" s="27" t="s">
        <v>1120</v>
      </c>
      <c r="H41" s="31">
        <v>15723750</v>
      </c>
      <c r="I41" s="31">
        <v>2987512.5</v>
      </c>
      <c r="J41" s="32">
        <f t="shared" si="10"/>
        <v>18711262.5</v>
      </c>
      <c r="K41" s="31">
        <v>448126.88</v>
      </c>
      <c r="L41" s="32">
        <f t="shared" si="11"/>
        <v>18263135.620000001</v>
      </c>
      <c r="M41" s="33">
        <f>IF($B41="","",SUMIFS('Extractos bancarios - Manglar'!$C:$C,'Extractos bancarios - Manglar'!$M:$M,$B41))</f>
        <v>17411594.98</v>
      </c>
      <c r="N41" s="32">
        <f t="shared" si="12"/>
        <v>851540.6400000006</v>
      </c>
      <c r="O41" s="39">
        <v>46331</v>
      </c>
      <c r="P41" s="160">
        <f t="shared" ca="1" si="13"/>
        <v>0</v>
      </c>
      <c r="Q41" s="26" t="str">
        <f t="shared" ca="1" si="14"/>
        <v>Vigente</v>
      </c>
      <c r="R41" s="26" t="str">
        <f t="shared" si="15"/>
        <v>Parcial</v>
      </c>
      <c r="S41" s="40" t="s">
        <v>1122</v>
      </c>
      <c r="T41" s="41">
        <f t="shared" si="5"/>
        <v>10</v>
      </c>
      <c r="U41" s="33">
        <f t="shared" si="16"/>
        <v>448126.875</v>
      </c>
      <c r="V41" s="33">
        <f t="shared" si="17"/>
        <v>5.0000000046566129E-3</v>
      </c>
      <c r="W41" s="1"/>
      <c r="X41" s="1"/>
      <c r="Y41" s="1"/>
      <c r="Z41" s="1"/>
      <c r="AA41" s="1"/>
    </row>
    <row r="42" spans="1:27" ht="15" customHeight="1" x14ac:dyDescent="0.3">
      <c r="A42" s="1" t="e">
        <f t="shared" si="0"/>
        <v>#N/A</v>
      </c>
      <c r="B42" s="28"/>
      <c r="C42" s="39"/>
      <c r="D42" s="27"/>
      <c r="E42" s="36">
        <f t="array" ref="E42">_xlfn.XLOOKUP($D42,Data!$E:$E,Data!$F:$F,"Revisar",0)</f>
        <v>0</v>
      </c>
      <c r="F42" s="36">
        <f t="array" ref="F42">_xlfn.XLOOKUP($D42,Data!$E:$E,Data!$G:$G,"Revisar",0)</f>
        <v>0</v>
      </c>
      <c r="G42" s="27"/>
      <c r="H42" s="31"/>
      <c r="I42" s="31"/>
      <c r="J42" s="32" t="str">
        <f t="shared" si="10"/>
        <v/>
      </c>
      <c r="K42" s="31"/>
      <c r="L42" s="32" t="str">
        <f t="shared" si="11"/>
        <v/>
      </c>
      <c r="M42" s="33" t="str">
        <f>IF($B42="","",SUMIFS('Extractos bancarios - Manglar'!$C:$C,'Extractos bancarios - Manglar'!$M:$M,$B42))</f>
        <v/>
      </c>
      <c r="N42" s="32" t="str">
        <f t="shared" si="12"/>
        <v/>
      </c>
      <c r="O42" s="39"/>
      <c r="P42" s="160" t="str">
        <f t="shared" ca="1" si="13"/>
        <v/>
      </c>
      <c r="Q42" s="26" t="str">
        <f t="shared" si="14"/>
        <v/>
      </c>
      <c r="R42" s="26" t="str">
        <f t="shared" si="15"/>
        <v/>
      </c>
      <c r="S42" s="40"/>
      <c r="T42" s="41" t="str">
        <f t="shared" si="5"/>
        <v/>
      </c>
      <c r="U42" s="33" t="str">
        <f t="shared" si="16"/>
        <v/>
      </c>
      <c r="V42" s="33" t="str">
        <f t="shared" si="17"/>
        <v/>
      </c>
      <c r="W42" s="1"/>
      <c r="X42" s="1"/>
      <c r="Y42" s="1"/>
      <c r="Z42" s="1"/>
      <c r="AA42" s="1"/>
    </row>
    <row r="43" spans="1:27" ht="15" customHeight="1" x14ac:dyDescent="0.3">
      <c r="A43" s="1" t="e">
        <f t="shared" si="0"/>
        <v>#N/A</v>
      </c>
      <c r="B43" s="28"/>
      <c r="C43" s="39"/>
      <c r="D43" s="27"/>
      <c r="E43" s="36">
        <f t="array" ref="E43">_xlfn.XLOOKUP($D43,Data!$E:$E,Data!$F:$F,"Revisar",0)</f>
        <v>0</v>
      </c>
      <c r="F43" s="36">
        <f t="array" ref="F43">_xlfn.XLOOKUP($D43,Data!$E:$E,Data!$G:$G,"Revisar",0)</f>
        <v>0</v>
      </c>
      <c r="G43" s="27"/>
      <c r="H43" s="31"/>
      <c r="I43" s="31"/>
      <c r="J43" s="32" t="str">
        <f t="shared" si="10"/>
        <v/>
      </c>
      <c r="K43" s="31"/>
      <c r="L43" s="32" t="str">
        <f t="shared" si="11"/>
        <v/>
      </c>
      <c r="M43" s="33" t="str">
        <f>IF($B43="","",SUMIFS('Extractos bancarios - Manglar'!$C:$C,'Extractos bancarios - Manglar'!$M:$M,$B43))</f>
        <v/>
      </c>
      <c r="N43" s="32" t="str">
        <f t="shared" si="12"/>
        <v/>
      </c>
      <c r="O43" s="39"/>
      <c r="P43" s="160" t="str">
        <f t="shared" ca="1" si="13"/>
        <v/>
      </c>
      <c r="Q43" s="26" t="str">
        <f t="shared" si="14"/>
        <v/>
      </c>
      <c r="R43" s="26" t="str">
        <f t="shared" si="15"/>
        <v/>
      </c>
      <c r="S43" s="40"/>
      <c r="T43" s="41" t="str">
        <f t="shared" si="5"/>
        <v/>
      </c>
      <c r="U43" s="33" t="str">
        <f t="shared" si="16"/>
        <v/>
      </c>
      <c r="V43" s="33" t="str">
        <f t="shared" si="17"/>
        <v/>
      </c>
      <c r="W43" s="1"/>
      <c r="X43" s="1"/>
      <c r="Y43" s="1"/>
      <c r="Z43" s="1"/>
      <c r="AA43" s="1"/>
    </row>
    <row r="44" spans="1:27" ht="15" customHeight="1" x14ac:dyDescent="0.3">
      <c r="A44" s="1" t="e">
        <f t="shared" si="0"/>
        <v>#N/A</v>
      </c>
      <c r="B44" s="28"/>
      <c r="C44" s="39"/>
      <c r="D44" s="27"/>
      <c r="E44" s="36">
        <f t="array" ref="E44">_xlfn.XLOOKUP($D44,Data!$E:$E,Data!$F:$F,"Revisar",0)</f>
        <v>0</v>
      </c>
      <c r="F44" s="36">
        <f t="array" ref="F44">_xlfn.XLOOKUP($D44,Data!$E:$E,Data!$G:$G,"Revisar",0)</f>
        <v>0</v>
      </c>
      <c r="G44" s="27"/>
      <c r="H44" s="31"/>
      <c r="I44" s="31"/>
      <c r="J44" s="32" t="str">
        <f t="shared" si="10"/>
        <v/>
      </c>
      <c r="K44" s="31"/>
      <c r="L44" s="32" t="str">
        <f t="shared" si="11"/>
        <v/>
      </c>
      <c r="M44" s="33" t="str">
        <f>IF($B44="","",SUMIFS('Extractos bancarios - Manglar'!$C:$C,'Extractos bancarios - Manglar'!$M:$M,$B44))</f>
        <v/>
      </c>
      <c r="N44" s="32" t="str">
        <f t="shared" si="12"/>
        <v/>
      </c>
      <c r="O44" s="39"/>
      <c r="P44" s="160" t="str">
        <f t="shared" ca="1" si="13"/>
        <v/>
      </c>
      <c r="Q44" s="26" t="str">
        <f t="shared" si="14"/>
        <v/>
      </c>
      <c r="R44" s="26" t="str">
        <f t="shared" si="15"/>
        <v/>
      </c>
      <c r="S44" s="40"/>
      <c r="T44" s="41" t="str">
        <f t="shared" si="5"/>
        <v/>
      </c>
      <c r="U44" s="33" t="str">
        <f t="shared" si="16"/>
        <v/>
      </c>
      <c r="V44" s="33" t="str">
        <f t="shared" si="17"/>
        <v/>
      </c>
      <c r="W44" s="1"/>
      <c r="X44" s="1"/>
      <c r="Y44" s="1"/>
      <c r="Z44" s="1"/>
      <c r="AA44" s="1"/>
    </row>
    <row r="45" spans="1:27" ht="15" customHeight="1" x14ac:dyDescent="0.3">
      <c r="A45" s="1" t="e">
        <f t="shared" si="0"/>
        <v>#N/A</v>
      </c>
      <c r="B45" s="28"/>
      <c r="C45" s="39"/>
      <c r="D45" s="27"/>
      <c r="E45" s="36">
        <f t="array" ref="E45">_xlfn.XLOOKUP($D45,Data!$E:$E,Data!$F:$F,"Revisar",0)</f>
        <v>0</v>
      </c>
      <c r="F45" s="36">
        <f t="array" ref="F45">_xlfn.XLOOKUP($D45,Data!$E:$E,Data!$G:$G,"Revisar",0)</f>
        <v>0</v>
      </c>
      <c r="G45" s="27"/>
      <c r="H45" s="31"/>
      <c r="I45" s="31"/>
      <c r="J45" s="32" t="str">
        <f t="shared" si="1"/>
        <v/>
      </c>
      <c r="K45" s="31"/>
      <c r="L45" s="32" t="str">
        <f t="shared" si="2"/>
        <v/>
      </c>
      <c r="M45" s="33" t="str">
        <f>IF($B45="","",SUMIFS('Extractos bancarios - Manglar'!$C:$C,'Extractos bancarios - Manglar'!$M:$M,$B45))</f>
        <v/>
      </c>
      <c r="N45" s="32" t="str">
        <f t="shared" si="8"/>
        <v/>
      </c>
      <c r="O45" s="39"/>
      <c r="P45" s="160" t="str">
        <f t="shared" ca="1" si="3"/>
        <v/>
      </c>
      <c r="Q45" s="26" t="str">
        <f t="shared" si="4"/>
        <v/>
      </c>
      <c r="R45" s="26" t="str">
        <f t="shared" si="9"/>
        <v/>
      </c>
      <c r="S45" s="40"/>
      <c r="T45" s="41" t="str">
        <f t="shared" si="5"/>
        <v/>
      </c>
      <c r="U45" s="33" t="str">
        <f t="shared" si="6"/>
        <v/>
      </c>
      <c r="V45" s="33" t="str">
        <f t="shared" si="7"/>
        <v/>
      </c>
      <c r="W45" s="1"/>
      <c r="X45" s="1"/>
      <c r="Y45" s="1"/>
      <c r="Z45" s="1"/>
      <c r="AA45" s="1"/>
    </row>
    <row r="46" spans="1:27" ht="15" customHeight="1" x14ac:dyDescent="0.3">
      <c r="A46" s="1" t="e">
        <f t="shared" si="0"/>
        <v>#N/A</v>
      </c>
      <c r="B46" s="28"/>
      <c r="C46" s="39"/>
      <c r="D46" s="27"/>
      <c r="E46" s="36">
        <f t="array" ref="E46">_xlfn.XLOOKUP($D46,Data!$E:$E,Data!$F:$F,"Revisar",0)</f>
        <v>0</v>
      </c>
      <c r="F46" s="36">
        <f t="array" ref="F46">_xlfn.XLOOKUP($D46,Data!$E:$E,Data!$G:$G,"Revisar",0)</f>
        <v>0</v>
      </c>
      <c r="G46" s="27"/>
      <c r="H46" s="31"/>
      <c r="I46" s="31"/>
      <c r="J46" s="32" t="str">
        <f t="shared" si="1"/>
        <v/>
      </c>
      <c r="K46" s="31"/>
      <c r="L46" s="32" t="str">
        <f t="shared" si="2"/>
        <v/>
      </c>
      <c r="M46" s="33" t="str">
        <f>IF($B46="","",SUMIFS('Extractos bancarios - Manglar'!$C:$C,'Extractos bancarios - Manglar'!$M:$M,$B46))</f>
        <v/>
      </c>
      <c r="N46" s="32" t="str">
        <f t="shared" si="8"/>
        <v/>
      </c>
      <c r="O46" s="39"/>
      <c r="P46" s="160" t="str">
        <f t="shared" ca="1" si="3"/>
        <v/>
      </c>
      <c r="Q46" s="26" t="str">
        <f t="shared" si="4"/>
        <v/>
      </c>
      <c r="R46" s="26" t="str">
        <f t="shared" si="9"/>
        <v/>
      </c>
      <c r="S46" s="40"/>
      <c r="T46" s="41" t="str">
        <f t="shared" si="5"/>
        <v/>
      </c>
      <c r="U46" s="33" t="str">
        <f t="shared" si="6"/>
        <v/>
      </c>
      <c r="V46" s="33" t="str">
        <f t="shared" si="7"/>
        <v/>
      </c>
      <c r="W46" s="1"/>
      <c r="X46" s="1"/>
      <c r="Y46" s="1"/>
      <c r="Z46" s="1"/>
      <c r="AA46" s="1"/>
    </row>
    <row r="47" spans="1:27" ht="15" customHeight="1" x14ac:dyDescent="0.3">
      <c r="A47" s="1" t="e">
        <f t="shared" si="0"/>
        <v>#N/A</v>
      </c>
      <c r="B47" s="28"/>
      <c r="C47" s="39"/>
      <c r="D47" s="27"/>
      <c r="E47" s="36">
        <f t="array" ref="E47">_xlfn.XLOOKUP($D47,Data!$E:$E,Data!$F:$F,"Revisar",0)</f>
        <v>0</v>
      </c>
      <c r="F47" s="36">
        <f t="array" ref="F47">_xlfn.XLOOKUP($D47,Data!$E:$E,Data!$G:$G,"Revisar",0)</f>
        <v>0</v>
      </c>
      <c r="G47" s="27"/>
      <c r="H47" s="31"/>
      <c r="I47" s="31"/>
      <c r="J47" s="32" t="str">
        <f t="shared" si="1"/>
        <v/>
      </c>
      <c r="K47" s="31"/>
      <c r="L47" s="32" t="str">
        <f t="shared" si="2"/>
        <v/>
      </c>
      <c r="M47" s="33" t="str">
        <f>IF($B47="","",SUMIFS('Extractos bancarios - Manglar'!$C:$C,'Extractos bancarios - Manglar'!$M:$M,$B47))</f>
        <v/>
      </c>
      <c r="N47" s="32" t="str">
        <f t="shared" si="8"/>
        <v/>
      </c>
      <c r="O47" s="39"/>
      <c r="P47" s="160" t="str">
        <f t="shared" ca="1" si="3"/>
        <v/>
      </c>
      <c r="Q47" s="26" t="str">
        <f t="shared" si="4"/>
        <v/>
      </c>
      <c r="R47" s="26" t="str">
        <f t="shared" si="9"/>
        <v/>
      </c>
      <c r="S47" s="40"/>
      <c r="T47" s="41" t="str">
        <f t="shared" si="5"/>
        <v/>
      </c>
      <c r="U47" s="33" t="str">
        <f t="shared" si="6"/>
        <v/>
      </c>
      <c r="V47" s="33" t="str">
        <f t="shared" si="7"/>
        <v/>
      </c>
      <c r="W47" s="1"/>
      <c r="X47" s="1"/>
      <c r="Y47" s="1"/>
      <c r="Z47" s="1"/>
      <c r="AA47" s="1"/>
    </row>
    <row r="48" spans="1:27" ht="15" customHeight="1" x14ac:dyDescent="0.3">
      <c r="A48" s="1" t="e">
        <f t="shared" si="0"/>
        <v>#N/A</v>
      </c>
      <c r="B48" s="28"/>
      <c r="C48" s="39"/>
      <c r="D48" s="27"/>
      <c r="E48" s="36">
        <f t="array" ref="E48">_xlfn.XLOOKUP($D48,Data!$E:$E,Data!$F:$F,"Revisar",0)</f>
        <v>0</v>
      </c>
      <c r="F48" s="36">
        <f t="array" ref="F48">_xlfn.XLOOKUP($D48,Data!$E:$E,Data!$G:$G,"Revisar",0)</f>
        <v>0</v>
      </c>
      <c r="G48" s="27"/>
      <c r="H48" s="31"/>
      <c r="I48" s="31"/>
      <c r="J48" s="32" t="str">
        <f t="shared" si="1"/>
        <v/>
      </c>
      <c r="K48" s="31"/>
      <c r="L48" s="32" t="str">
        <f t="shared" si="2"/>
        <v/>
      </c>
      <c r="M48" s="33" t="str">
        <f>IF($B48="","",SUMIFS('Extractos bancarios - Manglar'!$C:$C,'Extractos bancarios - Manglar'!$M:$M,$B48))</f>
        <v/>
      </c>
      <c r="N48" s="32" t="str">
        <f t="shared" si="8"/>
        <v/>
      </c>
      <c r="O48" s="39"/>
      <c r="P48" s="160" t="str">
        <f t="shared" ca="1" si="3"/>
        <v/>
      </c>
      <c r="Q48" s="26" t="str">
        <f t="shared" si="4"/>
        <v/>
      </c>
      <c r="R48" s="26" t="str">
        <f t="shared" si="9"/>
        <v/>
      </c>
      <c r="S48" s="40"/>
      <c r="T48" s="41" t="str">
        <f t="shared" si="5"/>
        <v/>
      </c>
      <c r="U48" s="33" t="str">
        <f t="shared" si="6"/>
        <v/>
      </c>
      <c r="V48" s="33" t="str">
        <f t="shared" si="7"/>
        <v/>
      </c>
      <c r="W48" s="1"/>
      <c r="X48" s="1"/>
      <c r="Y48" s="1"/>
      <c r="Z48" s="1"/>
      <c r="AA48" s="1"/>
    </row>
    <row r="49" spans="1:27" ht="15" customHeight="1" x14ac:dyDescent="0.3">
      <c r="A49" s="1" t="e">
        <f t="shared" si="0"/>
        <v>#N/A</v>
      </c>
      <c r="B49" s="28"/>
      <c r="C49" s="39"/>
      <c r="D49" s="27"/>
      <c r="E49" s="36">
        <f t="array" ref="E49">_xlfn.XLOOKUP($D49,Data!$E:$E,Data!$F:$F,"Revisar",0)</f>
        <v>0</v>
      </c>
      <c r="F49" s="36">
        <f t="array" ref="F49">_xlfn.XLOOKUP($D49,Data!$E:$E,Data!$G:$G,"Revisar",0)</f>
        <v>0</v>
      </c>
      <c r="G49" s="27"/>
      <c r="H49" s="31"/>
      <c r="I49" s="31"/>
      <c r="J49" s="32" t="str">
        <f t="shared" si="1"/>
        <v/>
      </c>
      <c r="K49" s="31"/>
      <c r="L49" s="32" t="str">
        <f t="shared" si="2"/>
        <v/>
      </c>
      <c r="M49" s="33" t="str">
        <f>IF($B49="","",SUMIFS('Extractos bancarios - Manglar'!$C:$C,'Extractos bancarios - Manglar'!$M:$M,$B49))</f>
        <v/>
      </c>
      <c r="N49" s="32" t="str">
        <f t="shared" si="8"/>
        <v/>
      </c>
      <c r="O49" s="39"/>
      <c r="P49" s="160" t="str">
        <f t="shared" ca="1" si="3"/>
        <v/>
      </c>
      <c r="Q49" s="26" t="str">
        <f t="shared" si="4"/>
        <v/>
      </c>
      <c r="R49" s="26" t="str">
        <f t="shared" si="9"/>
        <v/>
      </c>
      <c r="S49" s="40"/>
      <c r="T49" s="41" t="str">
        <f t="shared" si="5"/>
        <v/>
      </c>
      <c r="U49" s="33" t="str">
        <f t="shared" si="6"/>
        <v/>
      </c>
      <c r="V49" s="33" t="str">
        <f t="shared" si="7"/>
        <v/>
      </c>
      <c r="W49" s="1"/>
      <c r="X49" s="1"/>
      <c r="Y49" s="1"/>
      <c r="Z49" s="1"/>
      <c r="AA49" s="1"/>
    </row>
    <row r="50" spans="1:27" ht="15" customHeight="1" x14ac:dyDescent="0.3">
      <c r="A50" s="1" t="e">
        <f t="shared" si="0"/>
        <v>#N/A</v>
      </c>
      <c r="B50" s="28"/>
      <c r="C50" s="39"/>
      <c r="D50" s="27"/>
      <c r="E50" s="36">
        <f t="array" ref="E50">_xlfn.XLOOKUP($D50,Data!$E:$E,Data!$F:$F,"Revisar",0)</f>
        <v>0</v>
      </c>
      <c r="F50" s="36">
        <f t="array" ref="F50">_xlfn.XLOOKUP($D50,Data!$E:$E,Data!$G:$G,"Revisar",0)</f>
        <v>0</v>
      </c>
      <c r="G50" s="27"/>
      <c r="H50" s="31"/>
      <c r="I50" s="31"/>
      <c r="J50" s="32" t="str">
        <f t="shared" si="1"/>
        <v/>
      </c>
      <c r="K50" s="31"/>
      <c r="L50" s="32" t="str">
        <f t="shared" si="2"/>
        <v/>
      </c>
      <c r="M50" s="33" t="str">
        <f>IF($B50="","",SUMIFS('Extractos bancarios - Manglar'!$C:$C,'Extractos bancarios - Manglar'!$M:$M,$B50))</f>
        <v/>
      </c>
      <c r="N50" s="32" t="str">
        <f t="shared" si="8"/>
        <v/>
      </c>
      <c r="O50" s="39"/>
      <c r="P50" s="160" t="str">
        <f t="shared" ca="1" si="3"/>
        <v/>
      </c>
      <c r="Q50" s="26" t="str">
        <f t="shared" si="4"/>
        <v/>
      </c>
      <c r="R50" s="26" t="str">
        <f t="shared" si="9"/>
        <v/>
      </c>
      <c r="S50" s="40"/>
      <c r="T50" s="41" t="str">
        <f t="shared" si="5"/>
        <v/>
      </c>
      <c r="U50" s="33" t="str">
        <f t="shared" si="6"/>
        <v/>
      </c>
      <c r="V50" s="33" t="str">
        <f t="shared" si="7"/>
        <v/>
      </c>
      <c r="W50" s="1"/>
      <c r="X50" s="1"/>
      <c r="Y50" s="1"/>
      <c r="Z50" s="1"/>
      <c r="AA50" s="1"/>
    </row>
    <row r="51" spans="1:27" ht="15" customHeight="1" x14ac:dyDescent="0.3">
      <c r="A51" s="1" t="e">
        <f t="shared" si="0"/>
        <v>#N/A</v>
      </c>
      <c r="B51" s="28"/>
      <c r="C51" s="39"/>
      <c r="D51" s="27"/>
      <c r="E51" s="36">
        <f t="array" ref="E51">_xlfn.XLOOKUP($D51,Data!$E:$E,Data!$F:$F,"Revisar",0)</f>
        <v>0</v>
      </c>
      <c r="F51" s="36">
        <f t="array" ref="F51">_xlfn.XLOOKUP($D51,Data!$E:$E,Data!$G:$G,"Revisar",0)</f>
        <v>0</v>
      </c>
      <c r="G51" s="27"/>
      <c r="H51" s="31"/>
      <c r="I51" s="31"/>
      <c r="J51" s="32" t="str">
        <f t="shared" si="1"/>
        <v/>
      </c>
      <c r="K51" s="31"/>
      <c r="L51" s="32" t="str">
        <f t="shared" si="2"/>
        <v/>
      </c>
      <c r="M51" s="33" t="str">
        <f>IF($B51="","",SUMIFS('Extractos bancarios - Manglar'!$C:$C,'Extractos bancarios - Manglar'!$M:$M,$B51))</f>
        <v/>
      </c>
      <c r="N51" s="32" t="str">
        <f t="shared" si="8"/>
        <v/>
      </c>
      <c r="O51" s="39"/>
      <c r="P51" s="160" t="str">
        <f t="shared" ca="1" si="3"/>
        <v/>
      </c>
      <c r="Q51" s="26" t="str">
        <f t="shared" si="4"/>
        <v/>
      </c>
      <c r="R51" s="26" t="str">
        <f t="shared" si="9"/>
        <v/>
      </c>
      <c r="S51" s="40"/>
      <c r="T51" s="41" t="str">
        <f t="shared" si="5"/>
        <v/>
      </c>
      <c r="U51" s="33" t="str">
        <f t="shared" si="6"/>
        <v/>
      </c>
      <c r="V51" s="33" t="str">
        <f t="shared" si="7"/>
        <v/>
      </c>
      <c r="W51" s="1"/>
      <c r="X51" s="1"/>
      <c r="Y51" s="1"/>
      <c r="Z51" s="1"/>
      <c r="AA51" s="1"/>
    </row>
    <row r="52" spans="1:27" ht="15" customHeight="1" x14ac:dyDescent="0.3">
      <c r="A52" s="1"/>
      <c r="B52" s="5" t="s">
        <v>352</v>
      </c>
      <c r="C52" s="36"/>
      <c r="D52" s="36"/>
      <c r="E52" s="36"/>
      <c r="F52" s="36"/>
      <c r="G52" s="36"/>
      <c r="H52" s="32">
        <f t="shared" ref="H52:N52" si="18">SUM(H11:H51)</f>
        <v>486681543</v>
      </c>
      <c r="I52" s="32">
        <f t="shared" si="18"/>
        <v>92469493.170000002</v>
      </c>
      <c r="J52" s="32">
        <f t="shared" si="18"/>
        <v>579151036.17000008</v>
      </c>
      <c r="K52" s="32">
        <f t="shared" si="18"/>
        <v>13189918.610000003</v>
      </c>
      <c r="L52" s="32">
        <f t="shared" si="18"/>
        <v>565961117.56000006</v>
      </c>
      <c r="M52" s="32">
        <f t="shared" si="18"/>
        <v>541565951.55999994</v>
      </c>
      <c r="N52" s="32">
        <f t="shared" si="18"/>
        <v>24395165.649999999</v>
      </c>
      <c r="O52" s="36"/>
      <c r="P52" s="36"/>
      <c r="Q52" s="36"/>
      <c r="R52" s="36"/>
      <c r="S52" s="36"/>
      <c r="T52" s="36"/>
      <c r="U52" s="32">
        <f t="shared" ref="U52:V52" si="19">SUM(U11:U51)</f>
        <v>7594007.7704999996</v>
      </c>
      <c r="V52" s="32">
        <f t="shared" si="19"/>
        <v>5595910.8394999998</v>
      </c>
      <c r="W52" s="1"/>
      <c r="X52" s="1"/>
      <c r="Y52" s="1"/>
      <c r="Z52" s="1"/>
      <c r="AA52" s="1"/>
    </row>
    <row r="53" spans="1:27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 customHeight="1" x14ac:dyDescent="0.3">
      <c r="A54" s="1"/>
      <c r="B54" s="5" t="s">
        <v>355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1"/>
      <c r="V54" s="1"/>
      <c r="W54" s="1"/>
      <c r="X54" s="1"/>
      <c r="Y54" s="1"/>
      <c r="Z54" s="1"/>
      <c r="AA54" s="1"/>
    </row>
    <row r="55" spans="1:27" ht="15" customHeight="1" x14ac:dyDescent="0.3">
      <c r="A55" s="1"/>
      <c r="B55" s="6" t="s">
        <v>356</v>
      </c>
      <c r="C55" s="6" t="s">
        <v>0</v>
      </c>
      <c r="D55" s="28"/>
      <c r="E55" s="6" t="s">
        <v>9</v>
      </c>
      <c r="F55" s="6" t="s">
        <v>116</v>
      </c>
      <c r="G55" s="6" t="s">
        <v>117</v>
      </c>
      <c r="H55" s="6" t="s">
        <v>118</v>
      </c>
      <c r="I55" s="6" t="s">
        <v>357</v>
      </c>
      <c r="J55" s="36"/>
      <c r="K55" s="36"/>
      <c r="L55" s="31"/>
      <c r="M55" s="36"/>
      <c r="N55" s="36"/>
      <c r="O55" s="36"/>
      <c r="P55" s="36"/>
      <c r="Q55" s="36"/>
      <c r="R55" s="36"/>
      <c r="S55" s="6" t="s">
        <v>358</v>
      </c>
      <c r="T55" s="36"/>
      <c r="U55" s="1"/>
      <c r="V55" s="1"/>
      <c r="W55" s="1"/>
      <c r="X55" s="1"/>
      <c r="Y55" s="1"/>
      <c r="Z55" s="1"/>
      <c r="AA55" s="1"/>
    </row>
    <row r="56" spans="1:27" ht="15" customHeight="1" x14ac:dyDescent="0.3">
      <c r="A56" s="1"/>
      <c r="B56" s="28" t="s">
        <v>359</v>
      </c>
      <c r="C56" s="67">
        <v>46140</v>
      </c>
      <c r="D56" s="27"/>
      <c r="E56" s="27" t="s">
        <v>363</v>
      </c>
      <c r="F56" s="27" t="s">
        <v>364</v>
      </c>
      <c r="G56" s="31">
        <v>-8032857</v>
      </c>
      <c r="H56" s="31">
        <v>-1526242.83</v>
      </c>
      <c r="I56" s="33">
        <f t="shared" ref="I56:I61" si="20">IF($B56="","",G56+H56)</f>
        <v>-9559099.8300000001</v>
      </c>
      <c r="J56" s="36"/>
      <c r="K56" s="36"/>
      <c r="L56" s="31"/>
      <c r="M56" s="36"/>
      <c r="N56" s="36"/>
      <c r="O56" s="36"/>
      <c r="P56" s="36"/>
      <c r="Q56" s="36"/>
      <c r="R56" s="36"/>
      <c r="S56" s="21" t="s">
        <v>365</v>
      </c>
      <c r="T56" s="36"/>
      <c r="U56" s="1"/>
      <c r="V56" s="1"/>
      <c r="W56" s="1"/>
      <c r="X56" s="1"/>
      <c r="Y56" s="1"/>
      <c r="Z56" s="1"/>
      <c r="AA56" s="1"/>
    </row>
    <row r="57" spans="1:27" ht="15" customHeight="1" x14ac:dyDescent="0.3">
      <c r="A57" s="1"/>
      <c r="B57" s="28" t="s">
        <v>366</v>
      </c>
      <c r="C57" s="67">
        <v>46206</v>
      </c>
      <c r="D57" s="27"/>
      <c r="E57" s="27" t="s">
        <v>230</v>
      </c>
      <c r="F57" s="27" t="s">
        <v>198</v>
      </c>
      <c r="G57" s="31">
        <v>-2744000</v>
      </c>
      <c r="H57" s="31">
        <v>-521360</v>
      </c>
      <c r="I57" s="33">
        <f t="shared" si="20"/>
        <v>-3265360</v>
      </c>
      <c r="J57" s="36"/>
      <c r="K57" s="36"/>
      <c r="L57" s="36"/>
      <c r="M57" s="36"/>
      <c r="N57" s="36"/>
      <c r="O57" s="36"/>
      <c r="P57" s="36"/>
      <c r="Q57" s="36"/>
      <c r="R57" s="36"/>
      <c r="S57" s="21" t="s">
        <v>367</v>
      </c>
      <c r="T57" s="36"/>
      <c r="U57" s="1"/>
      <c r="V57" s="1"/>
      <c r="W57" s="1"/>
      <c r="X57" s="1"/>
      <c r="Y57" s="1"/>
      <c r="Z57" s="1"/>
      <c r="AA57" s="1"/>
    </row>
    <row r="58" spans="1:27" ht="15" customHeight="1" x14ac:dyDescent="0.3">
      <c r="A58" s="1"/>
      <c r="B58" s="28" t="s">
        <v>368</v>
      </c>
      <c r="C58" s="67">
        <v>46206</v>
      </c>
      <c r="D58" s="27"/>
      <c r="E58" s="27" t="s">
        <v>230</v>
      </c>
      <c r="F58" s="27" t="s">
        <v>204</v>
      </c>
      <c r="G58" s="31">
        <v>-10875250</v>
      </c>
      <c r="H58" s="31">
        <v>-2066297.5</v>
      </c>
      <c r="I58" s="33">
        <f t="shared" si="20"/>
        <v>-12941547.5</v>
      </c>
      <c r="J58" s="36"/>
      <c r="K58" s="36"/>
      <c r="L58" s="36"/>
      <c r="M58" s="36"/>
      <c r="N58" s="36"/>
      <c r="O58" s="36"/>
      <c r="P58" s="36"/>
      <c r="Q58" s="36"/>
      <c r="R58" s="36"/>
      <c r="S58" s="21" t="s">
        <v>370</v>
      </c>
      <c r="T58" s="36"/>
      <c r="U58" s="1"/>
      <c r="V58" s="1"/>
      <c r="W58" s="1"/>
      <c r="X58" s="1"/>
      <c r="Y58" s="1"/>
      <c r="Z58" s="1"/>
      <c r="AA58" s="1"/>
    </row>
    <row r="59" spans="1:27" ht="15" customHeight="1" x14ac:dyDescent="0.3">
      <c r="A59" s="1"/>
      <c r="B59" s="28" t="s">
        <v>1123</v>
      </c>
      <c r="C59" s="67">
        <v>46301</v>
      </c>
      <c r="D59" s="27"/>
      <c r="E59" s="27" t="s">
        <v>785</v>
      </c>
      <c r="F59" s="27" t="s">
        <v>1124</v>
      </c>
      <c r="G59" s="31">
        <v>-15723750</v>
      </c>
      <c r="H59" s="31">
        <v>-2987512.5</v>
      </c>
      <c r="I59" s="33">
        <f t="shared" si="20"/>
        <v>-18711262.5</v>
      </c>
      <c r="J59" s="36"/>
      <c r="K59" s="36"/>
      <c r="L59" s="36"/>
      <c r="M59" s="36"/>
      <c r="N59" s="36"/>
      <c r="O59" s="36"/>
      <c r="P59" s="36"/>
      <c r="Q59" s="36"/>
      <c r="R59" s="36"/>
      <c r="S59" s="21"/>
      <c r="T59" s="36"/>
      <c r="U59" s="1"/>
      <c r="V59" s="1"/>
      <c r="W59" s="1"/>
      <c r="X59" s="1"/>
      <c r="Y59" s="1"/>
      <c r="Z59" s="1"/>
      <c r="AA59" s="1"/>
    </row>
    <row r="60" spans="1:27" ht="15" customHeight="1" x14ac:dyDescent="0.3">
      <c r="A60" s="1"/>
      <c r="B60" s="28"/>
      <c r="C60" s="67"/>
      <c r="D60" s="27"/>
      <c r="E60" s="27"/>
      <c r="F60" s="27"/>
      <c r="G60" s="31"/>
      <c r="H60" s="31"/>
      <c r="I60" s="33" t="str">
        <f t="shared" si="20"/>
        <v/>
      </c>
      <c r="J60" s="36"/>
      <c r="K60" s="36"/>
      <c r="L60" s="36"/>
      <c r="M60" s="36"/>
      <c r="N60" s="36"/>
      <c r="O60" s="36"/>
      <c r="P60" s="36"/>
      <c r="Q60" s="36"/>
      <c r="R60" s="36"/>
      <c r="S60" s="21"/>
      <c r="T60" s="36"/>
      <c r="U60" s="1"/>
      <c r="V60" s="1"/>
      <c r="W60" s="1"/>
      <c r="X60" s="1"/>
      <c r="Y60" s="1"/>
      <c r="Z60" s="1"/>
      <c r="AA60" s="1"/>
    </row>
    <row r="61" spans="1:27" ht="15" customHeight="1" x14ac:dyDescent="0.3">
      <c r="A61" s="1"/>
      <c r="B61" s="28"/>
      <c r="C61" s="67"/>
      <c r="D61" s="27"/>
      <c r="E61" s="27"/>
      <c r="F61" s="27"/>
      <c r="G61" s="31"/>
      <c r="H61" s="31"/>
      <c r="I61" s="33" t="str">
        <f t="shared" si="20"/>
        <v/>
      </c>
      <c r="J61" s="36"/>
      <c r="K61" s="36"/>
      <c r="L61" s="36"/>
      <c r="M61" s="36"/>
      <c r="N61" s="36"/>
      <c r="O61" s="36"/>
      <c r="P61" s="36"/>
      <c r="Q61" s="36"/>
      <c r="R61" s="36"/>
      <c r="S61" s="21"/>
      <c r="T61" s="36"/>
      <c r="U61" s="1"/>
      <c r="V61" s="1"/>
      <c r="W61" s="1"/>
      <c r="X61" s="1"/>
      <c r="Y61" s="1"/>
      <c r="Z61" s="1"/>
      <c r="AA61" s="1"/>
    </row>
    <row r="62" spans="1:27" ht="15" customHeight="1" x14ac:dyDescent="0.3">
      <c r="A62" s="1"/>
      <c r="B62" s="5" t="s">
        <v>352</v>
      </c>
      <c r="C62" s="36"/>
      <c r="D62" s="36"/>
      <c r="E62" s="36"/>
      <c r="F62" s="36"/>
      <c r="G62" s="32">
        <f t="shared" ref="G62:I62" si="21">SUM(G56:G61)</f>
        <v>-37375857</v>
      </c>
      <c r="H62" s="32">
        <f t="shared" si="21"/>
        <v>-7101412.8300000001</v>
      </c>
      <c r="I62" s="32">
        <f t="shared" si="21"/>
        <v>-44477269.829999998</v>
      </c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customHeight="1" x14ac:dyDescent="0.3">
      <c r="A64" s="1"/>
      <c r="B64" s="208" t="s">
        <v>379</v>
      </c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1"/>
      <c r="V64" s="1"/>
      <c r="W64" s="1"/>
      <c r="X64" s="1"/>
      <c r="Y64" s="1"/>
      <c r="Z64" s="1"/>
      <c r="AA64" s="1"/>
    </row>
    <row r="65" spans="1:27" ht="23.25" customHeight="1" x14ac:dyDescent="0.3">
      <c r="A65" s="1"/>
      <c r="B65" s="6" t="s">
        <v>9</v>
      </c>
      <c r="C65" s="6" t="s">
        <v>119</v>
      </c>
      <c r="D65" s="6"/>
      <c r="E65" s="6" t="s">
        <v>43</v>
      </c>
      <c r="F65" s="6" t="s">
        <v>121</v>
      </c>
      <c r="G65" s="6" t="s">
        <v>380</v>
      </c>
      <c r="H65" s="6" t="s">
        <v>381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 customHeight="1" x14ac:dyDescent="0.3">
      <c r="A66" s="1"/>
      <c r="B66" s="36" t="s">
        <v>382</v>
      </c>
      <c r="C66" s="33">
        <f t="shared" ref="C66:C79" si="22">SUMIFS($J$11:$J$51,$E$11:$E$51,$B66)</f>
        <v>61202603.210000001</v>
      </c>
      <c r="D66" s="33"/>
      <c r="E66" s="33">
        <f t="shared" ref="E66:E79" si="23">SUMIFS($K$11:$K$51,$E$11:$E$51,$B66)</f>
        <v>1465776.63</v>
      </c>
      <c r="F66" s="33">
        <f t="shared" ref="F66:F79" si="24">SUMIFS($M$11:$M$51,$E$11:$E$51,$B66)</f>
        <v>59736826.579999998</v>
      </c>
      <c r="G66" s="32">
        <f t="shared" ref="G66:G79" si="25">SUMIFS($N$11:$N$51,$E$11:$E$51,$B66)</f>
        <v>0</v>
      </c>
      <c r="H66" s="71">
        <f t="shared" ref="H66:H79" si="26">IFERROR(F66/C66,0)</f>
        <v>0.97605042019257593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 customHeight="1" x14ac:dyDescent="0.3">
      <c r="A67" s="1"/>
      <c r="B67" s="36" t="s">
        <v>230</v>
      </c>
      <c r="C67" s="33">
        <f t="shared" si="22"/>
        <v>107993945.85000001</v>
      </c>
      <c r="D67" s="33"/>
      <c r="E67" s="33">
        <f t="shared" si="23"/>
        <v>2410308.29</v>
      </c>
      <c r="F67" s="33">
        <f t="shared" si="24"/>
        <v>105910788</v>
      </c>
      <c r="G67" s="32">
        <f t="shared" si="25"/>
        <v>-327150.44000000122</v>
      </c>
      <c r="H67" s="71">
        <f t="shared" si="26"/>
        <v>0.98071042007397857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 customHeight="1" x14ac:dyDescent="0.3">
      <c r="A68" s="1"/>
      <c r="B68" s="36" t="s">
        <v>388</v>
      </c>
      <c r="C68" s="33">
        <f t="shared" si="22"/>
        <v>8991140.1999999993</v>
      </c>
      <c r="D68" s="33"/>
      <c r="E68" s="33">
        <f t="shared" si="23"/>
        <v>215334.03000000003</v>
      </c>
      <c r="F68" s="33">
        <f t="shared" si="24"/>
        <v>8775806.1699999999</v>
      </c>
      <c r="G68" s="32">
        <f t="shared" si="25"/>
        <v>0</v>
      </c>
      <c r="H68" s="71">
        <f t="shared" si="26"/>
        <v>0.97605042016806731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customHeight="1" x14ac:dyDescent="0.3">
      <c r="A69" s="1"/>
      <c r="B69" s="36" t="s">
        <v>389</v>
      </c>
      <c r="C69" s="33">
        <f t="shared" si="22"/>
        <v>3617600</v>
      </c>
      <c r="D69" s="33"/>
      <c r="E69" s="33">
        <f t="shared" si="23"/>
        <v>55700</v>
      </c>
      <c r="F69" s="33">
        <f t="shared" si="24"/>
        <v>2067770</v>
      </c>
      <c r="G69" s="32">
        <f t="shared" si="25"/>
        <v>1494130</v>
      </c>
      <c r="H69" s="71">
        <f t="shared" si="26"/>
        <v>0.57158613445378148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customHeight="1" x14ac:dyDescent="0.3">
      <c r="A70" s="1"/>
      <c r="B70" s="36" t="s">
        <v>62</v>
      </c>
      <c r="C70" s="33">
        <f t="shared" si="22"/>
        <v>106663042.71000001</v>
      </c>
      <c r="D70" s="33"/>
      <c r="E70" s="33">
        <f t="shared" si="23"/>
        <v>2554534.86</v>
      </c>
      <c r="F70" s="33">
        <f t="shared" si="24"/>
        <v>104108508</v>
      </c>
      <c r="G70" s="32">
        <f t="shared" si="25"/>
        <v>-0.5</v>
      </c>
      <c r="H70" s="71">
        <f t="shared" si="26"/>
        <v>0.97605042341661497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customHeight="1" x14ac:dyDescent="0.3">
      <c r="A71" s="1"/>
      <c r="B71" s="36" t="s">
        <v>363</v>
      </c>
      <c r="C71" s="33">
        <f t="shared" si="22"/>
        <v>19769180.829999998</v>
      </c>
      <c r="D71" s="33"/>
      <c r="E71" s="33">
        <f t="shared" si="23"/>
        <v>0</v>
      </c>
      <c r="F71" s="33">
        <f t="shared" si="24"/>
        <v>19769180.829999998</v>
      </c>
      <c r="G71" s="32">
        <f t="shared" si="25"/>
        <v>0</v>
      </c>
      <c r="H71" s="71">
        <f t="shared" si="26"/>
        <v>1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customHeight="1" x14ac:dyDescent="0.3">
      <c r="A72" s="1"/>
      <c r="B72" s="36" t="s">
        <v>393</v>
      </c>
      <c r="C72" s="33">
        <f t="shared" si="22"/>
        <v>229276553.87</v>
      </c>
      <c r="D72" s="33"/>
      <c r="E72" s="33">
        <f t="shared" si="23"/>
        <v>5491076.8700000001</v>
      </c>
      <c r="F72" s="33">
        <f t="shared" si="24"/>
        <v>223785477</v>
      </c>
      <c r="G72" s="32">
        <f t="shared" si="25"/>
        <v>0</v>
      </c>
      <c r="H72" s="71">
        <f t="shared" si="26"/>
        <v>0.97605042130424968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customHeight="1" x14ac:dyDescent="0.3">
      <c r="A73" s="1"/>
      <c r="B73" s="36" t="s">
        <v>785</v>
      </c>
      <c r="C73" s="33">
        <f t="shared" si="22"/>
        <v>41636969.5</v>
      </c>
      <c r="D73" s="33"/>
      <c r="E73" s="33">
        <f t="shared" si="23"/>
        <v>997187.93</v>
      </c>
      <c r="F73" s="33">
        <f t="shared" si="24"/>
        <v>17411594.98</v>
      </c>
      <c r="G73" s="32">
        <f t="shared" si="25"/>
        <v>23228186.59</v>
      </c>
      <c r="H73" s="71">
        <f t="shared" si="26"/>
        <v>0.41817632717001657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customHeight="1" x14ac:dyDescent="0.3">
      <c r="A74" s="1"/>
      <c r="B74" s="36"/>
      <c r="C74" s="33">
        <f t="shared" si="22"/>
        <v>0</v>
      </c>
      <c r="D74" s="33"/>
      <c r="E74" s="33">
        <f t="shared" si="23"/>
        <v>0</v>
      </c>
      <c r="F74" s="33">
        <f t="shared" si="24"/>
        <v>0</v>
      </c>
      <c r="G74" s="32">
        <f t="shared" si="25"/>
        <v>0</v>
      </c>
      <c r="H74" s="71">
        <f t="shared" si="26"/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 customHeight="1" x14ac:dyDescent="0.3">
      <c r="A75" s="1"/>
      <c r="B75" s="36"/>
      <c r="C75" s="33">
        <f t="shared" si="22"/>
        <v>0</v>
      </c>
      <c r="D75" s="33"/>
      <c r="E75" s="33">
        <f t="shared" si="23"/>
        <v>0</v>
      </c>
      <c r="F75" s="33">
        <f t="shared" si="24"/>
        <v>0</v>
      </c>
      <c r="G75" s="32">
        <f t="shared" si="25"/>
        <v>0</v>
      </c>
      <c r="H75" s="71">
        <f t="shared" si="26"/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 customHeight="1" x14ac:dyDescent="0.3">
      <c r="A76" s="1"/>
      <c r="B76" s="36"/>
      <c r="C76" s="33">
        <f t="shared" si="22"/>
        <v>0</v>
      </c>
      <c r="D76" s="33"/>
      <c r="E76" s="33">
        <f t="shared" si="23"/>
        <v>0</v>
      </c>
      <c r="F76" s="33">
        <f t="shared" si="24"/>
        <v>0</v>
      </c>
      <c r="G76" s="32">
        <f t="shared" si="25"/>
        <v>0</v>
      </c>
      <c r="H76" s="71">
        <f t="shared" si="26"/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 customHeight="1" x14ac:dyDescent="0.3">
      <c r="A77" s="1"/>
      <c r="B77" s="36"/>
      <c r="C77" s="33">
        <f t="shared" si="22"/>
        <v>0</v>
      </c>
      <c r="D77" s="33"/>
      <c r="E77" s="33">
        <f t="shared" si="23"/>
        <v>0</v>
      </c>
      <c r="F77" s="33">
        <f t="shared" si="24"/>
        <v>0</v>
      </c>
      <c r="G77" s="32">
        <f t="shared" si="25"/>
        <v>0</v>
      </c>
      <c r="H77" s="71">
        <f t="shared" si="26"/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 customHeight="1" x14ac:dyDescent="0.3">
      <c r="A78" s="1"/>
      <c r="B78" s="36"/>
      <c r="C78" s="33">
        <f t="shared" si="22"/>
        <v>0</v>
      </c>
      <c r="D78" s="33"/>
      <c r="E78" s="33">
        <f t="shared" si="23"/>
        <v>0</v>
      </c>
      <c r="F78" s="33">
        <f t="shared" si="24"/>
        <v>0</v>
      </c>
      <c r="G78" s="32">
        <f t="shared" si="25"/>
        <v>0</v>
      </c>
      <c r="H78" s="71">
        <f t="shared" si="26"/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 customHeight="1" x14ac:dyDescent="0.3">
      <c r="A79" s="1"/>
      <c r="B79" s="36"/>
      <c r="C79" s="33">
        <f t="shared" si="22"/>
        <v>0</v>
      </c>
      <c r="D79" s="33"/>
      <c r="E79" s="33">
        <f t="shared" si="23"/>
        <v>0</v>
      </c>
      <c r="F79" s="33">
        <f t="shared" si="24"/>
        <v>0</v>
      </c>
      <c r="G79" s="32">
        <f t="shared" si="25"/>
        <v>0</v>
      </c>
      <c r="H79" s="71">
        <f t="shared" si="26"/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9" customHeight="1" x14ac:dyDescent="0.3">
      <c r="A80" s="1"/>
      <c r="B80" s="5"/>
      <c r="C80" s="32"/>
      <c r="D80" s="32"/>
      <c r="E80" s="32"/>
      <c r="F80" s="32"/>
      <c r="G80" s="32"/>
      <c r="H80" s="7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 customHeight="1" x14ac:dyDescent="0.3">
      <c r="A81" s="1"/>
      <c r="B81" s="5" t="s">
        <v>352</v>
      </c>
      <c r="C81" s="32">
        <f>SUM(C66:C72)</f>
        <v>537514066.67000008</v>
      </c>
      <c r="D81" s="32"/>
      <c r="E81" s="32">
        <f t="shared" ref="E81:G81" si="27">SUM(E66:E80)</f>
        <v>13189918.609999999</v>
      </c>
      <c r="F81" s="32">
        <f t="shared" si="27"/>
        <v>541565951.55999994</v>
      </c>
      <c r="G81" s="32">
        <f t="shared" si="27"/>
        <v>24395165.649999999</v>
      </c>
      <c r="H81" s="72">
        <f>IFERROR(F81/C81,0)</f>
        <v>1.0075381932143694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 customHeight="1" x14ac:dyDescent="0.3">
      <c r="A83" s="1"/>
      <c r="B83" s="208" t="s">
        <v>404</v>
      </c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1"/>
      <c r="V83" s="1"/>
      <c r="W83" s="1"/>
      <c r="X83" s="1"/>
      <c r="Y83" s="1"/>
      <c r="Z83" s="1"/>
      <c r="AA83" s="1"/>
    </row>
    <row r="84" spans="1:27" ht="15" customHeight="1" x14ac:dyDescent="0.3">
      <c r="A84" s="1"/>
      <c r="B84" s="207" t="s">
        <v>405</v>
      </c>
      <c r="C84" s="204"/>
      <c r="D84" s="204"/>
      <c r="E84" s="204"/>
      <c r="F84" s="204"/>
      <c r="G84" s="73">
        <f>N52-G81</f>
        <v>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 customHeight="1" x14ac:dyDescent="0.3">
      <c r="A85" s="1"/>
      <c r="B85" s="207" t="s">
        <v>407</v>
      </c>
      <c r="C85" s="204"/>
      <c r="D85" s="204"/>
      <c r="E85" s="204"/>
      <c r="F85" s="204"/>
      <c r="G85" s="73">
        <f>SUMIFS('Extractos bancarios - Manglar'!$C:$C,'Extractos bancarios - Manglar'!$G:$G,"Ingresos")-M52</f>
        <v>1730.5900000333786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 customHeight="1" x14ac:dyDescent="0.3">
      <c r="A87" s="1"/>
      <c r="B87" s="208" t="s">
        <v>409</v>
      </c>
      <c r="C87" s="204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1"/>
      <c r="V87" s="1"/>
      <c r="W87" s="1"/>
      <c r="X87" s="1"/>
      <c r="Y87" s="1"/>
      <c r="Z87" s="1"/>
      <c r="AA87" s="1"/>
    </row>
    <row r="88" spans="1:27" ht="15" customHeight="1" x14ac:dyDescent="0.3">
      <c r="A88" s="1"/>
      <c r="B88" s="203" t="s">
        <v>410</v>
      </c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1"/>
      <c r="V88" s="1"/>
      <c r="W88" s="1"/>
      <c r="X88" s="1"/>
      <c r="Y88" s="1"/>
      <c r="Z88" s="1"/>
      <c r="AA88" s="1"/>
    </row>
    <row r="89" spans="1:27" ht="15" customHeight="1" x14ac:dyDescent="0.3">
      <c r="A89" s="1"/>
      <c r="B89" s="203" t="s">
        <v>411</v>
      </c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1"/>
      <c r="V89" s="1"/>
      <c r="W89" s="1"/>
      <c r="X89" s="1"/>
      <c r="Y89" s="1"/>
      <c r="Z89" s="1"/>
      <c r="AA89" s="1"/>
    </row>
    <row r="90" spans="1:27" ht="15" customHeight="1" x14ac:dyDescent="0.3">
      <c r="A90" s="1"/>
      <c r="B90" s="203" t="s">
        <v>412</v>
      </c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7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/>
    <row r="292" spans="1:26" ht="15.75" customHeight="1" x14ac:dyDescent="0.3"/>
    <row r="293" spans="1:26" ht="15.75" customHeight="1" x14ac:dyDescent="0.3"/>
    <row r="294" spans="1:26" ht="15.75" customHeight="1" x14ac:dyDescent="0.3"/>
    <row r="295" spans="1:26" ht="15.75" customHeight="1" x14ac:dyDescent="0.3"/>
    <row r="296" spans="1:26" ht="15.75" customHeight="1" x14ac:dyDescent="0.3"/>
    <row r="297" spans="1:26" ht="15.75" customHeight="1" x14ac:dyDescent="0.3"/>
    <row r="298" spans="1:26" ht="15.75" customHeight="1" x14ac:dyDescent="0.3"/>
    <row r="299" spans="1:26" ht="15.75" customHeight="1" x14ac:dyDescent="0.3"/>
    <row r="300" spans="1:26" ht="15.75" customHeight="1" x14ac:dyDescent="0.3"/>
    <row r="301" spans="1:26" ht="15.75" customHeight="1" x14ac:dyDescent="0.3"/>
    <row r="302" spans="1:26" ht="15.75" customHeight="1" x14ac:dyDescent="0.3"/>
    <row r="303" spans="1:26" ht="15.75" customHeight="1" x14ac:dyDescent="0.3"/>
    <row r="304" spans="1:26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</sheetData>
  <autoFilter ref="A10:V52" xr:uid="{00000000-0001-0000-0400-000000000000}"/>
  <mergeCells count="17">
    <mergeCell ref="B89:T89"/>
    <mergeCell ref="B90:T90"/>
    <mergeCell ref="B9:T9"/>
    <mergeCell ref="B64:T64"/>
    <mergeCell ref="B83:T83"/>
    <mergeCell ref="B84:F84"/>
    <mergeCell ref="B85:F85"/>
    <mergeCell ref="B87:T87"/>
    <mergeCell ref="B88:T88"/>
    <mergeCell ref="G6:H6"/>
    <mergeCell ref="I6:J6"/>
    <mergeCell ref="B5:C5"/>
    <mergeCell ref="E5:F5"/>
    <mergeCell ref="G5:H5"/>
    <mergeCell ref="I5:J5"/>
    <mergeCell ref="B6:C6"/>
    <mergeCell ref="E6:F6"/>
  </mergeCell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Data!$E$2:$E$98</xm:f>
          </x14:formula1>
          <xm:sqref>D11:D51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85"/>
  <sheetViews>
    <sheetView showGridLines="0" zoomScale="90" zoomScaleNormal="90" workbookViewId="0">
      <pane ySplit="5" topLeftCell="A125" activePane="bottomLeft" state="frozen"/>
      <selection pane="bottomLeft" activeCell="B253" sqref="A238:XFD253"/>
    </sheetView>
  </sheetViews>
  <sheetFormatPr defaultColWidth="12.6640625" defaultRowHeight="15" customHeight="1" x14ac:dyDescent="0.3"/>
  <cols>
    <col min="1" max="1" width="2" customWidth="1"/>
    <col min="2" max="2" width="33" customWidth="1"/>
    <col min="3" max="3" width="10.9140625" customWidth="1"/>
    <col min="4" max="4" width="12.9140625" customWidth="1"/>
    <col min="5" max="5" width="47.75" customWidth="1"/>
    <col min="6" max="6" width="12.08203125" customWidth="1"/>
    <col min="7" max="7" width="16" customWidth="1"/>
    <col min="8" max="8" width="20.1640625" customWidth="1"/>
    <col min="9" max="9" width="32.5" customWidth="1"/>
    <col min="10" max="10" width="46.4140625" customWidth="1"/>
    <col min="11" max="11" width="10.9140625" customWidth="1"/>
    <col min="12" max="12" width="11" customWidth="1"/>
    <col min="13" max="13" width="11.9140625" customWidth="1"/>
    <col min="14" max="14" width="13.4140625" customWidth="1"/>
    <col min="15" max="15" width="11.9140625" customWidth="1"/>
    <col min="16" max="16" width="10.25" customWidth="1"/>
    <col min="17" max="17" width="9.4140625" customWidth="1"/>
    <col min="18" max="18" width="18" style="175" customWidth="1"/>
    <col min="19" max="19" width="10.9140625" customWidth="1"/>
    <col min="20" max="20" width="62.75" customWidth="1"/>
    <col min="21" max="21" width="15.5" customWidth="1"/>
    <col min="22" max="22" width="11.5" customWidth="1"/>
    <col min="23" max="23" width="16.5" customWidth="1"/>
    <col min="24" max="24" width="18.4140625" bestFit="1" customWidth="1"/>
    <col min="25" max="25" width="15" customWidth="1"/>
  </cols>
  <sheetData>
    <row r="1" spans="1:27" ht="24" customHeight="1" x14ac:dyDescent="0.3">
      <c r="A1" s="1"/>
      <c r="B1" s="5" t="s">
        <v>5</v>
      </c>
      <c r="C1" s="6"/>
      <c r="D1" s="6"/>
      <c r="E1" s="6"/>
      <c r="F1" s="6"/>
      <c r="G1" s="6"/>
      <c r="H1" s="6">
        <f t="array" ref="H1">_xlfn.XLOOKUP($G1,Data!$E:$E,Data!$F:$F,"Revisar",0)</f>
        <v>0</v>
      </c>
      <c r="I1" s="6">
        <f t="array" ref="I1">_xlfn.XLOOKUP($G1,Data!$E:$E,Data!$G:$G,"Revisar",0)</f>
        <v>0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1"/>
      <c r="V1" s="1"/>
      <c r="W1" s="1"/>
      <c r="X1" s="1"/>
      <c r="Y1" s="1"/>
      <c r="Z1" s="1"/>
      <c r="AA1" s="1"/>
    </row>
    <row r="2" spans="1:27" ht="15" customHeight="1" x14ac:dyDescent="0.3">
      <c r="A2" s="1"/>
      <c r="B2" s="21" t="s">
        <v>25</v>
      </c>
      <c r="C2" s="21"/>
      <c r="D2" s="21"/>
      <c r="E2" s="21"/>
      <c r="F2" s="21"/>
      <c r="G2" s="21"/>
      <c r="H2" s="21"/>
      <c r="I2" s="21"/>
      <c r="J2" s="21"/>
      <c r="K2" s="21"/>
      <c r="L2" s="22"/>
      <c r="M2" s="21"/>
      <c r="N2" s="21"/>
      <c r="O2" s="21"/>
      <c r="P2" s="21"/>
      <c r="Q2" s="21"/>
      <c r="R2" s="172"/>
      <c r="S2" s="21"/>
      <c r="T2" s="21"/>
      <c r="U2" s="1"/>
      <c r="V2" s="1"/>
      <c r="W2" s="1"/>
      <c r="X2" s="1"/>
      <c r="Y2" s="1"/>
      <c r="Z2" s="1"/>
      <c r="AA2" s="1"/>
    </row>
    <row r="3" spans="1:27" ht="15" customHeight="1" x14ac:dyDescent="0.3">
      <c r="A3" s="1"/>
      <c r="B3" s="205" t="s">
        <v>26</v>
      </c>
      <c r="C3" s="204"/>
      <c r="D3" s="1"/>
      <c r="E3" s="205" t="s">
        <v>27</v>
      </c>
      <c r="F3" s="204"/>
      <c r="G3" s="1"/>
      <c r="H3" s="1"/>
      <c r="I3" s="205" t="s">
        <v>28</v>
      </c>
      <c r="J3" s="204"/>
      <c r="K3" s="1"/>
      <c r="L3" s="205" t="s">
        <v>29</v>
      </c>
      <c r="M3" s="204"/>
      <c r="N3" s="1"/>
      <c r="O3" s="1"/>
      <c r="P3" s="1"/>
      <c r="Q3" s="1"/>
      <c r="R3" s="142"/>
      <c r="S3" s="1"/>
      <c r="T3" s="1"/>
      <c r="U3" s="1"/>
      <c r="V3" s="1"/>
      <c r="W3" s="1"/>
      <c r="X3" s="1"/>
      <c r="Y3" s="1"/>
      <c r="Z3" s="1"/>
      <c r="AA3" s="1"/>
    </row>
    <row r="4" spans="1:27" ht="15" customHeight="1" x14ac:dyDescent="0.3">
      <c r="A4" s="1"/>
      <c r="B4" s="206">
        <f>O164</f>
        <v>409351124.12</v>
      </c>
      <c r="C4" s="204"/>
      <c r="D4" s="1"/>
      <c r="E4" s="206">
        <f>L164</f>
        <v>46606096.770588227</v>
      </c>
      <c r="F4" s="204"/>
      <c r="G4" s="1"/>
      <c r="H4" s="1"/>
      <c r="I4" s="206">
        <f>P164</f>
        <v>398185490.34000003</v>
      </c>
      <c r="J4" s="204"/>
      <c r="K4" s="1"/>
      <c r="L4" s="206">
        <f>Q164</f>
        <v>11092132.780000001</v>
      </c>
      <c r="M4" s="204"/>
      <c r="N4" s="1"/>
      <c r="O4" s="1"/>
      <c r="P4" s="1"/>
      <c r="Q4" s="1"/>
      <c r="R4" s="142"/>
      <c r="S4" s="1"/>
      <c r="T4" s="1"/>
      <c r="U4" s="1"/>
      <c r="V4" s="1"/>
      <c r="W4" s="1"/>
      <c r="X4" s="1"/>
      <c r="Y4" s="1"/>
      <c r="Z4" s="1"/>
      <c r="AA4" s="1"/>
    </row>
    <row r="5" spans="1:27" ht="27.75" customHeight="1" x14ac:dyDescent="0.3">
      <c r="A5" s="1"/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8</v>
      </c>
      <c r="H5" s="6" t="s">
        <v>9</v>
      </c>
      <c r="I5" s="6" t="s">
        <v>11</v>
      </c>
      <c r="J5" s="6" t="s">
        <v>38</v>
      </c>
      <c r="K5" s="6" t="s">
        <v>39</v>
      </c>
      <c r="L5" s="6" t="s">
        <v>41</v>
      </c>
      <c r="M5" s="6" t="s">
        <v>42</v>
      </c>
      <c r="N5" s="6" t="s">
        <v>43</v>
      </c>
      <c r="O5" s="6" t="s">
        <v>44</v>
      </c>
      <c r="P5" s="6" t="s">
        <v>28</v>
      </c>
      <c r="Q5" s="6" t="s">
        <v>45</v>
      </c>
      <c r="R5" s="6" t="s">
        <v>14</v>
      </c>
      <c r="S5" s="6" t="s">
        <v>46</v>
      </c>
      <c r="T5" s="6" t="s">
        <v>47</v>
      </c>
      <c r="U5" s="24" t="s">
        <v>48</v>
      </c>
      <c r="V5" s="6" t="s">
        <v>49</v>
      </c>
      <c r="W5" s="6" t="s">
        <v>50</v>
      </c>
      <c r="X5" s="6" t="s">
        <v>7</v>
      </c>
      <c r="Y5" s="6" t="s">
        <v>51</v>
      </c>
      <c r="Z5" s="1"/>
      <c r="AA5" s="1"/>
    </row>
    <row r="6" spans="1:27" ht="15" customHeight="1" x14ac:dyDescent="0.3">
      <c r="A6" s="1" t="str">
        <f>VLOOKUP(E6,$B$168:$B$255,1,0)</f>
        <v>LEXGRA CONSULTING S.A.S.</v>
      </c>
      <c r="B6" s="25">
        <v>46083</v>
      </c>
      <c r="C6" s="25">
        <v>46104</v>
      </c>
      <c r="D6" s="26" t="str">
        <f t="shared" ref="D6:D134" si="0">IF($R6="","",IF(ABS(Q6)&lt;1,"Pagada",IF(Q6&lt;0,IF(O6&lt;0,"Nota credito","Saldo a favor"),IF(P6&lt;&gt;0,"Parcial","Pendiente"))))</f>
        <v>Pagada</v>
      </c>
      <c r="E6" s="27" t="s">
        <v>52</v>
      </c>
      <c r="F6" s="28" t="s">
        <v>53</v>
      </c>
      <c r="G6" s="27" t="s">
        <v>24</v>
      </c>
      <c r="H6" s="36" t="str">
        <f t="array" ref="H6">_xlfn.XLOOKUP($G6,Data!$E:$E,Data!$F:$F,"Revisar",0)</f>
        <v>NA</v>
      </c>
      <c r="I6" s="36" t="str">
        <f t="array" ref="I6">_xlfn.XLOOKUP($G6,Data!$E:$E,Data!$G:$G,"Revisar",0)</f>
        <v>NA</v>
      </c>
      <c r="J6" s="27" t="s">
        <v>56</v>
      </c>
      <c r="K6" s="31">
        <v>667854</v>
      </c>
      <c r="L6" s="31">
        <v>95000</v>
      </c>
      <c r="M6" s="31"/>
      <c r="N6" s="31">
        <v>14250</v>
      </c>
      <c r="O6" s="32">
        <f t="shared" ref="O6:O133" si="1">IF($R6="","",K6+L6+M6)</f>
        <v>762854</v>
      </c>
      <c r="P6" s="33">
        <f>IF($R6="","",-SUMIFS('Extractos bancarios - Manglar'!$C:$C,'Extractos bancarios - Manglar'!$M:$M,$R6))</f>
        <v>748604</v>
      </c>
      <c r="Q6" s="32">
        <f t="shared" ref="Q6:Q133" si="2">IF($R6="","",O6-N6-P6)</f>
        <v>0</v>
      </c>
      <c r="R6" s="28" t="s">
        <v>58</v>
      </c>
      <c r="S6" s="25">
        <v>46098</v>
      </c>
      <c r="T6" s="34"/>
      <c r="U6" s="35">
        <f t="shared" ref="U6:U134" ca="1" si="3">IF($R6="","",IF($S6="","",$S6-TODAY()))</f>
        <v>-225</v>
      </c>
      <c r="V6" s="33" t="str">
        <f t="shared" ref="V6:V134" si="4">IF($R6="","",IF(ISNUMBER(SEARCH("Anula",$T6)),"Anulada",IF($Q6&lt;=1000,"Al dia",IF($S6="","Sin fecha",IF($U6&lt;0,"Vencida",IF($U6&lt;=15,"Por vencer","Vigente"))))))</f>
        <v>Al dia</v>
      </c>
      <c r="W6" s="33" t="str">
        <f t="shared" ref="W6:W10" si="5">IF($R6="","",IF($V6="Anulada","No","Si"))</f>
        <v>Si</v>
      </c>
      <c r="X6" s="36" t="str">
        <f t="shared" ref="X6:X134" si="6">IF($R6="","",IF($H6="NA","Costos Operacionales",IF(OR($H6="",$H6="Revisar",$H6="Por asignar"),"Por clasificar","Costo Ventas")))</f>
        <v>Costos Operacionales</v>
      </c>
      <c r="Y6" s="27" t="str">
        <f t="shared" ref="Y6:Y10" si="7">IF($R6="","","Si")</f>
        <v>Si</v>
      </c>
      <c r="Z6" s="1"/>
      <c r="AA6" s="1"/>
    </row>
    <row r="7" spans="1:27" ht="15" customHeight="1" x14ac:dyDescent="0.3">
      <c r="A7" s="1" t="str">
        <f>VLOOKUP(E7,$B$168:$B$255,1,0)</f>
        <v>STG CAFES SAS</v>
      </c>
      <c r="B7" s="25">
        <v>46100</v>
      </c>
      <c r="C7" s="25">
        <v>46100</v>
      </c>
      <c r="D7" s="26" t="str">
        <f t="shared" si="0"/>
        <v>Pagada</v>
      </c>
      <c r="E7" s="27" t="s">
        <v>60</v>
      </c>
      <c r="F7" s="28" t="s">
        <v>61</v>
      </c>
      <c r="G7" s="27"/>
      <c r="H7" s="27" t="s">
        <v>62</v>
      </c>
      <c r="I7" s="27" t="s">
        <v>63</v>
      </c>
      <c r="J7" s="27" t="s">
        <v>64</v>
      </c>
      <c r="K7" s="31">
        <v>96100</v>
      </c>
      <c r="L7" s="31">
        <v>0</v>
      </c>
      <c r="M7" s="31"/>
      <c r="N7" s="31"/>
      <c r="O7" s="32">
        <f t="shared" si="1"/>
        <v>96100</v>
      </c>
      <c r="P7" s="33">
        <f>IF($R7="","",-SUMIFS('Extractos bancarios - Manglar'!$C:$C,'Extractos bancarios - Manglar'!$M:$M,$R7))</f>
        <v>96100</v>
      </c>
      <c r="Q7" s="32">
        <f t="shared" si="2"/>
        <v>0</v>
      </c>
      <c r="R7" s="28" t="s">
        <v>65</v>
      </c>
      <c r="S7" s="25"/>
      <c r="T7" s="21" t="s">
        <v>66</v>
      </c>
      <c r="U7" s="35" t="str">
        <f t="shared" ca="1" si="3"/>
        <v/>
      </c>
      <c r="V7" s="33" t="str">
        <f t="shared" si="4"/>
        <v>Al dia</v>
      </c>
      <c r="W7" s="33" t="str">
        <f t="shared" si="5"/>
        <v>Si</v>
      </c>
      <c r="X7" s="36" t="str">
        <f t="shared" si="6"/>
        <v>Costo Ventas</v>
      </c>
      <c r="Y7" s="27" t="str">
        <f t="shared" si="7"/>
        <v>Si</v>
      </c>
      <c r="Z7" s="1"/>
      <c r="AA7" s="1"/>
    </row>
    <row r="8" spans="1:27" ht="15" customHeight="1" x14ac:dyDescent="0.3">
      <c r="A8" s="1" t="str">
        <f>VLOOKUP(E8,$B$168:$B$255,1,0)</f>
        <v>SIIGO S.A.S</v>
      </c>
      <c r="B8" s="25">
        <v>46118</v>
      </c>
      <c r="C8" s="25">
        <v>46118</v>
      </c>
      <c r="D8" s="26" t="str">
        <f t="shared" si="0"/>
        <v>Pagada</v>
      </c>
      <c r="E8" s="27" t="s">
        <v>67</v>
      </c>
      <c r="F8" s="28" t="s">
        <v>68</v>
      </c>
      <c r="G8" s="27" t="s">
        <v>24</v>
      </c>
      <c r="H8" s="36" t="str">
        <f t="array" ref="H8">_xlfn.XLOOKUP($G8,Data!$E:$E,Data!$F:$F,"Revisar",0)</f>
        <v>NA</v>
      </c>
      <c r="I8" s="36" t="str">
        <f t="array" ref="I8">_xlfn.XLOOKUP($G8,Data!$E:$E,Data!$G:$G,"Revisar",0)</f>
        <v>NA</v>
      </c>
      <c r="J8" s="27" t="s">
        <v>72</v>
      </c>
      <c r="K8" s="31">
        <v>222529</v>
      </c>
      <c r="L8" s="31">
        <v>0</v>
      </c>
      <c r="M8" s="31"/>
      <c r="N8" s="31"/>
      <c r="O8" s="32">
        <f t="shared" si="1"/>
        <v>222529</v>
      </c>
      <c r="P8" s="33">
        <f>IF($R8="","",-SUMIFS('Extractos bancarios - Manglar'!$C:$C,'Extractos bancarios - Manglar'!$M:$M,$R8))</f>
        <v>222529</v>
      </c>
      <c r="Q8" s="32">
        <f t="shared" si="2"/>
        <v>0</v>
      </c>
      <c r="R8" s="28" t="s">
        <v>73</v>
      </c>
      <c r="S8" s="25">
        <v>46118</v>
      </c>
      <c r="T8" s="34" t="s">
        <v>59</v>
      </c>
      <c r="U8" s="35">
        <f t="shared" ca="1" si="3"/>
        <v>-205</v>
      </c>
      <c r="V8" s="33" t="str">
        <f t="shared" si="4"/>
        <v>Al dia</v>
      </c>
      <c r="W8" s="33" t="str">
        <f t="shared" si="5"/>
        <v>Si</v>
      </c>
      <c r="X8" s="36" t="str">
        <f t="shared" si="6"/>
        <v>Costos Operacionales</v>
      </c>
      <c r="Y8" s="27" t="str">
        <f t="shared" si="7"/>
        <v>Si</v>
      </c>
      <c r="Z8" s="1"/>
      <c r="AA8" s="1"/>
    </row>
    <row r="9" spans="1:27" ht="15" customHeight="1" x14ac:dyDescent="0.3">
      <c r="A9" s="1" t="str">
        <f>VLOOKUP(E9,$B$168:$B$255,1,0)</f>
        <v>GRUPO EMPRESARIAL KOJAK GRAPHIC S.A.S</v>
      </c>
      <c r="B9" s="25">
        <v>46122</v>
      </c>
      <c r="C9" s="25">
        <v>46121</v>
      </c>
      <c r="D9" s="26" t="str">
        <f t="shared" si="0"/>
        <v>Pagada</v>
      </c>
      <c r="E9" s="27" t="s">
        <v>74</v>
      </c>
      <c r="F9" s="28" t="s">
        <v>75</v>
      </c>
      <c r="G9" s="37" t="s">
        <v>76</v>
      </c>
      <c r="H9" s="36" t="str">
        <f t="array" ref="H9">_xlfn.XLOOKUP($G9,Data!$E:$E,Data!$F:$F,"Revisar",0)</f>
        <v>AXIS</v>
      </c>
      <c r="I9" s="36" t="str">
        <f t="array" ref="I9">_xlfn.XLOOKUP($G9,Data!$E:$E,Data!$G:$G,"Revisar",0)</f>
        <v>Evento mundial de fútbol y merchandising</v>
      </c>
      <c r="J9" s="27" t="s">
        <v>80</v>
      </c>
      <c r="K9" s="31">
        <v>1027730.73</v>
      </c>
      <c r="L9" s="31">
        <v>195268.91</v>
      </c>
      <c r="M9" s="31"/>
      <c r="N9" s="31"/>
      <c r="O9" s="32">
        <f t="shared" si="1"/>
        <v>1222999.6399999999</v>
      </c>
      <c r="P9" s="33">
        <f>IF($R9="","",-SUMIFS('Extractos bancarios - Manglar'!$C:$C,'Extractos bancarios - Manglar'!$M:$M,$R9))</f>
        <v>1223000</v>
      </c>
      <c r="Q9" s="32">
        <f t="shared" si="2"/>
        <v>-0.36000000010244548</v>
      </c>
      <c r="R9" s="28" t="s">
        <v>81</v>
      </c>
      <c r="S9" s="25">
        <v>46122</v>
      </c>
      <c r="T9" s="34" t="s">
        <v>59</v>
      </c>
      <c r="U9" s="35">
        <f t="shared" ca="1" si="3"/>
        <v>-201</v>
      </c>
      <c r="V9" s="33" t="str">
        <f t="shared" si="4"/>
        <v>Al dia</v>
      </c>
      <c r="W9" s="33" t="str">
        <f t="shared" si="5"/>
        <v>Si</v>
      </c>
      <c r="X9" s="36" t="str">
        <f t="shared" si="6"/>
        <v>Costo Ventas</v>
      </c>
      <c r="Y9" s="27" t="str">
        <f t="shared" si="7"/>
        <v>Si</v>
      </c>
      <c r="Z9" s="1"/>
      <c r="AA9" s="1"/>
    </row>
    <row r="10" spans="1:27" ht="15" customHeight="1" x14ac:dyDescent="0.3">
      <c r="A10" s="1" t="str">
        <f>VLOOKUP(E10,$B$168:$B$255,1,0)</f>
        <v>ADIDAS COLOMBIA LTDA</v>
      </c>
      <c r="B10" s="25">
        <v>46126</v>
      </c>
      <c r="C10" s="25">
        <v>46126</v>
      </c>
      <c r="D10" s="26" t="str">
        <f t="shared" si="0"/>
        <v>Pagada</v>
      </c>
      <c r="E10" s="27" t="s">
        <v>82</v>
      </c>
      <c r="F10" s="28" t="s">
        <v>83</v>
      </c>
      <c r="G10" s="37" t="s">
        <v>76</v>
      </c>
      <c r="H10" s="36" t="str">
        <f t="array" ref="H10">_xlfn.XLOOKUP($G10,Data!$E:$E,Data!$F:$F,"Revisar",0)</f>
        <v>AXIS</v>
      </c>
      <c r="I10" s="36" t="str">
        <f t="array" ref="I10">_xlfn.XLOOKUP($G10,Data!$E:$E,Data!$G:$G,"Revisar",0)</f>
        <v>Evento mundial de fútbol y merchandising</v>
      </c>
      <c r="J10" s="27" t="s">
        <v>87</v>
      </c>
      <c r="K10" s="31">
        <v>5175125.92</v>
      </c>
      <c r="L10" s="31">
        <v>983273.92</v>
      </c>
      <c r="M10" s="31"/>
      <c r="N10" s="31"/>
      <c r="O10" s="32">
        <f t="shared" si="1"/>
        <v>6158399.8399999999</v>
      </c>
      <c r="P10" s="33">
        <f>IF($R10="","",-SUMIFS('Extractos bancarios - Manglar'!$C:$C,'Extractos bancarios - Manglar'!$M:$M,$R10))</f>
        <v>6158400</v>
      </c>
      <c r="Q10" s="32">
        <f t="shared" si="2"/>
        <v>-0.16000000014901161</v>
      </c>
      <c r="R10" s="28" t="s">
        <v>88</v>
      </c>
      <c r="S10" s="25"/>
      <c r="T10" s="21" t="s">
        <v>59</v>
      </c>
      <c r="U10" s="35" t="str">
        <f t="shared" ca="1" si="3"/>
        <v/>
      </c>
      <c r="V10" s="33" t="str">
        <f t="shared" si="4"/>
        <v>Al dia</v>
      </c>
      <c r="W10" s="33" t="str">
        <f t="shared" si="5"/>
        <v>Si</v>
      </c>
      <c r="X10" s="36" t="str">
        <f t="shared" si="6"/>
        <v>Costo Ventas</v>
      </c>
      <c r="Y10" s="27" t="str">
        <f t="shared" si="7"/>
        <v>Si</v>
      </c>
      <c r="Z10" s="1"/>
      <c r="AA10" s="1"/>
    </row>
    <row r="11" spans="1:27" ht="15" customHeight="1" x14ac:dyDescent="0.3">
      <c r="A11" s="1" t="str">
        <f>VLOOKUP(E11,$B$168:$B$255,1,0)</f>
        <v>CAJA DE COMPENSACION FAMILIAR COMPENSAR</v>
      </c>
      <c r="B11" s="25">
        <v>46128</v>
      </c>
      <c r="C11" s="25" t="s">
        <v>24</v>
      </c>
      <c r="D11" s="26" t="str">
        <f t="shared" si="0"/>
        <v>Pagada</v>
      </c>
      <c r="E11" s="27" t="s">
        <v>91</v>
      </c>
      <c r="F11" s="28" t="s">
        <v>92</v>
      </c>
      <c r="G11" s="27" t="s">
        <v>24</v>
      </c>
      <c r="H11" s="36" t="str">
        <f t="array" ref="H11">_xlfn.XLOOKUP($G11,Data!$E:$E,Data!$F:$F,"Revisar",0)</f>
        <v>NA</v>
      </c>
      <c r="I11" s="36" t="str">
        <f t="array" ref="I11">_xlfn.XLOOKUP($G11,Data!$E:$E,Data!$G:$G,"Revisar",0)</f>
        <v>NA</v>
      </c>
      <c r="J11" s="27" t="s">
        <v>93</v>
      </c>
      <c r="K11" s="31">
        <v>20799.990000000002</v>
      </c>
      <c r="L11" s="31">
        <v>0</v>
      </c>
      <c r="M11" s="31"/>
      <c r="N11" s="31"/>
      <c r="O11" s="32">
        <f t="shared" si="1"/>
        <v>20799.990000000002</v>
      </c>
      <c r="P11" s="31">
        <v>20799.990000000002</v>
      </c>
      <c r="Q11" s="32">
        <f t="shared" si="2"/>
        <v>0</v>
      </c>
      <c r="R11" s="28" t="s">
        <v>94</v>
      </c>
      <c r="S11" s="25"/>
      <c r="T11" s="21" t="s">
        <v>95</v>
      </c>
      <c r="U11" s="35" t="str">
        <f t="shared" ca="1" si="3"/>
        <v/>
      </c>
      <c r="V11" s="33" t="str">
        <f t="shared" si="4"/>
        <v>Al dia</v>
      </c>
      <c r="W11" s="31" t="s">
        <v>30</v>
      </c>
      <c r="X11" s="36" t="str">
        <f t="shared" si="6"/>
        <v>Costos Operacionales</v>
      </c>
      <c r="Y11" s="27" t="s">
        <v>30</v>
      </c>
      <c r="Z11" s="1"/>
      <c r="AA11" s="1"/>
    </row>
    <row r="12" spans="1:27" ht="15" customHeight="1" x14ac:dyDescent="0.3">
      <c r="A12" s="1" t="str">
        <f>VLOOKUP(E12,$B$168:$B$255,1,0)</f>
        <v>IKSO SAS</v>
      </c>
      <c r="B12" s="25">
        <v>46132</v>
      </c>
      <c r="C12" s="25">
        <v>46132</v>
      </c>
      <c r="D12" s="26" t="str">
        <f t="shared" si="0"/>
        <v>Pagada</v>
      </c>
      <c r="E12" s="27" t="s">
        <v>97</v>
      </c>
      <c r="F12" s="28" t="s">
        <v>98</v>
      </c>
      <c r="G12" s="27" t="s">
        <v>99</v>
      </c>
      <c r="H12" s="36" t="str">
        <f t="array" ref="H12">_xlfn.XLOOKUP($G12,Data!$E:$E,Data!$F:$F,"Revisar",0)</f>
        <v>Konrad Adenauer Stiftung</v>
      </c>
      <c r="I12" s="36" t="str">
        <f t="array" ref="I12">_xlfn.XLOOKUP($G12,Data!$E:$E,Data!$G:$G,"Revisar",0)</f>
        <v>Material KAS - Tacos y pocillos</v>
      </c>
      <c r="J12" s="27" t="s">
        <v>102</v>
      </c>
      <c r="K12" s="31">
        <v>240042.02</v>
      </c>
      <c r="L12" s="31">
        <v>45607.98</v>
      </c>
      <c r="M12" s="31"/>
      <c r="N12" s="31"/>
      <c r="O12" s="32">
        <f t="shared" si="1"/>
        <v>285650</v>
      </c>
      <c r="P12" s="33">
        <f>IF($R12="","",-SUMIFS('Extractos bancarios - Manglar'!$C:$C,'Extractos bancarios - Manglar'!$M:$M,$R12))</f>
        <v>285650</v>
      </c>
      <c r="Q12" s="32">
        <f t="shared" si="2"/>
        <v>0</v>
      </c>
      <c r="R12" s="28" t="s">
        <v>107</v>
      </c>
      <c r="S12" s="25">
        <v>46132</v>
      </c>
      <c r="T12" s="34"/>
      <c r="U12" s="35">
        <f t="shared" ca="1" si="3"/>
        <v>-191</v>
      </c>
      <c r="V12" s="33" t="str">
        <f t="shared" si="4"/>
        <v>Al dia</v>
      </c>
      <c r="W12" s="33" t="str">
        <f t="shared" ref="W12:W25" si="8">IF($R12="","",IF($V12="Anulada","No","Si"))</f>
        <v>Si</v>
      </c>
      <c r="X12" s="36" t="str">
        <f t="shared" si="6"/>
        <v>Costo Ventas</v>
      </c>
      <c r="Y12" s="27" t="str">
        <f t="shared" ref="Y12:Y17" si="9">IF($R12="","","Si")</f>
        <v>Si</v>
      </c>
      <c r="Z12" s="1"/>
      <c r="AA12" s="1"/>
    </row>
    <row r="13" spans="1:27" ht="15" customHeight="1" x14ac:dyDescent="0.3">
      <c r="A13" s="1" t="str">
        <f>VLOOKUP(E13,$B$168:$B$255,1,0)</f>
        <v>Linemarketing &amp; Eventos</v>
      </c>
      <c r="B13" s="25">
        <v>46133</v>
      </c>
      <c r="C13" s="25">
        <v>46163</v>
      </c>
      <c r="D13" s="26" t="str">
        <f t="shared" si="0"/>
        <v>Pagada</v>
      </c>
      <c r="E13" s="27" t="s">
        <v>110</v>
      </c>
      <c r="F13" s="28" t="s">
        <v>111</v>
      </c>
      <c r="G13" s="37" t="s">
        <v>76</v>
      </c>
      <c r="H13" s="36" t="str">
        <f t="array" ref="H13">_xlfn.XLOOKUP($G13,Data!$E:$E,Data!$F:$F,"Revisar",0)</f>
        <v>AXIS</v>
      </c>
      <c r="I13" s="36" t="str">
        <f t="array" ref="I13">_xlfn.XLOOKUP($G13,Data!$E:$E,Data!$G:$G,"Revisar",0)</f>
        <v>Evento mundial de fútbol y merchandising</v>
      </c>
      <c r="J13" s="27" t="s">
        <v>112</v>
      </c>
      <c r="K13" s="31">
        <v>3940000</v>
      </c>
      <c r="L13" s="31">
        <v>748600</v>
      </c>
      <c r="M13" s="31"/>
      <c r="N13" s="31"/>
      <c r="O13" s="32">
        <f t="shared" si="1"/>
        <v>4688600</v>
      </c>
      <c r="P13" s="33">
        <f>IF($R13="","",-SUMIFS('Extractos bancarios - Manglar'!$C:$C,'Extractos bancarios - Manglar'!$M:$M,$R13))</f>
        <v>4688600</v>
      </c>
      <c r="Q13" s="32">
        <f t="shared" si="2"/>
        <v>0</v>
      </c>
      <c r="R13" s="28" t="s">
        <v>114</v>
      </c>
      <c r="S13" s="25">
        <v>46133</v>
      </c>
      <c r="T13" s="34"/>
      <c r="U13" s="35">
        <f t="shared" ca="1" si="3"/>
        <v>-190</v>
      </c>
      <c r="V13" s="33" t="str">
        <f t="shared" si="4"/>
        <v>Al dia</v>
      </c>
      <c r="W13" s="33" t="str">
        <f t="shared" si="8"/>
        <v>Si</v>
      </c>
      <c r="X13" s="36" t="str">
        <f t="shared" si="6"/>
        <v>Costo Ventas</v>
      </c>
      <c r="Y13" s="27" t="str">
        <f t="shared" si="9"/>
        <v>Si</v>
      </c>
      <c r="Z13" s="1"/>
      <c r="AA13" s="1"/>
    </row>
    <row r="14" spans="1:27" ht="15" customHeight="1" x14ac:dyDescent="0.3">
      <c r="A14" s="1" t="str">
        <f>VLOOKUP(E14,$B$168:$B$255,1,0)</f>
        <v>SMART DESIGN PUBLICIDAD SAS</v>
      </c>
      <c r="B14" s="25">
        <v>46135</v>
      </c>
      <c r="C14" s="25">
        <v>46139</v>
      </c>
      <c r="D14" s="26" t="str">
        <f t="shared" si="0"/>
        <v>Pagada</v>
      </c>
      <c r="E14" s="27" t="s">
        <v>127</v>
      </c>
      <c r="F14" s="28" t="s">
        <v>129</v>
      </c>
      <c r="G14" s="37" t="s">
        <v>131</v>
      </c>
      <c r="H14" s="36" t="str">
        <f t="array" ref="H14">_xlfn.XLOOKUP($G14,Data!$E:$E,Data!$F:$F,"Revisar",0)</f>
        <v>Innovaitors</v>
      </c>
      <c r="I14" s="36" t="str">
        <f t="array" ref="I14">_xlfn.XLOOKUP($G14,Data!$E:$E,Data!$G:$G,"Revisar",0)</f>
        <v>Kits Innovaitors</v>
      </c>
      <c r="J14" s="27" t="s">
        <v>133</v>
      </c>
      <c r="K14" s="31">
        <v>1225000</v>
      </c>
      <c r="L14" s="31">
        <v>232750</v>
      </c>
      <c r="M14" s="31"/>
      <c r="N14" s="31"/>
      <c r="O14" s="32">
        <f t="shared" si="1"/>
        <v>1457750</v>
      </c>
      <c r="P14" s="33">
        <f>IF($R14="","",-SUMIFS('Extractos bancarios - Manglar'!$C:$C,'Extractos bancarios - Manglar'!$M:$M,$R14))</f>
        <v>1457750</v>
      </c>
      <c r="Q14" s="32">
        <f t="shared" si="2"/>
        <v>0</v>
      </c>
      <c r="R14" s="28" t="s">
        <v>134</v>
      </c>
      <c r="S14" s="25">
        <v>46135</v>
      </c>
      <c r="T14" s="34"/>
      <c r="U14" s="35">
        <f t="shared" ca="1" si="3"/>
        <v>-188</v>
      </c>
      <c r="V14" s="33" t="str">
        <f t="shared" si="4"/>
        <v>Al dia</v>
      </c>
      <c r="W14" s="33" t="str">
        <f t="shared" si="8"/>
        <v>Si</v>
      </c>
      <c r="X14" s="36" t="str">
        <f t="shared" si="6"/>
        <v>Costo Ventas</v>
      </c>
      <c r="Y14" s="27" t="str">
        <f t="shared" si="9"/>
        <v>Si</v>
      </c>
      <c r="Z14" s="1"/>
      <c r="AA14" s="1"/>
    </row>
    <row r="15" spans="1:27" ht="15" customHeight="1" x14ac:dyDescent="0.3">
      <c r="A15" s="1" t="str">
        <f>VLOOKUP(E15,$B$168:$B$255,1,0)</f>
        <v>ALVARO ORTIZ GUERRERO</v>
      </c>
      <c r="B15" s="25">
        <v>46136</v>
      </c>
      <c r="C15" s="25">
        <v>46136</v>
      </c>
      <c r="D15" s="26" t="str">
        <f t="shared" si="0"/>
        <v>Pagada</v>
      </c>
      <c r="E15" s="27" t="s">
        <v>135</v>
      </c>
      <c r="F15" s="28" t="s">
        <v>136</v>
      </c>
      <c r="G15" s="27" t="s">
        <v>99</v>
      </c>
      <c r="H15" s="36" t="str">
        <f t="array" ref="H15">_xlfn.XLOOKUP($G15,Data!$E:$E,Data!$F:$F,"Revisar",0)</f>
        <v>Konrad Adenauer Stiftung</v>
      </c>
      <c r="I15" s="36" t="str">
        <f t="array" ref="I15">_xlfn.XLOOKUP($G15,Data!$E:$E,Data!$G:$G,"Revisar",0)</f>
        <v>Material KAS - Tacos y pocillos</v>
      </c>
      <c r="J15" s="27" t="s">
        <v>140</v>
      </c>
      <c r="K15" s="31">
        <v>200000</v>
      </c>
      <c r="L15" s="31">
        <v>38000</v>
      </c>
      <c r="M15" s="31"/>
      <c r="N15" s="31"/>
      <c r="O15" s="32">
        <f t="shared" si="1"/>
        <v>238000</v>
      </c>
      <c r="P15" s="33">
        <f>IF($R15="","",-SUMIFS('Extractos bancarios - Manglar'!$C:$C,'Extractos bancarios - Manglar'!$M:$M,$R15))</f>
        <v>238000</v>
      </c>
      <c r="Q15" s="32">
        <f t="shared" si="2"/>
        <v>0</v>
      </c>
      <c r="R15" s="28" t="s">
        <v>141</v>
      </c>
      <c r="S15" s="25">
        <v>46136</v>
      </c>
      <c r="T15" s="34" t="s">
        <v>59</v>
      </c>
      <c r="U15" s="35">
        <f t="shared" ca="1" si="3"/>
        <v>-187</v>
      </c>
      <c r="V15" s="33" t="str">
        <f t="shared" si="4"/>
        <v>Al dia</v>
      </c>
      <c r="W15" s="33" t="str">
        <f t="shared" si="8"/>
        <v>Si</v>
      </c>
      <c r="X15" s="36" t="str">
        <f t="shared" si="6"/>
        <v>Costo Ventas</v>
      </c>
      <c r="Y15" s="27" t="str">
        <f t="shared" si="9"/>
        <v>Si</v>
      </c>
      <c r="Z15" s="1"/>
      <c r="AA15" s="1"/>
    </row>
    <row r="16" spans="1:27" ht="15" customHeight="1" x14ac:dyDescent="0.3">
      <c r="A16" s="1" t="str">
        <f>VLOOKUP(E16,$B$168:$B$255,1,0)</f>
        <v>COLOMBIANA DE COMERCIO S.A.</v>
      </c>
      <c r="B16" s="25">
        <v>46146</v>
      </c>
      <c r="C16" s="25">
        <v>46146</v>
      </c>
      <c r="D16" s="26" t="str">
        <f t="shared" si="0"/>
        <v>Pagada</v>
      </c>
      <c r="E16" s="27" t="s">
        <v>142</v>
      </c>
      <c r="F16" s="28" t="s">
        <v>144</v>
      </c>
      <c r="G16" s="27" t="s">
        <v>76</v>
      </c>
      <c r="H16" s="36" t="str">
        <f t="array" ref="H16">_xlfn.XLOOKUP($G16,Data!$E:$E,Data!$F:$F,"Revisar",0)</f>
        <v>AXIS</v>
      </c>
      <c r="I16" s="36" t="str">
        <f t="array" ref="I16">_xlfn.XLOOKUP($G16,Data!$E:$E,Data!$G:$G,"Revisar",0)</f>
        <v>Evento mundial de fútbol y merchandising</v>
      </c>
      <c r="J16" s="27" t="s">
        <v>146</v>
      </c>
      <c r="K16" s="31">
        <v>1252101</v>
      </c>
      <c r="L16" s="31">
        <v>237899</v>
      </c>
      <c r="M16" s="31"/>
      <c r="N16" s="31"/>
      <c r="O16" s="32">
        <f t="shared" si="1"/>
        <v>1490000</v>
      </c>
      <c r="P16" s="33">
        <f>IF($R16="","",-SUMIFS('Extractos bancarios - Manglar'!$C:$C,'Extractos bancarios - Manglar'!$M:$M,$R16))</f>
        <v>1490000</v>
      </c>
      <c r="Q16" s="32">
        <f t="shared" si="2"/>
        <v>0</v>
      </c>
      <c r="R16" s="28" t="s">
        <v>148</v>
      </c>
      <c r="S16" s="25"/>
      <c r="T16" s="21"/>
      <c r="U16" s="35" t="str">
        <f t="shared" ca="1" si="3"/>
        <v/>
      </c>
      <c r="V16" s="33" t="str">
        <f t="shared" si="4"/>
        <v>Al dia</v>
      </c>
      <c r="W16" s="33" t="str">
        <f t="shared" si="8"/>
        <v>Si</v>
      </c>
      <c r="X16" s="36" t="str">
        <f t="shared" si="6"/>
        <v>Costo Ventas</v>
      </c>
      <c r="Y16" s="27" t="str">
        <f t="shared" si="9"/>
        <v>Si</v>
      </c>
      <c r="Z16" s="1"/>
      <c r="AA16" s="1"/>
    </row>
    <row r="17" spans="1:27" ht="15" customHeight="1" x14ac:dyDescent="0.3">
      <c r="A17" s="1" t="str">
        <f>VLOOKUP(E17,$B$168:$B$255,1,0)</f>
        <v>COLOMBIANA DE COMERCIO S.A.</v>
      </c>
      <c r="B17" s="25">
        <v>46146</v>
      </c>
      <c r="C17" s="25">
        <v>46146</v>
      </c>
      <c r="D17" s="26" t="str">
        <f t="shared" si="0"/>
        <v>Pagada</v>
      </c>
      <c r="E17" s="27" t="s">
        <v>142</v>
      </c>
      <c r="F17" s="28" t="s">
        <v>144</v>
      </c>
      <c r="G17" s="27" t="s">
        <v>76</v>
      </c>
      <c r="H17" s="36" t="str">
        <f t="array" ref="H17">_xlfn.XLOOKUP($G17,Data!$E:$E,Data!$F:$F,"Revisar",0)</f>
        <v>AXIS</v>
      </c>
      <c r="I17" s="36" t="str">
        <f t="array" ref="I17">_xlfn.XLOOKUP($G17,Data!$E:$E,Data!$G:$G,"Revisar",0)</f>
        <v>Evento mundial de fútbol y merchandising</v>
      </c>
      <c r="J17" s="27" t="s">
        <v>152</v>
      </c>
      <c r="K17" s="31">
        <v>2621848.7400000002</v>
      </c>
      <c r="L17" s="31">
        <v>498151.26</v>
      </c>
      <c r="M17" s="31"/>
      <c r="N17" s="31"/>
      <c r="O17" s="32">
        <f t="shared" si="1"/>
        <v>3120000</v>
      </c>
      <c r="P17" s="33">
        <f>IF($R17="","",-SUMIFS('Extractos bancarios - Manglar'!$C:$C,'Extractos bancarios - Manglar'!$M:$M,$R17))</f>
        <v>3120000</v>
      </c>
      <c r="Q17" s="32">
        <f t="shared" si="2"/>
        <v>0</v>
      </c>
      <c r="R17" s="28" t="s">
        <v>154</v>
      </c>
      <c r="S17" s="25"/>
      <c r="T17" s="21"/>
      <c r="U17" s="35" t="str">
        <f t="shared" ca="1" si="3"/>
        <v/>
      </c>
      <c r="V17" s="33" t="str">
        <f t="shared" si="4"/>
        <v>Al dia</v>
      </c>
      <c r="W17" s="33" t="str">
        <f t="shared" si="8"/>
        <v>Si</v>
      </c>
      <c r="X17" s="36" t="str">
        <f t="shared" si="6"/>
        <v>Costo Ventas</v>
      </c>
      <c r="Y17" s="27" t="str">
        <f t="shared" si="9"/>
        <v>Si</v>
      </c>
      <c r="Z17" s="1"/>
      <c r="AA17" s="1"/>
    </row>
    <row r="18" spans="1:27" ht="15" customHeight="1" x14ac:dyDescent="0.3">
      <c r="A18" s="1" t="str">
        <f>VLOOKUP(E18,$B$168:$B$255,1,0)</f>
        <v>ADIDAS COLOMBIA LTDA</v>
      </c>
      <c r="B18" s="25">
        <v>46154</v>
      </c>
      <c r="C18" s="25" t="s">
        <v>24</v>
      </c>
      <c r="D18" s="26" t="str">
        <f t="shared" si="0"/>
        <v>Nota credito</v>
      </c>
      <c r="E18" s="27" t="s">
        <v>82</v>
      </c>
      <c r="F18" s="28" t="s">
        <v>83</v>
      </c>
      <c r="G18" s="27" t="s">
        <v>24</v>
      </c>
      <c r="H18" s="36" t="str">
        <f t="array" ref="H18">_xlfn.XLOOKUP($G18,Data!$E:$E,Data!$F:$F,"Revisar",0)</f>
        <v>NA</v>
      </c>
      <c r="I18" s="36" t="str">
        <f t="array" ref="I18">_xlfn.XLOOKUP($G18,Data!$E:$E,Data!$G:$G,"Revisar",0)</f>
        <v>NA</v>
      </c>
      <c r="J18" s="27" t="s">
        <v>162</v>
      </c>
      <c r="K18" s="31">
        <v>-319285.71000000002</v>
      </c>
      <c r="L18" s="31">
        <v>-60664.28</v>
      </c>
      <c r="M18" s="31"/>
      <c r="N18" s="31"/>
      <c r="O18" s="32">
        <f t="shared" si="1"/>
        <v>-379949.99</v>
      </c>
      <c r="P18" s="33">
        <f>IF($R18="","",-SUMIFS('Extractos bancarios - Manglar'!$C:$C,'Extractos bancarios - Manglar'!$M:$M,$R18))</f>
        <v>0</v>
      </c>
      <c r="Q18" s="32">
        <f t="shared" si="2"/>
        <v>-379949.99</v>
      </c>
      <c r="R18" s="28" t="s">
        <v>163</v>
      </c>
      <c r="S18" s="25"/>
      <c r="T18" s="21" t="s">
        <v>165</v>
      </c>
      <c r="U18" s="35" t="str">
        <f t="shared" ca="1" si="3"/>
        <v/>
      </c>
      <c r="V18" s="33" t="str">
        <f t="shared" si="4"/>
        <v>Anulada</v>
      </c>
      <c r="W18" s="33" t="str">
        <f t="shared" si="8"/>
        <v>No</v>
      </c>
      <c r="X18" s="36" t="str">
        <f t="shared" si="6"/>
        <v>Costos Operacionales</v>
      </c>
      <c r="Y18" s="27" t="s">
        <v>30</v>
      </c>
      <c r="Z18" s="1"/>
      <c r="AA18" s="1"/>
    </row>
    <row r="19" spans="1:27" ht="15" customHeight="1" x14ac:dyDescent="0.3">
      <c r="A19" s="1" t="str">
        <f>VLOOKUP(E19,$B$168:$B$255,1,0)</f>
        <v>ADIDAS COLOMBIA LTDA</v>
      </c>
      <c r="B19" s="25">
        <v>46154</v>
      </c>
      <c r="C19" s="25" t="s">
        <v>24</v>
      </c>
      <c r="D19" s="26" t="str">
        <f t="shared" si="0"/>
        <v>Pendiente</v>
      </c>
      <c r="E19" s="27" t="s">
        <v>82</v>
      </c>
      <c r="F19" s="28" t="s">
        <v>83</v>
      </c>
      <c r="G19" s="27" t="s">
        <v>24</v>
      </c>
      <c r="H19" s="36" t="str">
        <f t="array" ref="H19">_xlfn.XLOOKUP($G19,Data!$E:$E,Data!$F:$F,"Revisar",0)</f>
        <v>NA</v>
      </c>
      <c r="I19" s="36" t="str">
        <f t="array" ref="I19">_xlfn.XLOOKUP($G19,Data!$E:$E,Data!$G:$G,"Revisar",0)</f>
        <v>NA</v>
      </c>
      <c r="J19" s="27" t="s">
        <v>168</v>
      </c>
      <c r="K19" s="31">
        <v>319285.71000000002</v>
      </c>
      <c r="L19" s="31">
        <v>60664.28</v>
      </c>
      <c r="M19" s="31"/>
      <c r="N19" s="31"/>
      <c r="O19" s="32">
        <f t="shared" si="1"/>
        <v>379949.99</v>
      </c>
      <c r="P19" s="33">
        <f>IF($R19="","",-SUMIFS('Extractos bancarios - Manglar'!$C:$C,'Extractos bancarios - Manglar'!$M:$M,$R19))</f>
        <v>0</v>
      </c>
      <c r="Q19" s="32">
        <f t="shared" si="2"/>
        <v>379949.99</v>
      </c>
      <c r="R19" s="28" t="s">
        <v>170</v>
      </c>
      <c r="S19" s="25"/>
      <c r="T19" s="21" t="s">
        <v>171</v>
      </c>
      <c r="U19" s="35" t="str">
        <f t="shared" ca="1" si="3"/>
        <v/>
      </c>
      <c r="V19" s="33" t="str">
        <f t="shared" si="4"/>
        <v>Anulada</v>
      </c>
      <c r="W19" s="33" t="str">
        <f t="shared" si="8"/>
        <v>No</v>
      </c>
      <c r="X19" s="36" t="str">
        <f t="shared" si="6"/>
        <v>Costos Operacionales</v>
      </c>
      <c r="Y19" s="27" t="s">
        <v>30</v>
      </c>
      <c r="Z19" s="1"/>
      <c r="AA19" s="1"/>
    </row>
    <row r="20" spans="1:27" ht="15" customHeight="1" x14ac:dyDescent="0.3">
      <c r="A20" s="1" t="str">
        <f>VLOOKUP(E20,$B$168:$B$255,1,0)</f>
        <v>ADIDAS COLOMBIA LTDA</v>
      </c>
      <c r="B20" s="25">
        <v>46154</v>
      </c>
      <c r="C20" s="25" t="s">
        <v>24</v>
      </c>
      <c r="D20" s="26" t="str">
        <f t="shared" si="0"/>
        <v>Nota credito</v>
      </c>
      <c r="E20" s="27" t="s">
        <v>82</v>
      </c>
      <c r="F20" s="28" t="s">
        <v>83</v>
      </c>
      <c r="G20" s="27" t="s">
        <v>24</v>
      </c>
      <c r="H20" s="36" t="str">
        <f t="array" ref="H20">_xlfn.XLOOKUP($G20,Data!$E:$E,Data!$F:$F,"Revisar",0)</f>
        <v>NA</v>
      </c>
      <c r="I20" s="36" t="str">
        <f t="array" ref="I20">_xlfn.XLOOKUP($G20,Data!$E:$E,Data!$G:$G,"Revisar",0)</f>
        <v>NA</v>
      </c>
      <c r="J20" s="27" t="s">
        <v>175</v>
      </c>
      <c r="K20" s="31">
        <v>-319285.71000000002</v>
      </c>
      <c r="L20" s="31">
        <v>-60664.28</v>
      </c>
      <c r="M20" s="31"/>
      <c r="N20" s="31"/>
      <c r="O20" s="32">
        <f t="shared" si="1"/>
        <v>-379949.99</v>
      </c>
      <c r="P20" s="33">
        <f>IF($R20="","",-SUMIFS('Extractos bancarios - Manglar'!$C:$C,'Extractos bancarios - Manglar'!$M:$M,$R20))</f>
        <v>0</v>
      </c>
      <c r="Q20" s="32">
        <f t="shared" si="2"/>
        <v>-379949.99</v>
      </c>
      <c r="R20" s="28" t="s">
        <v>177</v>
      </c>
      <c r="S20" s="25"/>
      <c r="T20" s="21" t="s">
        <v>178</v>
      </c>
      <c r="U20" s="35" t="str">
        <f t="shared" ca="1" si="3"/>
        <v/>
      </c>
      <c r="V20" s="33" t="str">
        <f t="shared" si="4"/>
        <v>Anulada</v>
      </c>
      <c r="W20" s="33" t="str">
        <f t="shared" si="8"/>
        <v>No</v>
      </c>
      <c r="X20" s="36" t="str">
        <f t="shared" si="6"/>
        <v>Costos Operacionales</v>
      </c>
      <c r="Y20" s="27" t="s">
        <v>30</v>
      </c>
      <c r="Z20" s="1"/>
      <c r="AA20" s="1"/>
    </row>
    <row r="21" spans="1:27" ht="15" customHeight="1" x14ac:dyDescent="0.3">
      <c r="A21" s="1" t="str">
        <f>VLOOKUP(E21,$B$168:$B$255,1,0)</f>
        <v>ADIDAS COLOMBIA LTDA</v>
      </c>
      <c r="B21" s="25">
        <v>46154</v>
      </c>
      <c r="C21" s="25" t="s">
        <v>24</v>
      </c>
      <c r="D21" s="26" t="str">
        <f t="shared" si="0"/>
        <v>Pendiente</v>
      </c>
      <c r="E21" s="27" t="s">
        <v>82</v>
      </c>
      <c r="F21" s="28" t="s">
        <v>83</v>
      </c>
      <c r="G21" s="27" t="s">
        <v>24</v>
      </c>
      <c r="H21" s="36" t="str">
        <f t="array" ref="H21">_xlfn.XLOOKUP($G21,Data!$E:$E,Data!$F:$F,"Revisar",0)</f>
        <v>NA</v>
      </c>
      <c r="I21" s="36" t="str">
        <f t="array" ref="I21">_xlfn.XLOOKUP($G21,Data!$E:$E,Data!$G:$G,"Revisar",0)</f>
        <v>NA</v>
      </c>
      <c r="J21" s="27" t="s">
        <v>168</v>
      </c>
      <c r="K21" s="31">
        <v>319285.71000000002</v>
      </c>
      <c r="L21" s="31">
        <v>60664.28</v>
      </c>
      <c r="M21" s="31"/>
      <c r="N21" s="31"/>
      <c r="O21" s="32">
        <f t="shared" si="1"/>
        <v>379949.99</v>
      </c>
      <c r="P21" s="33">
        <f>IF($R21="","",-SUMIFS('Extractos bancarios - Manglar'!$C:$C,'Extractos bancarios - Manglar'!$M:$M,$R21))</f>
        <v>0</v>
      </c>
      <c r="Q21" s="32">
        <f t="shared" si="2"/>
        <v>379949.99</v>
      </c>
      <c r="R21" s="28" t="s">
        <v>183</v>
      </c>
      <c r="S21" s="25"/>
      <c r="T21" s="21" t="s">
        <v>184</v>
      </c>
      <c r="U21" s="35" t="str">
        <f t="shared" ca="1" si="3"/>
        <v/>
      </c>
      <c r="V21" s="33" t="str">
        <f t="shared" si="4"/>
        <v>Anulada</v>
      </c>
      <c r="W21" s="33" t="str">
        <f t="shared" si="8"/>
        <v>No</v>
      </c>
      <c r="X21" s="36" t="str">
        <f t="shared" si="6"/>
        <v>Costos Operacionales</v>
      </c>
      <c r="Y21" s="27" t="s">
        <v>30</v>
      </c>
      <c r="Z21" s="1"/>
      <c r="AA21" s="1"/>
    </row>
    <row r="22" spans="1:27" ht="15" customHeight="1" x14ac:dyDescent="0.3">
      <c r="A22" s="1" t="str">
        <f>VLOOKUP(E22,$B$168:$B$255,1,0)</f>
        <v>TRANSPARENTE AGENCIA GRAFICA S.A.S</v>
      </c>
      <c r="B22" s="46">
        <v>46162</v>
      </c>
      <c r="C22" s="46">
        <v>46167</v>
      </c>
      <c r="D22" s="47" t="str">
        <f t="shared" si="0"/>
        <v>Pagada</v>
      </c>
      <c r="E22" s="48" t="s">
        <v>190</v>
      </c>
      <c r="F22" s="49" t="s">
        <v>191</v>
      </c>
      <c r="G22" s="50" t="s">
        <v>99</v>
      </c>
      <c r="H22" s="51" t="str">
        <f t="array" ref="H22">_xlfn.XLOOKUP($G22,Data!$E:$E,Data!$F:$F,"Revisar",0)</f>
        <v>Konrad Adenauer Stiftung</v>
      </c>
      <c r="I22" s="51" t="str">
        <f t="array" ref="I22">_xlfn.XLOOKUP($G22,Data!$E:$E,Data!$G:$G,"Revisar",0)</f>
        <v>Material KAS - Tacos y pocillos</v>
      </c>
      <c r="J22" s="48" t="s">
        <v>196</v>
      </c>
      <c r="K22" s="53">
        <f>4830000/1.19</f>
        <v>4058823.5294117648</v>
      </c>
      <c r="L22" s="54">
        <f t="shared" ref="L22:L24" si="10">K22*0.19</f>
        <v>771176.4705882353</v>
      </c>
      <c r="M22" s="54"/>
      <c r="N22" s="54"/>
      <c r="O22" s="55">
        <f t="shared" si="1"/>
        <v>4830000</v>
      </c>
      <c r="P22" s="164">
        <f t="shared" ref="P22:P24" si="11">+O22</f>
        <v>4830000</v>
      </c>
      <c r="Q22" s="55">
        <f t="shared" si="2"/>
        <v>0</v>
      </c>
      <c r="R22" s="49" t="s">
        <v>199</v>
      </c>
      <c r="S22" s="46">
        <v>46162</v>
      </c>
      <c r="T22" s="56" t="s">
        <v>200</v>
      </c>
      <c r="U22" s="57">
        <f t="shared" ca="1" si="3"/>
        <v>-161</v>
      </c>
      <c r="V22" s="58" t="str">
        <f t="shared" si="4"/>
        <v>Al dia</v>
      </c>
      <c r="W22" s="58" t="str">
        <f t="shared" si="8"/>
        <v>Si</v>
      </c>
      <c r="X22" s="51" t="str">
        <f t="shared" si="6"/>
        <v>Costo Ventas</v>
      </c>
      <c r="Y22" s="27" t="str">
        <f t="shared" ref="Y22:Y25" si="12">IF($R22="","","Si")</f>
        <v>Si</v>
      </c>
      <c r="Z22" s="1"/>
      <c r="AA22" s="1"/>
    </row>
    <row r="23" spans="1:27" ht="15" customHeight="1" x14ac:dyDescent="0.3">
      <c r="A23" s="1" t="str">
        <f>VLOOKUP(E23,$B$168:$B$255,1,0)</f>
        <v>TRANSPARENTE AGENCIA GRAFICA S.A.S</v>
      </c>
      <c r="B23" s="46">
        <v>46162</v>
      </c>
      <c r="C23" s="46">
        <v>46167</v>
      </c>
      <c r="D23" s="47" t="str">
        <f t="shared" si="0"/>
        <v>Pagada</v>
      </c>
      <c r="E23" s="48" t="s">
        <v>190</v>
      </c>
      <c r="F23" s="49" t="s">
        <v>191</v>
      </c>
      <c r="G23" s="50" t="s">
        <v>174</v>
      </c>
      <c r="H23" s="51" t="str">
        <f t="array" ref="H23">_xlfn.XLOOKUP($G23,Data!$E:$E,Data!$F:$F,"Revisar",0)</f>
        <v>Innovaitors</v>
      </c>
      <c r="I23" s="51" t="str">
        <f t="array" ref="I23">_xlfn.XLOOKUP($G23,Data!$E:$E,Data!$G:$G,"Revisar",0)</f>
        <v>Banners Rollup</v>
      </c>
      <c r="J23" s="48" t="s">
        <v>196</v>
      </c>
      <c r="K23" s="53">
        <f>214200/1.19</f>
        <v>180000</v>
      </c>
      <c r="L23" s="54">
        <f t="shared" si="10"/>
        <v>34200</v>
      </c>
      <c r="M23" s="54"/>
      <c r="N23" s="54"/>
      <c r="O23" s="55">
        <f t="shared" si="1"/>
        <v>214200</v>
      </c>
      <c r="P23" s="164">
        <f t="shared" si="11"/>
        <v>214200</v>
      </c>
      <c r="Q23" s="55">
        <f t="shared" si="2"/>
        <v>0</v>
      </c>
      <c r="R23" s="49" t="s">
        <v>199</v>
      </c>
      <c r="S23" s="46">
        <v>46162</v>
      </c>
      <c r="T23" s="56" t="s">
        <v>200</v>
      </c>
      <c r="U23" s="57">
        <f t="shared" ca="1" si="3"/>
        <v>-161</v>
      </c>
      <c r="V23" s="58" t="str">
        <f t="shared" si="4"/>
        <v>Al dia</v>
      </c>
      <c r="W23" s="58" t="str">
        <f t="shared" si="8"/>
        <v>Si</v>
      </c>
      <c r="X23" s="51" t="str">
        <f t="shared" si="6"/>
        <v>Costo Ventas</v>
      </c>
      <c r="Y23" s="27" t="str">
        <f t="shared" si="12"/>
        <v>Si</v>
      </c>
      <c r="Z23" s="1"/>
      <c r="AA23" s="1"/>
    </row>
    <row r="24" spans="1:27" ht="15" customHeight="1" x14ac:dyDescent="0.3">
      <c r="A24" s="1" t="str">
        <f>VLOOKUP(E24,$B$168:$B$255,1,0)</f>
        <v>TRANSPARENTE AGENCIA GRAFICA S.A.S</v>
      </c>
      <c r="B24" s="46">
        <v>46162</v>
      </c>
      <c r="C24" s="46">
        <v>46167</v>
      </c>
      <c r="D24" s="47" t="str">
        <f t="shared" si="0"/>
        <v>Pagada</v>
      </c>
      <c r="E24" s="48" t="s">
        <v>190</v>
      </c>
      <c r="F24" s="49" t="s">
        <v>191</v>
      </c>
      <c r="G24" s="50" t="s">
        <v>161</v>
      </c>
      <c r="H24" s="51" t="str">
        <f t="array" ref="H24">_xlfn.XLOOKUP($G24,Data!$E:$E,Data!$F:$F,"Revisar",0)</f>
        <v>Kaspersky</v>
      </c>
      <c r="I24" s="51" t="str">
        <f t="array" ref="I24">_xlfn.XLOOKUP($G24,Data!$E:$E,Data!$G:$G,"Revisar",0)</f>
        <v>Bolsa Incentivos 2026</v>
      </c>
      <c r="J24" s="48" t="s">
        <v>196</v>
      </c>
      <c r="K24" s="53">
        <f>1071000/1.19</f>
        <v>900000</v>
      </c>
      <c r="L24" s="54">
        <f t="shared" si="10"/>
        <v>171000</v>
      </c>
      <c r="M24" s="54"/>
      <c r="N24" s="54"/>
      <c r="O24" s="55">
        <f t="shared" si="1"/>
        <v>1071000</v>
      </c>
      <c r="P24" s="164">
        <f t="shared" si="11"/>
        <v>1071000</v>
      </c>
      <c r="Q24" s="55">
        <f t="shared" si="2"/>
        <v>0</v>
      </c>
      <c r="R24" s="49" t="s">
        <v>199</v>
      </c>
      <c r="S24" s="46">
        <v>46162</v>
      </c>
      <c r="T24" s="56" t="s">
        <v>200</v>
      </c>
      <c r="U24" s="57">
        <f t="shared" ca="1" si="3"/>
        <v>-161</v>
      </c>
      <c r="V24" s="58" t="str">
        <f t="shared" si="4"/>
        <v>Al dia</v>
      </c>
      <c r="W24" s="58" t="str">
        <f t="shared" si="8"/>
        <v>Si</v>
      </c>
      <c r="X24" s="51" t="str">
        <f t="shared" si="6"/>
        <v>Costo Ventas</v>
      </c>
      <c r="Y24" s="27" t="str">
        <f t="shared" si="12"/>
        <v>Si</v>
      </c>
      <c r="Z24" s="1"/>
      <c r="AA24" s="1"/>
    </row>
    <row r="25" spans="1:27" ht="15" customHeight="1" x14ac:dyDescent="0.3">
      <c r="A25" s="1" t="str">
        <f>VLOOKUP(E25,$B$168:$B$255,1,0)</f>
        <v>DISTRIBUIDORA DE COMBUSTIBLES SAN FELIPE</v>
      </c>
      <c r="B25" s="25">
        <v>46162</v>
      </c>
      <c r="C25" s="25">
        <v>46162</v>
      </c>
      <c r="D25" s="26" t="str">
        <f t="shared" si="0"/>
        <v>Pagada</v>
      </c>
      <c r="E25" s="27" t="s">
        <v>209</v>
      </c>
      <c r="F25" s="28" t="s">
        <v>210</v>
      </c>
      <c r="G25" s="27" t="s">
        <v>24</v>
      </c>
      <c r="H25" s="36" t="str">
        <f t="array" ref="H25">_xlfn.XLOOKUP($G25,Data!$E:$E,Data!$F:$F,"Revisar",0)</f>
        <v>NA</v>
      </c>
      <c r="I25" s="36" t="str">
        <f t="array" ref="I25">_xlfn.XLOOKUP($G25,Data!$E:$E,Data!$G:$G,"Revisar",0)</f>
        <v>NA</v>
      </c>
      <c r="J25" s="27" t="s">
        <v>215</v>
      </c>
      <c r="K25" s="31">
        <v>237214</v>
      </c>
      <c r="L25" s="31">
        <v>0</v>
      </c>
      <c r="M25" s="31"/>
      <c r="N25" s="31"/>
      <c r="O25" s="32">
        <f t="shared" si="1"/>
        <v>237214</v>
      </c>
      <c r="P25" s="33">
        <f>IF($R25="","",-SUMIFS('Extractos bancarios - Manglar'!$C:$C,'Extractos bancarios - Manglar'!$M:$M,$R25))</f>
        <v>237214</v>
      </c>
      <c r="Q25" s="32">
        <f t="shared" si="2"/>
        <v>0</v>
      </c>
      <c r="R25" s="28" t="s">
        <v>217</v>
      </c>
      <c r="S25" s="25">
        <v>46162</v>
      </c>
      <c r="T25" s="34"/>
      <c r="U25" s="35">
        <f t="shared" ca="1" si="3"/>
        <v>-161</v>
      </c>
      <c r="V25" s="33" t="str">
        <f t="shared" si="4"/>
        <v>Al dia</v>
      </c>
      <c r="W25" s="33" t="str">
        <f t="shared" si="8"/>
        <v>Si</v>
      </c>
      <c r="X25" s="36" t="str">
        <f t="shared" si="6"/>
        <v>Costos Operacionales</v>
      </c>
      <c r="Y25" s="27" t="str">
        <f t="shared" si="12"/>
        <v>Si</v>
      </c>
      <c r="Z25" s="1"/>
      <c r="AA25" s="1"/>
    </row>
    <row r="26" spans="1:27" ht="15" customHeight="1" x14ac:dyDescent="0.3">
      <c r="A26" s="1" t="str">
        <f>VLOOKUP(E26,$B$168:$B$255,1,0)</f>
        <v>MEDIA RES STEAKHOUSE S.A.S.</v>
      </c>
      <c r="B26" s="25">
        <v>46167</v>
      </c>
      <c r="C26" s="25" t="s">
        <v>24</v>
      </c>
      <c r="D26" s="26" t="str">
        <f t="shared" si="0"/>
        <v>Pagada</v>
      </c>
      <c r="E26" s="27" t="s">
        <v>219</v>
      </c>
      <c r="F26" s="28" t="s">
        <v>220</v>
      </c>
      <c r="G26" s="27" t="s">
        <v>24</v>
      </c>
      <c r="H26" s="36" t="str">
        <f t="array" ref="H26">_xlfn.XLOOKUP($G26,Data!$E:$E,Data!$F:$F,"Revisar",0)</f>
        <v>NA</v>
      </c>
      <c r="I26" s="36" t="str">
        <f t="array" ref="I26">_xlfn.XLOOKUP($G26,Data!$E:$E,Data!$G:$G,"Revisar",0)</f>
        <v>NA</v>
      </c>
      <c r="J26" s="27" t="s">
        <v>222</v>
      </c>
      <c r="K26" s="31">
        <v>328998.24</v>
      </c>
      <c r="L26" s="31">
        <v>0</v>
      </c>
      <c r="M26" s="31"/>
      <c r="N26" s="31"/>
      <c r="O26" s="32">
        <f t="shared" si="1"/>
        <v>328998.24</v>
      </c>
      <c r="P26" s="31">
        <v>328998.24</v>
      </c>
      <c r="Q26" s="32">
        <f t="shared" si="2"/>
        <v>0</v>
      </c>
      <c r="R26" s="28" t="s">
        <v>227</v>
      </c>
      <c r="S26" s="25"/>
      <c r="T26" s="21" t="s">
        <v>95</v>
      </c>
      <c r="U26" s="35" t="str">
        <f t="shared" ca="1" si="3"/>
        <v/>
      </c>
      <c r="V26" s="33" t="str">
        <f t="shared" si="4"/>
        <v>Al dia</v>
      </c>
      <c r="W26" s="31" t="s">
        <v>30</v>
      </c>
      <c r="X26" s="36" t="str">
        <f t="shared" si="6"/>
        <v>Costos Operacionales</v>
      </c>
      <c r="Y26" s="27" t="s">
        <v>30</v>
      </c>
      <c r="Z26" s="1"/>
      <c r="AA26" s="1"/>
    </row>
    <row r="27" spans="1:27" ht="15" customHeight="1" x14ac:dyDescent="0.3">
      <c r="A27" s="1" t="str">
        <f>VLOOKUP(E27,$B$168:$B$255,1,0)</f>
        <v>LIVEEX S.A.S.</v>
      </c>
      <c r="B27" s="25">
        <v>46169</v>
      </c>
      <c r="C27" s="25">
        <v>46169</v>
      </c>
      <c r="D27" s="26" t="str">
        <f t="shared" si="0"/>
        <v>Pagada</v>
      </c>
      <c r="E27" s="27" t="s">
        <v>228</v>
      </c>
      <c r="F27" s="28" t="s">
        <v>229</v>
      </c>
      <c r="G27" s="27"/>
      <c r="H27" s="27" t="s">
        <v>230</v>
      </c>
      <c r="I27" s="27" t="s">
        <v>63</v>
      </c>
      <c r="J27" s="27" t="s">
        <v>231</v>
      </c>
      <c r="K27" s="31">
        <v>290252.53999999998</v>
      </c>
      <c r="L27" s="31">
        <v>50134.46</v>
      </c>
      <c r="M27" s="31"/>
      <c r="N27" s="31"/>
      <c r="O27" s="32">
        <f t="shared" si="1"/>
        <v>340387</v>
      </c>
      <c r="P27" s="33">
        <f>IF($R27="","",-SUMIFS('Extractos bancarios - Manglar'!$C:$C,'Extractos bancarios - Manglar'!$M:$M,$R27))</f>
        <v>340387</v>
      </c>
      <c r="Q27" s="32">
        <f t="shared" si="2"/>
        <v>0</v>
      </c>
      <c r="R27" s="28" t="s">
        <v>232</v>
      </c>
      <c r="S27" s="25">
        <v>46169</v>
      </c>
      <c r="T27" s="34" t="s">
        <v>66</v>
      </c>
      <c r="U27" s="35">
        <f t="shared" ca="1" si="3"/>
        <v>-154</v>
      </c>
      <c r="V27" s="33" t="str">
        <f t="shared" si="4"/>
        <v>Al dia</v>
      </c>
      <c r="W27" s="33" t="str">
        <f t="shared" ref="W27:W36" si="13">IF($R27="","",IF($V27="Anulada","No","Si"))</f>
        <v>Si</v>
      </c>
      <c r="X27" s="36" t="str">
        <f t="shared" si="6"/>
        <v>Costo Ventas</v>
      </c>
      <c r="Y27" s="27" t="str">
        <f t="shared" ref="Y27:Y36" si="14">IF($R27="","","Si")</f>
        <v>Si</v>
      </c>
      <c r="Z27" s="1"/>
      <c r="AA27" s="1"/>
    </row>
    <row r="28" spans="1:27" ht="15" customHeight="1" x14ac:dyDescent="0.3">
      <c r="A28" s="1" t="str">
        <f>VLOOKUP(E28,$B$168:$B$255,1,0)</f>
        <v>LEXGRA CONSULTING S.A.S.</v>
      </c>
      <c r="B28" s="25">
        <v>46169</v>
      </c>
      <c r="C28" s="25">
        <v>46195</v>
      </c>
      <c r="D28" s="26" t="str">
        <f t="shared" si="0"/>
        <v>Pagada</v>
      </c>
      <c r="E28" s="27" t="s">
        <v>52</v>
      </c>
      <c r="F28" s="28" t="s">
        <v>53</v>
      </c>
      <c r="G28" s="37" t="s">
        <v>182</v>
      </c>
      <c r="H28" s="36" t="str">
        <f t="array" ref="H28">_xlfn.XLOOKUP($G28,Data!$E:$E,Data!$F:$F,"Revisar",0)</f>
        <v>Psiconometrics</v>
      </c>
      <c r="I28" s="36" t="str">
        <f t="array" ref="I28">_xlfn.XLOOKUP($G28,Data!$E:$E,Data!$G:$G,"Revisar",0)</f>
        <v>Evento Camara Comercio</v>
      </c>
      <c r="J28" s="27" t="s">
        <v>236</v>
      </c>
      <c r="K28" s="31">
        <v>600000</v>
      </c>
      <c r="L28" s="31">
        <v>114000</v>
      </c>
      <c r="M28" s="31"/>
      <c r="N28" s="31">
        <v>17100</v>
      </c>
      <c r="O28" s="32">
        <f t="shared" si="1"/>
        <v>714000</v>
      </c>
      <c r="P28" s="33">
        <f>IF($R28="","",-SUMIFS('Extractos bancarios - Manglar'!$C:$C,'Extractos bancarios - Manglar'!$M:$M,$R28))</f>
        <v>696900</v>
      </c>
      <c r="Q28" s="32">
        <f t="shared" si="2"/>
        <v>0</v>
      </c>
      <c r="R28" s="28" t="s">
        <v>237</v>
      </c>
      <c r="S28" s="25">
        <v>46184</v>
      </c>
      <c r="T28" s="34"/>
      <c r="U28" s="35">
        <f t="shared" ca="1" si="3"/>
        <v>-139</v>
      </c>
      <c r="V28" s="33" t="str">
        <f t="shared" si="4"/>
        <v>Al dia</v>
      </c>
      <c r="W28" s="33" t="str">
        <f t="shared" si="13"/>
        <v>Si</v>
      </c>
      <c r="X28" s="36" t="str">
        <f t="shared" si="6"/>
        <v>Costo Ventas</v>
      </c>
      <c r="Y28" s="27" t="str">
        <f t="shared" si="14"/>
        <v>Si</v>
      </c>
      <c r="Z28" s="1"/>
      <c r="AA28" s="1"/>
    </row>
    <row r="29" spans="1:27" ht="15" customHeight="1" x14ac:dyDescent="0.3">
      <c r="A29" s="1" t="str">
        <f>VLOOKUP(E29,$B$168:$B$255,1,0)</f>
        <v>IKSO SAS</v>
      </c>
      <c r="B29" s="25">
        <v>46170</v>
      </c>
      <c r="C29" s="25">
        <v>46170</v>
      </c>
      <c r="D29" s="26" t="str">
        <f t="shared" si="0"/>
        <v>Pagada</v>
      </c>
      <c r="E29" s="27" t="s">
        <v>97</v>
      </c>
      <c r="F29" s="28" t="s">
        <v>98</v>
      </c>
      <c r="G29" s="27" t="s">
        <v>182</v>
      </c>
      <c r="H29" s="36" t="str">
        <f t="array" ref="H29">_xlfn.XLOOKUP($G29,Data!$E:$E,Data!$F:$F,"Revisar",0)</f>
        <v>Psiconometrics</v>
      </c>
      <c r="I29" s="36" t="str">
        <f t="array" ref="I29">_xlfn.XLOOKUP($G29,Data!$E:$E,Data!$G:$G,"Revisar",0)</f>
        <v>Evento Camara Comercio</v>
      </c>
      <c r="J29" s="27" t="s">
        <v>244</v>
      </c>
      <c r="K29" s="31">
        <v>205882.35</v>
      </c>
      <c r="L29" s="31">
        <v>39117.65</v>
      </c>
      <c r="M29" s="31"/>
      <c r="N29" s="31"/>
      <c r="O29" s="32">
        <f t="shared" si="1"/>
        <v>245000</v>
      </c>
      <c r="P29" s="33">
        <f>IF($R29="","",-SUMIFS('Extractos bancarios - Manglar'!$C:$C,'Extractos bancarios - Manglar'!$M:$M,$R29))</f>
        <v>245000</v>
      </c>
      <c r="Q29" s="32">
        <f t="shared" si="2"/>
        <v>0</v>
      </c>
      <c r="R29" s="28" t="s">
        <v>245</v>
      </c>
      <c r="S29" s="25">
        <v>46170</v>
      </c>
      <c r="T29" s="34"/>
      <c r="U29" s="35">
        <f t="shared" ca="1" si="3"/>
        <v>-153</v>
      </c>
      <c r="V29" s="33" t="str">
        <f t="shared" si="4"/>
        <v>Al dia</v>
      </c>
      <c r="W29" s="33" t="str">
        <f t="shared" si="13"/>
        <v>Si</v>
      </c>
      <c r="X29" s="36" t="str">
        <f t="shared" si="6"/>
        <v>Costo Ventas</v>
      </c>
      <c r="Y29" s="27" t="str">
        <f t="shared" si="14"/>
        <v>Si</v>
      </c>
      <c r="Z29" s="1"/>
      <c r="AA29" s="1"/>
    </row>
    <row r="30" spans="1:27" ht="15" customHeight="1" x14ac:dyDescent="0.3">
      <c r="A30" s="1" t="str">
        <f>VLOOKUP(E30,$B$168:$B$255,1,0)</f>
        <v>IKSO SAS</v>
      </c>
      <c r="B30" s="25">
        <v>46170</v>
      </c>
      <c r="C30" s="25">
        <v>46170</v>
      </c>
      <c r="D30" s="26" t="str">
        <f t="shared" si="0"/>
        <v>Pagada</v>
      </c>
      <c r="E30" s="27" t="s">
        <v>97</v>
      </c>
      <c r="F30" s="28" t="s">
        <v>98</v>
      </c>
      <c r="G30" s="27" t="s">
        <v>182</v>
      </c>
      <c r="H30" s="36" t="str">
        <f t="array" ref="H30">_xlfn.XLOOKUP($G30,Data!$E:$E,Data!$F:$F,"Revisar",0)</f>
        <v>Psiconometrics</v>
      </c>
      <c r="I30" s="36" t="str">
        <f t="array" ref="I30">_xlfn.XLOOKUP($G30,Data!$E:$E,Data!$G:$G,"Revisar",0)</f>
        <v>Evento Camara Comercio</v>
      </c>
      <c r="J30" s="27" t="s">
        <v>249</v>
      </c>
      <c r="K30" s="31">
        <v>1190647.05</v>
      </c>
      <c r="L30" s="31">
        <v>226222.95</v>
      </c>
      <c r="M30" s="31"/>
      <c r="N30" s="31"/>
      <c r="O30" s="32">
        <f t="shared" si="1"/>
        <v>1416870</v>
      </c>
      <c r="P30" s="33">
        <f>IF($R30="","",-SUMIFS('Extractos bancarios - Manglar'!$C:$C,'Extractos bancarios - Manglar'!$M:$M,$R30))</f>
        <v>1416870</v>
      </c>
      <c r="Q30" s="32">
        <f t="shared" si="2"/>
        <v>0</v>
      </c>
      <c r="R30" s="28" t="s">
        <v>252</v>
      </c>
      <c r="S30" s="25">
        <v>46170</v>
      </c>
      <c r="T30" s="34"/>
      <c r="U30" s="35">
        <f t="shared" ca="1" si="3"/>
        <v>-153</v>
      </c>
      <c r="V30" s="33" t="str">
        <f t="shared" si="4"/>
        <v>Al dia</v>
      </c>
      <c r="W30" s="33" t="str">
        <f t="shared" si="13"/>
        <v>Si</v>
      </c>
      <c r="X30" s="36" t="str">
        <f t="shared" si="6"/>
        <v>Costo Ventas</v>
      </c>
      <c r="Y30" s="27" t="str">
        <f t="shared" si="14"/>
        <v>Si</v>
      </c>
      <c r="Z30" s="1"/>
      <c r="AA30" s="1"/>
    </row>
    <row r="31" spans="1:27" ht="15" customHeight="1" x14ac:dyDescent="0.3">
      <c r="A31" s="1" t="str">
        <f>VLOOKUP(E31,$B$168:$B$255,1,0)</f>
        <v>COMERCIAL PAPELERA SA</v>
      </c>
      <c r="B31" s="25">
        <v>46172</v>
      </c>
      <c r="C31" s="25">
        <v>46171</v>
      </c>
      <c r="D31" s="26" t="str">
        <f t="shared" si="0"/>
        <v>Pagada</v>
      </c>
      <c r="E31" s="27" t="s">
        <v>254</v>
      </c>
      <c r="F31" s="28" t="s">
        <v>255</v>
      </c>
      <c r="G31" s="37" t="s">
        <v>161</v>
      </c>
      <c r="H31" s="36" t="str">
        <f t="array" ref="H31">_xlfn.XLOOKUP($G31,Data!$E:$E,Data!$F:$F,"Revisar",0)</f>
        <v>Kaspersky</v>
      </c>
      <c r="I31" s="36" t="str">
        <f t="array" ref="I31">_xlfn.XLOOKUP($G31,Data!$E:$E,Data!$G:$G,"Revisar",0)</f>
        <v>Bolsa Incentivos 2026</v>
      </c>
      <c r="J31" s="27" t="s">
        <v>261</v>
      </c>
      <c r="K31" s="31">
        <v>43571</v>
      </c>
      <c r="L31" s="31">
        <v>8279</v>
      </c>
      <c r="M31" s="31"/>
      <c r="N31" s="31"/>
      <c r="O31" s="32">
        <f t="shared" si="1"/>
        <v>51850</v>
      </c>
      <c r="P31" s="33">
        <f>IF($R31="","",-SUMIFS('Extractos bancarios - Manglar'!$C:$C,'Extractos bancarios - Manglar'!$M:$M,$R31))</f>
        <v>51850</v>
      </c>
      <c r="Q31" s="32">
        <f t="shared" si="2"/>
        <v>0</v>
      </c>
      <c r="R31" s="28" t="s">
        <v>263</v>
      </c>
      <c r="S31" s="25"/>
      <c r="T31" s="21"/>
      <c r="U31" s="35" t="str">
        <f t="shared" ca="1" si="3"/>
        <v/>
      </c>
      <c r="V31" s="33" t="str">
        <f t="shared" si="4"/>
        <v>Al dia</v>
      </c>
      <c r="W31" s="33" t="str">
        <f t="shared" si="13"/>
        <v>Si</v>
      </c>
      <c r="X31" s="36" t="str">
        <f t="shared" si="6"/>
        <v>Costo Ventas</v>
      </c>
      <c r="Y31" s="27" t="str">
        <f t="shared" si="14"/>
        <v>Si</v>
      </c>
      <c r="Z31" s="1"/>
      <c r="AA31" s="1"/>
    </row>
    <row r="32" spans="1:27" ht="15" customHeight="1" x14ac:dyDescent="0.3">
      <c r="A32" s="1" t="str">
        <f>VLOOKUP(E32,$B$168:$B$255,1,0)</f>
        <v>COMERCIAL PAPELERA SA</v>
      </c>
      <c r="B32" s="25">
        <v>46172</v>
      </c>
      <c r="C32" s="25">
        <v>46172</v>
      </c>
      <c r="D32" s="26" t="str">
        <f t="shared" si="0"/>
        <v>Pagada</v>
      </c>
      <c r="E32" s="27" t="s">
        <v>254</v>
      </c>
      <c r="F32" s="28" t="s">
        <v>255</v>
      </c>
      <c r="G32" s="37" t="s">
        <v>161</v>
      </c>
      <c r="H32" s="36" t="str">
        <f t="array" ref="H32">_xlfn.XLOOKUP($G32,Data!$E:$E,Data!$F:$F,"Revisar",0)</f>
        <v>Kaspersky</v>
      </c>
      <c r="I32" s="36" t="str">
        <f t="array" ref="I32">_xlfn.XLOOKUP($G32,Data!$E:$E,Data!$G:$G,"Revisar",0)</f>
        <v>Bolsa Incentivos 2026</v>
      </c>
      <c r="J32" s="27" t="s">
        <v>270</v>
      </c>
      <c r="K32" s="31">
        <v>57143</v>
      </c>
      <c r="L32" s="31">
        <v>10857</v>
      </c>
      <c r="M32" s="31"/>
      <c r="N32" s="31"/>
      <c r="O32" s="32">
        <f t="shared" si="1"/>
        <v>68000</v>
      </c>
      <c r="P32" s="33">
        <f>IF($R32="","",-SUMIFS('Extractos bancarios - Manglar'!$C:$C,'Extractos bancarios - Manglar'!$M:$M,$R32))</f>
        <v>68000</v>
      </c>
      <c r="Q32" s="32">
        <f t="shared" si="2"/>
        <v>0</v>
      </c>
      <c r="R32" s="28" t="s">
        <v>271</v>
      </c>
      <c r="S32" s="25"/>
      <c r="T32" s="21"/>
      <c r="U32" s="35" t="str">
        <f t="shared" ca="1" si="3"/>
        <v/>
      </c>
      <c r="V32" s="33" t="str">
        <f t="shared" si="4"/>
        <v>Al dia</v>
      </c>
      <c r="W32" s="33" t="str">
        <f t="shared" si="13"/>
        <v>Si</v>
      </c>
      <c r="X32" s="36" t="str">
        <f t="shared" si="6"/>
        <v>Costo Ventas</v>
      </c>
      <c r="Y32" s="27" t="str">
        <f t="shared" si="14"/>
        <v>Si</v>
      </c>
      <c r="Z32" s="1"/>
      <c r="AA32" s="1"/>
    </row>
    <row r="33" spans="1:27" ht="15" customHeight="1" x14ac:dyDescent="0.3">
      <c r="A33" s="1" t="str">
        <f>VLOOKUP(E33,$B$168:$B$255,1,0)</f>
        <v>TB PROMOCIONALES SAS</v>
      </c>
      <c r="B33" s="25">
        <v>46174</v>
      </c>
      <c r="C33" s="25">
        <v>46204</v>
      </c>
      <c r="D33" s="26" t="str">
        <f t="shared" si="0"/>
        <v>Pagada</v>
      </c>
      <c r="E33" s="27" t="s">
        <v>275</v>
      </c>
      <c r="F33" s="28" t="s">
        <v>276</v>
      </c>
      <c r="G33" s="37" t="s">
        <v>167</v>
      </c>
      <c r="H33" s="36" t="str">
        <f t="array" ref="H33">_xlfn.XLOOKUP($G33,Data!$E:$E,Data!$F:$F,"Revisar",0)</f>
        <v>AXIS</v>
      </c>
      <c r="I33" s="36" t="str">
        <f t="array" ref="I33">_xlfn.XLOOKUP($G33,Data!$E:$E,Data!$G:$G,"Revisar",0)</f>
        <v>Camisetas Academy</v>
      </c>
      <c r="J33" s="27" t="s">
        <v>278</v>
      </c>
      <c r="K33" s="31">
        <v>1494465</v>
      </c>
      <c r="L33" s="31">
        <v>283948.34999999998</v>
      </c>
      <c r="M33" s="31"/>
      <c r="N33" s="31"/>
      <c r="O33" s="32">
        <f t="shared" si="1"/>
        <v>1778413.35</v>
      </c>
      <c r="P33" s="33">
        <f>IF($R33="","",-SUMIFS('Extractos bancarios - Manglar'!$C:$C,'Extractos bancarios - Manglar'!$M:$M,$R33))</f>
        <v>1778413</v>
      </c>
      <c r="Q33" s="32">
        <f t="shared" si="2"/>
        <v>0.35000000009313226</v>
      </c>
      <c r="R33" s="28" t="s">
        <v>279</v>
      </c>
      <c r="S33" s="25">
        <v>46204</v>
      </c>
      <c r="T33" s="34" t="s">
        <v>59</v>
      </c>
      <c r="U33" s="35">
        <f t="shared" ca="1" si="3"/>
        <v>-119</v>
      </c>
      <c r="V33" s="33" t="str">
        <f t="shared" si="4"/>
        <v>Al dia</v>
      </c>
      <c r="W33" s="33" t="str">
        <f t="shared" si="13"/>
        <v>Si</v>
      </c>
      <c r="X33" s="36" t="str">
        <f t="shared" si="6"/>
        <v>Costo Ventas</v>
      </c>
      <c r="Y33" s="27" t="str">
        <f t="shared" si="14"/>
        <v>Si</v>
      </c>
      <c r="Z33" s="1"/>
      <c r="AA33" s="1"/>
    </row>
    <row r="34" spans="1:27" ht="15" customHeight="1" x14ac:dyDescent="0.3">
      <c r="A34" s="1" t="str">
        <f>VLOOKUP(E34,$B$168:$B$255,1,0)</f>
        <v>EVENTY EVENT PLANNERS SAS</v>
      </c>
      <c r="B34" s="25">
        <v>46174</v>
      </c>
      <c r="C34" s="25" t="s">
        <v>24</v>
      </c>
      <c r="D34" s="26" t="str">
        <f t="shared" si="0"/>
        <v>Nota credito</v>
      </c>
      <c r="E34" s="27" t="s">
        <v>281</v>
      </c>
      <c r="F34" s="28" t="s">
        <v>282</v>
      </c>
      <c r="G34" s="27" t="s">
        <v>24</v>
      </c>
      <c r="H34" s="36" t="str">
        <f t="array" ref="H34">_xlfn.XLOOKUP($G34,Data!$E:$E,Data!$F:$F,"Revisar",0)</f>
        <v>NA</v>
      </c>
      <c r="I34" s="36" t="str">
        <f t="array" ref="I34">_xlfn.XLOOKUP($G34,Data!$E:$E,Data!$G:$G,"Revisar",0)</f>
        <v>NA</v>
      </c>
      <c r="J34" s="27" t="s">
        <v>284</v>
      </c>
      <c r="K34" s="31">
        <v>-3119000</v>
      </c>
      <c r="L34" s="31">
        <v>-592610</v>
      </c>
      <c r="M34" s="31"/>
      <c r="N34" s="31"/>
      <c r="O34" s="32">
        <f t="shared" si="1"/>
        <v>-3711610</v>
      </c>
      <c r="P34" s="33">
        <f>IF($R34="","",-SUMIFS('Extractos bancarios - Manglar'!$C:$C,'Extractos bancarios - Manglar'!$M:$M,$R34))</f>
        <v>0</v>
      </c>
      <c r="Q34" s="32">
        <f t="shared" si="2"/>
        <v>-3711610</v>
      </c>
      <c r="R34" s="28" t="s">
        <v>286</v>
      </c>
      <c r="S34" s="25">
        <v>46174</v>
      </c>
      <c r="T34" s="34" t="s">
        <v>287</v>
      </c>
      <c r="U34" s="35">
        <f t="shared" ca="1" si="3"/>
        <v>-149</v>
      </c>
      <c r="V34" s="33" t="str">
        <f t="shared" si="4"/>
        <v>Anulada</v>
      </c>
      <c r="W34" s="33" t="str">
        <f t="shared" si="13"/>
        <v>No</v>
      </c>
      <c r="X34" s="36" t="str">
        <f t="shared" si="6"/>
        <v>Costos Operacionales</v>
      </c>
      <c r="Y34" s="27" t="str">
        <f t="shared" si="14"/>
        <v>Si</v>
      </c>
      <c r="Z34" s="1"/>
      <c r="AA34" s="1"/>
    </row>
    <row r="35" spans="1:27" ht="15" customHeight="1" x14ac:dyDescent="0.3">
      <c r="A35" s="1" t="str">
        <f>VLOOKUP(E35,$B$168:$B$255,1,0)</f>
        <v>EVENTY EVENT PLANNERS SAS</v>
      </c>
      <c r="B35" s="25">
        <v>46174</v>
      </c>
      <c r="C35" s="25" t="s">
        <v>24</v>
      </c>
      <c r="D35" s="26" t="str">
        <f t="shared" si="0"/>
        <v>Pendiente</v>
      </c>
      <c r="E35" s="27" t="s">
        <v>281</v>
      </c>
      <c r="F35" s="28" t="s">
        <v>282</v>
      </c>
      <c r="G35" s="27" t="s">
        <v>24</v>
      </c>
      <c r="H35" s="36" t="str">
        <f t="array" ref="H35">_xlfn.XLOOKUP($G35,Data!$E:$E,Data!$F:$F,"Revisar",0)</f>
        <v>NA</v>
      </c>
      <c r="I35" s="36" t="str">
        <f t="array" ref="I35">_xlfn.XLOOKUP($G35,Data!$E:$E,Data!$G:$G,"Revisar",0)</f>
        <v>NA</v>
      </c>
      <c r="J35" s="27" t="s">
        <v>289</v>
      </c>
      <c r="K35" s="31">
        <v>3119000</v>
      </c>
      <c r="L35" s="31">
        <v>592610</v>
      </c>
      <c r="M35" s="31"/>
      <c r="N35" s="31"/>
      <c r="O35" s="32">
        <f t="shared" si="1"/>
        <v>3711610</v>
      </c>
      <c r="P35" s="33">
        <f>IF($R35="","",-SUMIFS('Extractos bancarios - Manglar'!$C:$C,'Extractos bancarios - Manglar'!$M:$M,$R35))</f>
        <v>0</v>
      </c>
      <c r="Q35" s="32">
        <f t="shared" si="2"/>
        <v>3711610</v>
      </c>
      <c r="R35" s="28" t="s">
        <v>290</v>
      </c>
      <c r="S35" s="25">
        <v>46204</v>
      </c>
      <c r="T35" s="34" t="s">
        <v>291</v>
      </c>
      <c r="U35" s="35">
        <f t="shared" ca="1" si="3"/>
        <v>-119</v>
      </c>
      <c r="V35" s="33" t="str">
        <f t="shared" si="4"/>
        <v>Anulada</v>
      </c>
      <c r="W35" s="33" t="str">
        <f t="shared" si="13"/>
        <v>No</v>
      </c>
      <c r="X35" s="36" t="str">
        <f t="shared" si="6"/>
        <v>Costos Operacionales</v>
      </c>
      <c r="Y35" s="27" t="str">
        <f t="shared" si="14"/>
        <v>Si</v>
      </c>
      <c r="Z35" s="1"/>
      <c r="AA35" s="1"/>
    </row>
    <row r="36" spans="1:27" ht="15" customHeight="1" x14ac:dyDescent="0.3">
      <c r="A36" s="1" t="str">
        <f>VLOOKUP(E36,$B$168:$B$255,1,0)</f>
        <v>EVENTY EVENT PLANNERS SAS</v>
      </c>
      <c r="B36" s="25">
        <v>46174</v>
      </c>
      <c r="C36" s="25">
        <v>46204</v>
      </c>
      <c r="D36" s="26" t="str">
        <f t="shared" si="0"/>
        <v>Pagada</v>
      </c>
      <c r="E36" s="27" t="s">
        <v>281</v>
      </c>
      <c r="F36" s="28" t="s">
        <v>282</v>
      </c>
      <c r="G36" s="37" t="s">
        <v>182</v>
      </c>
      <c r="H36" s="36" t="str">
        <f t="array" ref="H36">_xlfn.XLOOKUP($G36,Data!$E:$E,Data!$F:$F,"Revisar",0)</f>
        <v>Psiconometrics</v>
      </c>
      <c r="I36" s="36" t="str">
        <f t="array" ref="I36">_xlfn.XLOOKUP($G36,Data!$E:$E,Data!$G:$G,"Revisar",0)</f>
        <v>Evento Camara Comercio</v>
      </c>
      <c r="J36" s="27" t="s">
        <v>295</v>
      </c>
      <c r="K36" s="31">
        <v>3227000</v>
      </c>
      <c r="L36" s="31">
        <v>613130</v>
      </c>
      <c r="M36" s="31"/>
      <c r="N36" s="31"/>
      <c r="O36" s="32">
        <f t="shared" si="1"/>
        <v>3840130</v>
      </c>
      <c r="P36" s="33">
        <f>IF($R36="","",-SUMIFS('Extractos bancarios - Manglar'!$C:$C,'Extractos bancarios - Manglar'!$M:$M,$R36))</f>
        <v>3840130</v>
      </c>
      <c r="Q36" s="32">
        <f t="shared" si="2"/>
        <v>0</v>
      </c>
      <c r="R36" s="28" t="s">
        <v>296</v>
      </c>
      <c r="S36" s="25">
        <v>46204</v>
      </c>
      <c r="T36" s="34" t="s">
        <v>59</v>
      </c>
      <c r="U36" s="35">
        <f t="shared" ca="1" si="3"/>
        <v>-119</v>
      </c>
      <c r="V36" s="33" t="str">
        <f t="shared" si="4"/>
        <v>Al dia</v>
      </c>
      <c r="W36" s="33" t="str">
        <f t="shared" si="13"/>
        <v>Si</v>
      </c>
      <c r="X36" s="36" t="str">
        <f t="shared" si="6"/>
        <v>Costo Ventas</v>
      </c>
      <c r="Y36" s="27" t="str">
        <f t="shared" si="14"/>
        <v>Si</v>
      </c>
      <c r="Z36" s="1"/>
      <c r="AA36" s="1"/>
    </row>
    <row r="37" spans="1:27" ht="15" customHeight="1" x14ac:dyDescent="0.3">
      <c r="A37" s="1" t="str">
        <f>VLOOKUP(E37,$B$168:$B$255,1,0)</f>
        <v>PLANTICENTER S.A.S</v>
      </c>
      <c r="B37" s="25">
        <v>46174</v>
      </c>
      <c r="C37" s="25" t="s">
        <v>24</v>
      </c>
      <c r="D37" s="26" t="str">
        <f t="shared" si="0"/>
        <v>Pagada</v>
      </c>
      <c r="E37" s="27" t="s">
        <v>300</v>
      </c>
      <c r="F37" s="28" t="s">
        <v>301</v>
      </c>
      <c r="G37" s="27" t="s">
        <v>24</v>
      </c>
      <c r="H37" s="36" t="str">
        <f t="array" ref="H37">_xlfn.XLOOKUP($G37,Data!$E:$E,Data!$F:$F,"Revisar",0)</f>
        <v>NA</v>
      </c>
      <c r="I37" s="36" t="str">
        <f t="array" ref="I37">_xlfn.XLOOKUP($G37,Data!$E:$E,Data!$G:$G,"Revisar",0)</f>
        <v>NA</v>
      </c>
      <c r="J37" s="27" t="s">
        <v>303</v>
      </c>
      <c r="K37" s="31">
        <v>1901000</v>
      </c>
      <c r="L37" s="31">
        <v>203490</v>
      </c>
      <c r="M37" s="31"/>
      <c r="N37" s="31"/>
      <c r="O37" s="32">
        <f t="shared" si="1"/>
        <v>2104490</v>
      </c>
      <c r="P37" s="31">
        <v>2104490</v>
      </c>
      <c r="Q37" s="32">
        <f t="shared" si="2"/>
        <v>0</v>
      </c>
      <c r="R37" s="28" t="s">
        <v>308</v>
      </c>
      <c r="S37" s="25">
        <v>46174</v>
      </c>
      <c r="T37" s="34" t="s">
        <v>95</v>
      </c>
      <c r="U37" s="35">
        <f t="shared" ca="1" si="3"/>
        <v>-149</v>
      </c>
      <c r="V37" s="33" t="str">
        <f t="shared" si="4"/>
        <v>Al dia</v>
      </c>
      <c r="W37" s="31" t="s">
        <v>30</v>
      </c>
      <c r="X37" s="36" t="str">
        <f t="shared" si="6"/>
        <v>Costos Operacionales</v>
      </c>
      <c r="Y37" s="27" t="s">
        <v>30</v>
      </c>
      <c r="Z37" s="1"/>
      <c r="AA37" s="1"/>
    </row>
    <row r="38" spans="1:27" ht="15" customHeight="1" x14ac:dyDescent="0.3">
      <c r="A38" s="1" t="str">
        <f>VLOOKUP(E38,$B$168:$B$255,1,0)</f>
        <v>HOTELES EL SALITRE SAS</v>
      </c>
      <c r="B38" s="25">
        <v>46177</v>
      </c>
      <c r="C38" s="25" t="s">
        <v>24</v>
      </c>
      <c r="D38" s="26" t="str">
        <f t="shared" si="0"/>
        <v>Pagada</v>
      </c>
      <c r="E38" s="27" t="s">
        <v>309</v>
      </c>
      <c r="F38" s="28" t="s">
        <v>310</v>
      </c>
      <c r="G38" s="27" t="s">
        <v>24</v>
      </c>
      <c r="H38" s="36" t="str">
        <f t="array" ref="H38">_xlfn.XLOOKUP($G38,Data!$E:$E,Data!$F:$F,"Revisar",0)</f>
        <v>NA</v>
      </c>
      <c r="I38" s="36" t="str">
        <f t="array" ref="I38">_xlfn.XLOOKUP($G38,Data!$E:$E,Data!$G:$G,"Revisar",0)</f>
        <v>NA</v>
      </c>
      <c r="J38" s="27" t="s">
        <v>312</v>
      </c>
      <c r="K38" s="31">
        <v>453361.11</v>
      </c>
      <c r="L38" s="31">
        <v>75240</v>
      </c>
      <c r="M38" s="31"/>
      <c r="N38" s="31"/>
      <c r="O38" s="32">
        <f t="shared" si="1"/>
        <v>528601.11</v>
      </c>
      <c r="P38" s="31">
        <v>528601.11</v>
      </c>
      <c r="Q38" s="32">
        <f t="shared" si="2"/>
        <v>0</v>
      </c>
      <c r="R38" s="28" t="s">
        <v>314</v>
      </c>
      <c r="S38" s="25">
        <v>46207</v>
      </c>
      <c r="T38" s="34" t="s">
        <v>95</v>
      </c>
      <c r="U38" s="35">
        <f t="shared" ca="1" si="3"/>
        <v>-116</v>
      </c>
      <c r="V38" s="33" t="str">
        <f t="shared" si="4"/>
        <v>Al dia</v>
      </c>
      <c r="W38" s="31" t="s">
        <v>30</v>
      </c>
      <c r="X38" s="36" t="str">
        <f t="shared" si="6"/>
        <v>Costos Operacionales</v>
      </c>
      <c r="Y38" s="27" t="s">
        <v>30</v>
      </c>
      <c r="Z38" s="1"/>
      <c r="AA38" s="1"/>
    </row>
    <row r="39" spans="1:27" ht="15" customHeight="1" x14ac:dyDescent="0.3">
      <c r="A39" s="1" t="str">
        <f>VLOOKUP(E39,$B$168:$B$255,1,0)</f>
        <v>LOGIST LATAM S.A.S</v>
      </c>
      <c r="B39" s="25">
        <v>46178</v>
      </c>
      <c r="C39" s="25">
        <v>46205</v>
      </c>
      <c r="D39" s="26" t="str">
        <f t="shared" si="0"/>
        <v>Pagada</v>
      </c>
      <c r="E39" s="27" t="s">
        <v>317</v>
      </c>
      <c r="F39" s="28" t="s">
        <v>318</v>
      </c>
      <c r="G39" s="27" t="s">
        <v>182</v>
      </c>
      <c r="H39" s="36" t="str">
        <f t="array" ref="H39">_xlfn.XLOOKUP($G39,Data!$E:$E,Data!$F:$F,"Revisar",0)</f>
        <v>Psiconometrics</v>
      </c>
      <c r="I39" s="36" t="str">
        <f t="array" ref="I39">_xlfn.XLOOKUP($G39,Data!$E:$E,Data!$G:$G,"Revisar",0)</f>
        <v>Evento Camara Comercio</v>
      </c>
      <c r="J39" s="27" t="s">
        <v>320</v>
      </c>
      <c r="K39" s="31">
        <v>103132500</v>
      </c>
      <c r="L39" s="31">
        <v>19595175</v>
      </c>
      <c r="M39" s="31"/>
      <c r="N39" s="31"/>
      <c r="O39" s="32">
        <f t="shared" si="1"/>
        <v>122727675</v>
      </c>
      <c r="P39" s="33">
        <f>IF($R39="","",-SUMIFS('Extractos bancarios - Manglar'!$C:$C,'Extractos bancarios - Manglar'!$M:$M,$R39))</f>
        <v>122727675</v>
      </c>
      <c r="Q39" s="32">
        <f t="shared" si="2"/>
        <v>0</v>
      </c>
      <c r="R39" s="28" t="s">
        <v>321</v>
      </c>
      <c r="S39" s="25">
        <v>46193</v>
      </c>
      <c r="T39" s="34" t="s">
        <v>59</v>
      </c>
      <c r="U39" s="35">
        <f t="shared" ca="1" si="3"/>
        <v>-130</v>
      </c>
      <c r="V39" s="33" t="str">
        <f t="shared" si="4"/>
        <v>Al dia</v>
      </c>
      <c r="W39" s="33" t="str">
        <f t="shared" ref="W39:W42" si="15">IF($R39="","",IF($V39="Anulada","No","Si"))</f>
        <v>Si</v>
      </c>
      <c r="X39" s="36" t="str">
        <f t="shared" si="6"/>
        <v>Costo Ventas</v>
      </c>
      <c r="Y39" s="27" t="str">
        <f t="shared" ref="Y39:Y42" si="16">IF($R39="","","Si")</f>
        <v>Si</v>
      </c>
      <c r="Z39" s="1"/>
      <c r="AA39" s="1"/>
    </row>
    <row r="40" spans="1:27" ht="15" customHeight="1" x14ac:dyDescent="0.3">
      <c r="A40" s="1" t="str">
        <f>VLOOKUP(E40,$B$168:$B$255,1,0)</f>
        <v>Mandolina Gourmet LTDA</v>
      </c>
      <c r="B40" s="25">
        <v>46182</v>
      </c>
      <c r="C40" s="25">
        <v>46195</v>
      </c>
      <c r="D40" s="26" t="str">
        <f t="shared" si="0"/>
        <v>Pagada</v>
      </c>
      <c r="E40" s="27" t="s">
        <v>323</v>
      </c>
      <c r="F40" s="28" t="s">
        <v>324</v>
      </c>
      <c r="G40" s="27" t="s">
        <v>182</v>
      </c>
      <c r="H40" s="36" t="str">
        <f t="array" ref="H40">_xlfn.XLOOKUP($G40,Data!$E:$E,Data!$F:$F,"Revisar",0)</f>
        <v>Psiconometrics</v>
      </c>
      <c r="I40" s="36" t="str">
        <f t="array" ref="I40">_xlfn.XLOOKUP($G40,Data!$E:$E,Data!$G:$G,"Revisar",0)</f>
        <v>Evento Camara Comercio</v>
      </c>
      <c r="J40" s="27" t="s">
        <v>325</v>
      </c>
      <c r="K40" s="31">
        <v>45894040</v>
      </c>
      <c r="L40" s="31">
        <v>0</v>
      </c>
      <c r="M40" s="31"/>
      <c r="N40" s="31"/>
      <c r="O40" s="32">
        <f t="shared" si="1"/>
        <v>45894040</v>
      </c>
      <c r="P40" s="33">
        <f>IF($R40="","",-SUMIFS('Extractos bancarios - Manglar'!$C:$C,'Extractos bancarios - Manglar'!$M:$M,$R40))</f>
        <v>45894040</v>
      </c>
      <c r="Q40" s="32">
        <f t="shared" si="2"/>
        <v>0</v>
      </c>
      <c r="R40" s="28" t="s">
        <v>326</v>
      </c>
      <c r="S40" s="25">
        <v>46212</v>
      </c>
      <c r="T40" s="34" t="s">
        <v>327</v>
      </c>
      <c r="U40" s="35">
        <f t="shared" ca="1" si="3"/>
        <v>-111</v>
      </c>
      <c r="V40" s="33" t="str">
        <f t="shared" si="4"/>
        <v>Al dia</v>
      </c>
      <c r="W40" s="33" t="str">
        <f t="shared" si="15"/>
        <v>Si</v>
      </c>
      <c r="X40" s="36" t="str">
        <f t="shared" si="6"/>
        <v>Costo Ventas</v>
      </c>
      <c r="Y40" s="27" t="str">
        <f t="shared" si="16"/>
        <v>Si</v>
      </c>
      <c r="Z40" s="1"/>
      <c r="AA40" s="1"/>
    </row>
    <row r="41" spans="1:27" ht="15" customHeight="1" x14ac:dyDescent="0.3">
      <c r="A41" s="1" t="str">
        <f>VLOOKUP(E41,$B$168:$B$255,1,0)</f>
        <v>LIVEEX S.A.S.</v>
      </c>
      <c r="B41" s="25">
        <v>46184</v>
      </c>
      <c r="C41" s="25">
        <v>46271</v>
      </c>
      <c r="D41" s="26" t="str">
        <f t="shared" si="0"/>
        <v>Pagada</v>
      </c>
      <c r="E41" s="27" t="s">
        <v>228</v>
      </c>
      <c r="F41" s="28" t="s">
        <v>229</v>
      </c>
      <c r="G41" s="37" t="s">
        <v>76</v>
      </c>
      <c r="H41" s="36" t="str">
        <f t="array" ref="H41">_xlfn.XLOOKUP($G41,Data!$E:$E,Data!$F:$F,"Revisar",0)</f>
        <v>AXIS</v>
      </c>
      <c r="I41" s="36" t="str">
        <f t="array" ref="I41">_xlfn.XLOOKUP($G41,Data!$E:$E,Data!$G:$G,"Revisar",0)</f>
        <v>Evento mundial de fútbol y merchandising</v>
      </c>
      <c r="J41" s="27" t="s">
        <v>328</v>
      </c>
      <c r="K41" s="31">
        <v>279159.5</v>
      </c>
      <c r="L41" s="31">
        <v>48218.49</v>
      </c>
      <c r="M41" s="31"/>
      <c r="N41" s="31"/>
      <c r="O41" s="32">
        <f t="shared" si="1"/>
        <v>327377.99</v>
      </c>
      <c r="P41" s="33">
        <f>IF($R41="","",-SUMIFS('Extractos bancarios - Manglar'!$C:$C,'Extractos bancarios - Manglar'!$M:$M,$R41))</f>
        <v>327377.99</v>
      </c>
      <c r="Q41" s="32">
        <f t="shared" si="2"/>
        <v>0</v>
      </c>
      <c r="R41" s="28" t="s">
        <v>216</v>
      </c>
      <c r="S41" s="25">
        <v>46184</v>
      </c>
      <c r="T41" s="34" t="s">
        <v>327</v>
      </c>
      <c r="U41" s="35">
        <f t="shared" ca="1" si="3"/>
        <v>-139</v>
      </c>
      <c r="V41" s="33" t="str">
        <f t="shared" si="4"/>
        <v>Al dia</v>
      </c>
      <c r="W41" s="33" t="str">
        <f t="shared" si="15"/>
        <v>Si</v>
      </c>
      <c r="X41" s="36" t="str">
        <f t="shared" si="6"/>
        <v>Costo Ventas</v>
      </c>
      <c r="Y41" s="27" t="str">
        <f t="shared" si="16"/>
        <v>Si</v>
      </c>
      <c r="Z41" s="1"/>
      <c r="AA41" s="1"/>
    </row>
    <row r="42" spans="1:27" ht="15" customHeight="1" x14ac:dyDescent="0.3">
      <c r="A42" s="1" t="str">
        <f>VLOOKUP(E42,$B$168:$B$255,1,0)</f>
        <v>LIVEEX S.A.S.</v>
      </c>
      <c r="B42" s="25">
        <v>46184</v>
      </c>
      <c r="C42" s="25">
        <v>46271</v>
      </c>
      <c r="D42" s="26" t="str">
        <f t="shared" si="0"/>
        <v>Pagada</v>
      </c>
      <c r="E42" s="27" t="s">
        <v>228</v>
      </c>
      <c r="F42" s="28" t="s">
        <v>229</v>
      </c>
      <c r="G42" s="37" t="s">
        <v>76</v>
      </c>
      <c r="H42" s="36" t="str">
        <f t="array" ref="H42">_xlfn.XLOOKUP($G42,Data!$E:$E,Data!$F:$F,"Revisar",0)</f>
        <v>AXIS</v>
      </c>
      <c r="I42" s="36" t="str">
        <f t="array" ref="I42">_xlfn.XLOOKUP($G42,Data!$E:$E,Data!$G:$G,"Revisar",0)</f>
        <v>Evento mundial de fútbol y merchandising</v>
      </c>
      <c r="J42" s="27" t="s">
        <v>330</v>
      </c>
      <c r="K42" s="31">
        <v>43445.8</v>
      </c>
      <c r="L42" s="31">
        <v>7504.2</v>
      </c>
      <c r="M42" s="31"/>
      <c r="N42" s="31"/>
      <c r="O42" s="32">
        <f t="shared" si="1"/>
        <v>50950</v>
      </c>
      <c r="P42" s="31">
        <v>50950</v>
      </c>
      <c r="Q42" s="32">
        <f t="shared" si="2"/>
        <v>0</v>
      </c>
      <c r="R42" s="28" t="s">
        <v>331</v>
      </c>
      <c r="S42" s="25">
        <v>46184</v>
      </c>
      <c r="T42" s="34" t="s">
        <v>327</v>
      </c>
      <c r="U42" s="35">
        <f t="shared" ca="1" si="3"/>
        <v>-139</v>
      </c>
      <c r="V42" s="33" t="str">
        <f t="shared" si="4"/>
        <v>Al dia</v>
      </c>
      <c r="W42" s="33" t="str">
        <f t="shared" si="15"/>
        <v>Si</v>
      </c>
      <c r="X42" s="36" t="str">
        <f t="shared" si="6"/>
        <v>Costo Ventas</v>
      </c>
      <c r="Y42" s="27" t="str">
        <f t="shared" si="16"/>
        <v>Si</v>
      </c>
      <c r="Z42" s="1"/>
      <c r="AA42" s="1"/>
    </row>
    <row r="43" spans="1:27" ht="15" customHeight="1" x14ac:dyDescent="0.3">
      <c r="A43" s="1" t="str">
        <f>VLOOKUP(E43,$B$168:$B$255,1,0)</f>
        <v>COLOMBIANA DE COMERCIO S.A.</v>
      </c>
      <c r="B43" s="25">
        <v>46184</v>
      </c>
      <c r="C43" s="25" t="s">
        <v>24</v>
      </c>
      <c r="D43" s="26" t="str">
        <f t="shared" si="0"/>
        <v>Pagada</v>
      </c>
      <c r="E43" s="27" t="s">
        <v>142</v>
      </c>
      <c r="F43" s="28" t="s">
        <v>144</v>
      </c>
      <c r="G43" s="27" t="s">
        <v>24</v>
      </c>
      <c r="H43" s="36" t="str">
        <f t="array" ref="H43">_xlfn.XLOOKUP($G43,Data!$E:$E,Data!$F:$F,"Revisar",0)</f>
        <v>NA</v>
      </c>
      <c r="I43" s="36" t="str">
        <f t="array" ref="I43">_xlfn.XLOOKUP($G43,Data!$E:$E,Data!$G:$G,"Revisar",0)</f>
        <v>NA</v>
      </c>
      <c r="J43" s="27" t="s">
        <v>334</v>
      </c>
      <c r="K43" s="31">
        <v>46134.45</v>
      </c>
      <c r="L43" s="31">
        <v>8765.5499999999993</v>
      </c>
      <c r="M43" s="31"/>
      <c r="N43" s="31"/>
      <c r="O43" s="32">
        <f t="shared" si="1"/>
        <v>54900</v>
      </c>
      <c r="P43" s="31">
        <v>54900</v>
      </c>
      <c r="Q43" s="32">
        <f t="shared" si="2"/>
        <v>0</v>
      </c>
      <c r="R43" s="28" t="s">
        <v>335</v>
      </c>
      <c r="S43" s="25"/>
      <c r="T43" s="21" t="s">
        <v>95</v>
      </c>
      <c r="U43" s="35" t="str">
        <f t="shared" ca="1" si="3"/>
        <v/>
      </c>
      <c r="V43" s="33" t="str">
        <f t="shared" si="4"/>
        <v>Al dia</v>
      </c>
      <c r="W43" s="31" t="s">
        <v>30</v>
      </c>
      <c r="X43" s="36" t="str">
        <f t="shared" si="6"/>
        <v>Costos Operacionales</v>
      </c>
      <c r="Y43" s="27" t="s">
        <v>30</v>
      </c>
      <c r="Z43" s="1"/>
      <c r="AA43" s="1"/>
    </row>
    <row r="44" spans="1:27" ht="15" customHeight="1" x14ac:dyDescent="0.3">
      <c r="A44" s="1" t="str">
        <f>VLOOKUP(E44,$B$168:$B$255,1,0)</f>
        <v>LIVEEX S.A.S.</v>
      </c>
      <c r="B44" s="25">
        <v>46184</v>
      </c>
      <c r="C44" s="25">
        <v>46182</v>
      </c>
      <c r="D44" s="26" t="str">
        <f t="shared" si="0"/>
        <v>Saldo a favor</v>
      </c>
      <c r="E44" s="27" t="s">
        <v>228</v>
      </c>
      <c r="F44" s="28" t="s">
        <v>229</v>
      </c>
      <c r="G44" s="37" t="s">
        <v>76</v>
      </c>
      <c r="H44" s="36" t="str">
        <f t="array" ref="H44">_xlfn.XLOOKUP($G44,Data!$E:$E,Data!$F:$F,"Revisar",0)</f>
        <v>AXIS</v>
      </c>
      <c r="I44" s="36" t="str">
        <f t="array" ref="I44">_xlfn.XLOOKUP($G44,Data!$E:$E,Data!$G:$G,"Revisar",0)</f>
        <v>Evento mundial de fútbol y merchandising</v>
      </c>
      <c r="J44" s="27" t="s">
        <v>337</v>
      </c>
      <c r="K44" s="31">
        <v>7516218.7199999997</v>
      </c>
      <c r="L44" s="31">
        <v>1299983.18</v>
      </c>
      <c r="M44" s="31"/>
      <c r="N44" s="31"/>
      <c r="O44" s="32">
        <f t="shared" si="1"/>
        <v>8816201.9000000004</v>
      </c>
      <c r="P44" s="33">
        <f>IF($R44="","",-SUMIFS('Extractos bancarios - Manglar'!$C:$C,'Extractos bancarios - Manglar'!$M:$M,$R44))</f>
        <v>8851151.0099999998</v>
      </c>
      <c r="Q44" s="32">
        <f t="shared" si="2"/>
        <v>-34949.109999999404</v>
      </c>
      <c r="R44" s="28" t="s">
        <v>221</v>
      </c>
      <c r="S44" s="25">
        <v>46184</v>
      </c>
      <c r="T44" s="34" t="s">
        <v>327</v>
      </c>
      <c r="U44" s="35">
        <f t="shared" ca="1" si="3"/>
        <v>-139</v>
      </c>
      <c r="V44" s="33" t="str">
        <f t="shared" si="4"/>
        <v>Al dia</v>
      </c>
      <c r="W44" s="33" t="s">
        <v>30</v>
      </c>
      <c r="X44" s="36" t="str">
        <f t="shared" si="6"/>
        <v>Costo Ventas</v>
      </c>
      <c r="Y44" s="27" t="str">
        <f t="shared" ref="Y44:Y45" si="17">IF($R44="","","Si")</f>
        <v>Si</v>
      </c>
      <c r="Z44" s="1"/>
      <c r="AA44" s="1"/>
    </row>
    <row r="45" spans="1:27" ht="15" customHeight="1" x14ac:dyDescent="0.3">
      <c r="A45" s="1" t="str">
        <f>VLOOKUP(E45,$B$168:$B$255,1,0)</f>
        <v>TRANSPARENTE AGENCIA GRAFICA S.A.S</v>
      </c>
      <c r="B45" s="25">
        <v>46185</v>
      </c>
      <c r="C45" s="25">
        <v>46189</v>
      </c>
      <c r="D45" s="26" t="str">
        <f t="shared" si="0"/>
        <v>Pagada</v>
      </c>
      <c r="E45" s="27" t="s">
        <v>190</v>
      </c>
      <c r="F45" s="28" t="s">
        <v>191</v>
      </c>
      <c r="G45" s="37" t="s">
        <v>76</v>
      </c>
      <c r="H45" s="36" t="str">
        <f t="array" ref="H45">_xlfn.XLOOKUP($G45,Data!$E:$E,Data!$F:$F,"Revisar",0)</f>
        <v>AXIS</v>
      </c>
      <c r="I45" s="36" t="str">
        <f t="array" ref="I45">_xlfn.XLOOKUP($G45,Data!$E:$E,Data!$G:$G,"Revisar",0)</f>
        <v>Evento mundial de fútbol y merchandising</v>
      </c>
      <c r="J45" s="27" t="s">
        <v>341</v>
      </c>
      <c r="K45" s="31">
        <v>1740000</v>
      </c>
      <c r="L45" s="31">
        <v>330600</v>
      </c>
      <c r="M45" s="31"/>
      <c r="N45" s="31"/>
      <c r="O45" s="32">
        <f t="shared" si="1"/>
        <v>2070600</v>
      </c>
      <c r="P45" s="33">
        <f>IF($R45="","",-SUMIFS('Extractos bancarios - Manglar'!$C:$C,'Extractos bancarios - Manglar'!$M:$M,$R45))</f>
        <v>2070600</v>
      </c>
      <c r="Q45" s="32">
        <f t="shared" si="2"/>
        <v>0</v>
      </c>
      <c r="R45" s="28" t="s">
        <v>342</v>
      </c>
      <c r="S45" s="25"/>
      <c r="T45" s="21"/>
      <c r="U45" s="35" t="str">
        <f t="shared" ca="1" si="3"/>
        <v/>
      </c>
      <c r="V45" s="33" t="str">
        <f t="shared" si="4"/>
        <v>Al dia</v>
      </c>
      <c r="W45" s="33" t="str">
        <f t="shared" ref="W45:W48" si="18">IF($R45="","",IF($V45="Anulada","No","Si"))</f>
        <v>Si</v>
      </c>
      <c r="X45" s="36" t="str">
        <f t="shared" si="6"/>
        <v>Costo Ventas</v>
      </c>
      <c r="Y45" s="27" t="str">
        <f t="shared" si="17"/>
        <v>Si</v>
      </c>
      <c r="Z45" s="1"/>
      <c r="AA45" s="1"/>
    </row>
    <row r="46" spans="1:27" ht="15" customHeight="1" x14ac:dyDescent="0.3">
      <c r="A46" s="1" t="str">
        <f>VLOOKUP(E46,$B$168:$B$255,1,0)</f>
        <v>ADIDAS COLOMBIA LTDA</v>
      </c>
      <c r="B46" s="25">
        <v>46187</v>
      </c>
      <c r="C46" s="25" t="s">
        <v>24</v>
      </c>
      <c r="D46" s="26" t="str">
        <f t="shared" si="0"/>
        <v>Pendiente</v>
      </c>
      <c r="E46" s="27" t="s">
        <v>82</v>
      </c>
      <c r="F46" s="28" t="s">
        <v>83</v>
      </c>
      <c r="G46" s="27" t="s">
        <v>24</v>
      </c>
      <c r="H46" s="36" t="str">
        <f t="array" ref="H46">_xlfn.XLOOKUP($G46,Data!$E:$E,Data!$F:$F,"Revisar",0)</f>
        <v>NA</v>
      </c>
      <c r="I46" s="36" t="str">
        <f t="array" ref="I46">_xlfn.XLOOKUP($G46,Data!$E:$E,Data!$G:$G,"Revisar",0)</f>
        <v>NA</v>
      </c>
      <c r="J46" s="27" t="s">
        <v>344</v>
      </c>
      <c r="K46" s="31">
        <v>319285.71000000002</v>
      </c>
      <c r="L46" s="31">
        <v>60664.28</v>
      </c>
      <c r="M46" s="31"/>
      <c r="N46" s="31"/>
      <c r="O46" s="32">
        <f t="shared" si="1"/>
        <v>379949.99</v>
      </c>
      <c r="P46" s="33">
        <f>IF($R46="","",-SUMIFS('Extractos bancarios - Manglar'!$C:$C,'Extractos bancarios - Manglar'!$M:$M,$R46))</f>
        <v>0</v>
      </c>
      <c r="Q46" s="32">
        <f t="shared" si="2"/>
        <v>379949.99</v>
      </c>
      <c r="R46" s="28" t="s">
        <v>345</v>
      </c>
      <c r="S46" s="25"/>
      <c r="T46" s="21" t="s">
        <v>346</v>
      </c>
      <c r="U46" s="35" t="str">
        <f t="shared" ca="1" si="3"/>
        <v/>
      </c>
      <c r="V46" s="33" t="str">
        <f t="shared" si="4"/>
        <v>Anulada</v>
      </c>
      <c r="W46" s="33" t="str">
        <f t="shared" si="18"/>
        <v>No</v>
      </c>
      <c r="X46" s="36" t="str">
        <f t="shared" si="6"/>
        <v>Costos Operacionales</v>
      </c>
      <c r="Y46" s="27" t="s">
        <v>30</v>
      </c>
      <c r="Z46" s="1"/>
      <c r="AA46" s="1"/>
    </row>
    <row r="47" spans="1:27" ht="15" customHeight="1" x14ac:dyDescent="0.3">
      <c r="A47" s="1" t="str">
        <f>VLOOKUP(E47,$B$168:$B$255,1,0)</f>
        <v>ADIDAS COLOMBIA LTDA</v>
      </c>
      <c r="B47" s="25">
        <v>46187</v>
      </c>
      <c r="C47" s="25" t="s">
        <v>24</v>
      </c>
      <c r="D47" s="26" t="str">
        <f t="shared" si="0"/>
        <v>Nota credito</v>
      </c>
      <c r="E47" s="27" t="s">
        <v>82</v>
      </c>
      <c r="F47" s="28" t="s">
        <v>83</v>
      </c>
      <c r="G47" s="27" t="s">
        <v>24</v>
      </c>
      <c r="H47" s="36" t="str">
        <f t="array" ref="H47">_xlfn.XLOOKUP($G47,Data!$E:$E,Data!$F:$F,"Revisar",0)</f>
        <v>NA</v>
      </c>
      <c r="I47" s="36" t="str">
        <f t="array" ref="I47">_xlfn.XLOOKUP($G47,Data!$E:$E,Data!$G:$G,"Revisar",0)</f>
        <v>NA</v>
      </c>
      <c r="J47" s="27" t="s">
        <v>175</v>
      </c>
      <c r="K47" s="31">
        <v>-319285.71000000002</v>
      </c>
      <c r="L47" s="31">
        <v>-60664.28</v>
      </c>
      <c r="M47" s="31"/>
      <c r="N47" s="31"/>
      <c r="O47" s="32">
        <f t="shared" si="1"/>
        <v>-379949.99</v>
      </c>
      <c r="P47" s="33">
        <f>IF($R47="","",-SUMIFS('Extractos bancarios - Manglar'!$C:$C,'Extractos bancarios - Manglar'!$M:$M,$R47))</f>
        <v>0</v>
      </c>
      <c r="Q47" s="32">
        <f t="shared" si="2"/>
        <v>-379949.99</v>
      </c>
      <c r="R47" s="28" t="s">
        <v>347</v>
      </c>
      <c r="S47" s="25"/>
      <c r="T47" s="21" t="s">
        <v>349</v>
      </c>
      <c r="U47" s="35" t="str">
        <f t="shared" ca="1" si="3"/>
        <v/>
      </c>
      <c r="V47" s="33" t="str">
        <f t="shared" si="4"/>
        <v>Anulada</v>
      </c>
      <c r="W47" s="33" t="str">
        <f t="shared" si="18"/>
        <v>No</v>
      </c>
      <c r="X47" s="36" t="str">
        <f t="shared" si="6"/>
        <v>Costos Operacionales</v>
      </c>
      <c r="Y47" s="27" t="s">
        <v>30</v>
      </c>
      <c r="Z47" s="1"/>
      <c r="AA47" s="1"/>
    </row>
    <row r="48" spans="1:27" ht="15" customHeight="1" x14ac:dyDescent="0.3">
      <c r="A48" s="1" t="str">
        <f>VLOOKUP(E48,$B$168:$B$255,1,0)</f>
        <v>SMART DESIGN PUBLICIDAD SAS</v>
      </c>
      <c r="B48" s="25">
        <v>46190</v>
      </c>
      <c r="C48" s="25">
        <v>46192</v>
      </c>
      <c r="D48" s="26" t="str">
        <f t="shared" si="0"/>
        <v>Pagada</v>
      </c>
      <c r="E48" s="27" t="s">
        <v>127</v>
      </c>
      <c r="F48" s="28" t="s">
        <v>129</v>
      </c>
      <c r="G48" s="37" t="s">
        <v>161</v>
      </c>
      <c r="H48" s="36" t="str">
        <f t="array" ref="H48">_xlfn.XLOOKUP($G48,Data!$E:$E,Data!$F:$F,"Revisar",0)</f>
        <v>Kaspersky</v>
      </c>
      <c r="I48" s="36" t="str">
        <f t="array" ref="I48">_xlfn.XLOOKUP($G48,Data!$E:$E,Data!$G:$G,"Revisar",0)</f>
        <v>Bolsa Incentivos 2026</v>
      </c>
      <c r="J48" s="27" t="s">
        <v>353</v>
      </c>
      <c r="K48" s="31">
        <v>1864000</v>
      </c>
      <c r="L48" s="31">
        <v>354160</v>
      </c>
      <c r="M48" s="31"/>
      <c r="N48" s="31"/>
      <c r="O48" s="32">
        <f t="shared" si="1"/>
        <v>2218160</v>
      </c>
      <c r="P48" s="33">
        <f>IF($R48="","",-SUMIFS('Extractos bancarios - Manglar'!$C:$C,'Extractos bancarios - Manglar'!$M:$M,$R48))</f>
        <v>2218160</v>
      </c>
      <c r="Q48" s="32">
        <f t="shared" si="2"/>
        <v>0</v>
      </c>
      <c r="R48" s="28" t="s">
        <v>354</v>
      </c>
      <c r="S48" s="25">
        <v>46190</v>
      </c>
      <c r="T48" s="34"/>
      <c r="U48" s="35">
        <f t="shared" ca="1" si="3"/>
        <v>-133</v>
      </c>
      <c r="V48" s="33" t="str">
        <f t="shared" si="4"/>
        <v>Al dia</v>
      </c>
      <c r="W48" s="33" t="str">
        <f t="shared" si="18"/>
        <v>Si</v>
      </c>
      <c r="X48" s="36" t="str">
        <f t="shared" si="6"/>
        <v>Costo Ventas</v>
      </c>
      <c r="Y48" s="27" t="str">
        <f>IF($R48="","","Si")</f>
        <v>Si</v>
      </c>
      <c r="Z48" s="1"/>
      <c r="AA48" s="1"/>
    </row>
    <row r="49" spans="1:27" ht="15" customHeight="1" x14ac:dyDescent="0.3">
      <c r="A49" s="1" t="str">
        <f>VLOOKUP(E49,$B$168:$B$255,1,0)</f>
        <v>ADIDAS COLOMBIA LTDA</v>
      </c>
      <c r="B49" s="25">
        <v>46198</v>
      </c>
      <c r="C49" s="25" t="s">
        <v>24</v>
      </c>
      <c r="D49" s="26" t="str">
        <f t="shared" si="0"/>
        <v>Nota credito</v>
      </c>
      <c r="E49" s="27" t="s">
        <v>82</v>
      </c>
      <c r="F49" s="28" t="s">
        <v>83</v>
      </c>
      <c r="G49" s="27" t="s">
        <v>24</v>
      </c>
      <c r="H49" s="36" t="str">
        <f t="array" ref="H49">_xlfn.XLOOKUP($G49,Data!$E:$E,Data!$F:$F,"Revisar",0)</f>
        <v>NA</v>
      </c>
      <c r="I49" s="36" t="str">
        <f t="array" ref="I49">_xlfn.XLOOKUP($G49,Data!$E:$E,Data!$G:$G,"Revisar",0)</f>
        <v>NA</v>
      </c>
      <c r="J49" s="27" t="s">
        <v>175</v>
      </c>
      <c r="K49" s="31">
        <v>-319285.71000000002</v>
      </c>
      <c r="L49" s="31">
        <v>-60664.28</v>
      </c>
      <c r="M49" s="31"/>
      <c r="N49" s="31"/>
      <c r="O49" s="32">
        <f t="shared" si="1"/>
        <v>-379949.99</v>
      </c>
      <c r="P49" s="33">
        <f>IF($R49="","",-SUMIFS('Extractos bancarios - Manglar'!$C:$C,'Extractos bancarios - Manglar'!$M:$M,$R49))</f>
        <v>0</v>
      </c>
      <c r="Q49" s="32">
        <f t="shared" si="2"/>
        <v>-379949.99</v>
      </c>
      <c r="R49" s="28" t="s">
        <v>371</v>
      </c>
      <c r="S49" s="25"/>
      <c r="T49" s="21" t="s">
        <v>95</v>
      </c>
      <c r="U49" s="35" t="str">
        <f t="shared" ca="1" si="3"/>
        <v/>
      </c>
      <c r="V49" s="33" t="str">
        <f t="shared" si="4"/>
        <v>Al dia</v>
      </c>
      <c r="W49" s="31" t="s">
        <v>30</v>
      </c>
      <c r="X49" s="36" t="str">
        <f t="shared" si="6"/>
        <v>Costos Operacionales</v>
      </c>
      <c r="Y49" s="27" t="s">
        <v>30</v>
      </c>
      <c r="Z49" s="1"/>
      <c r="AA49" s="1"/>
    </row>
    <row r="50" spans="1:27" ht="15" customHeight="1" x14ac:dyDescent="0.3">
      <c r="A50" s="1" t="str">
        <f>VLOOKUP(E50,$B$168:$B$255,1,0)</f>
        <v>CENTRAL PARKING SYSTEM COLOMBIA SAS</v>
      </c>
      <c r="B50" s="25">
        <v>46203</v>
      </c>
      <c r="C50" s="25">
        <v>46203</v>
      </c>
      <c r="D50" s="26" t="str">
        <f t="shared" si="0"/>
        <v>Pagada</v>
      </c>
      <c r="E50" s="27" t="s">
        <v>373</v>
      </c>
      <c r="F50" s="28" t="s">
        <v>374</v>
      </c>
      <c r="G50" s="27" t="s">
        <v>24</v>
      </c>
      <c r="H50" s="36" t="str">
        <f t="array" ref="H50">_xlfn.XLOOKUP($G50,Data!$E:$E,Data!$F:$F,"Revisar",0)</f>
        <v>NA</v>
      </c>
      <c r="I50" s="36" t="str">
        <f t="array" ref="I50">_xlfn.XLOOKUP($G50,Data!$E:$E,Data!$G:$G,"Revisar",0)</f>
        <v>NA</v>
      </c>
      <c r="J50" s="27" t="s">
        <v>383</v>
      </c>
      <c r="K50" s="31">
        <v>7521.01</v>
      </c>
      <c r="L50" s="31">
        <v>1428.99</v>
      </c>
      <c r="M50" s="31"/>
      <c r="N50" s="31"/>
      <c r="O50" s="32">
        <f t="shared" si="1"/>
        <v>8950</v>
      </c>
      <c r="P50" s="33">
        <f>IF($R50="","",-SUMIFS('Extractos bancarios - Manglar'!$C:$C,'Extractos bancarios - Manglar'!$M:$M,$R50))</f>
        <v>8950</v>
      </c>
      <c r="Q50" s="32">
        <f t="shared" si="2"/>
        <v>0</v>
      </c>
      <c r="R50" s="28" t="s">
        <v>385</v>
      </c>
      <c r="S50" s="25">
        <v>46203</v>
      </c>
      <c r="T50" s="34"/>
      <c r="U50" s="35">
        <f t="shared" ca="1" si="3"/>
        <v>-120</v>
      </c>
      <c r="V50" s="33" t="str">
        <f t="shared" si="4"/>
        <v>Al dia</v>
      </c>
      <c r="W50" s="33" t="str">
        <f t="shared" ref="W50:W53" si="19">IF($R50="","",IF($V50="Anulada","No","Si"))</f>
        <v>Si</v>
      </c>
      <c r="X50" s="36" t="str">
        <f t="shared" si="6"/>
        <v>Costos Operacionales</v>
      </c>
      <c r="Y50" s="27" t="str">
        <f t="shared" ref="Y50:Y53" si="20">IF($R50="","","Si")</f>
        <v>Si</v>
      </c>
      <c r="Z50" s="1"/>
      <c r="AA50" s="1"/>
    </row>
    <row r="51" spans="1:27" ht="15" customHeight="1" x14ac:dyDescent="0.3">
      <c r="A51" s="1" t="str">
        <f>VLOOKUP(E51,$B$168:$B$255,1,0)</f>
        <v>TAKAMI SA</v>
      </c>
      <c r="B51" s="25">
        <v>46204</v>
      </c>
      <c r="C51" s="25">
        <v>46204</v>
      </c>
      <c r="D51" s="26" t="str">
        <f t="shared" si="0"/>
        <v>Pagada</v>
      </c>
      <c r="E51" s="27" t="s">
        <v>386</v>
      </c>
      <c r="F51" s="28" t="s">
        <v>387</v>
      </c>
      <c r="G51" s="27" t="s">
        <v>24</v>
      </c>
      <c r="H51" s="36" t="str">
        <f t="array" ref="H51">_xlfn.XLOOKUP($G51,Data!$E:$E,Data!$F:$F,"Revisar",0)</f>
        <v>NA</v>
      </c>
      <c r="I51" s="36" t="str">
        <f t="array" ref="I51">_xlfn.XLOOKUP($G51,Data!$E:$E,Data!$G:$G,"Revisar",0)</f>
        <v>NA</v>
      </c>
      <c r="J51" s="27" t="s">
        <v>390</v>
      </c>
      <c r="K51" s="31">
        <v>220480</v>
      </c>
      <c r="L51" s="31">
        <v>0</v>
      </c>
      <c r="M51" s="31"/>
      <c r="N51" s="31"/>
      <c r="O51" s="32">
        <f t="shared" si="1"/>
        <v>220480</v>
      </c>
      <c r="P51" s="33">
        <f>IF($R51="","",-SUMIFS('Extractos bancarios - Manglar'!$C:$C,'Extractos bancarios - Manglar'!$M:$M,$R51))</f>
        <v>220480</v>
      </c>
      <c r="Q51" s="32">
        <f t="shared" si="2"/>
        <v>0</v>
      </c>
      <c r="R51" s="28" t="s">
        <v>391</v>
      </c>
      <c r="S51" s="25"/>
      <c r="T51" s="21" t="s">
        <v>66</v>
      </c>
      <c r="U51" s="35" t="str">
        <f t="shared" ca="1" si="3"/>
        <v/>
      </c>
      <c r="V51" s="33" t="str">
        <f t="shared" si="4"/>
        <v>Al dia</v>
      </c>
      <c r="W51" s="33" t="str">
        <f t="shared" si="19"/>
        <v>Si</v>
      </c>
      <c r="X51" s="36" t="str">
        <f t="shared" si="6"/>
        <v>Costos Operacionales</v>
      </c>
      <c r="Y51" s="27" t="str">
        <f t="shared" si="20"/>
        <v>Si</v>
      </c>
      <c r="Z51" s="1"/>
      <c r="AA51" s="1"/>
    </row>
    <row r="52" spans="1:27" ht="15" customHeight="1" x14ac:dyDescent="0.3">
      <c r="A52" s="1" t="str">
        <f>VLOOKUP(E52,$B$168:$B$255,1,0)</f>
        <v>COMBUSTIBLES H &amp; R LTDA.</v>
      </c>
      <c r="B52" s="25">
        <v>46204</v>
      </c>
      <c r="C52" s="25">
        <v>46204</v>
      </c>
      <c r="D52" s="26" t="str">
        <f t="shared" si="0"/>
        <v>Pagada</v>
      </c>
      <c r="E52" s="27" t="s">
        <v>394</v>
      </c>
      <c r="F52" s="28" t="s">
        <v>395</v>
      </c>
      <c r="G52" s="27" t="s">
        <v>24</v>
      </c>
      <c r="H52" s="36" t="str">
        <f t="array" ref="H52">_xlfn.XLOOKUP($G52,Data!$E:$E,Data!$F:$F,"Revisar",0)</f>
        <v>NA</v>
      </c>
      <c r="I52" s="36" t="str">
        <f t="array" ref="I52">_xlfn.XLOOKUP($G52,Data!$E:$E,Data!$G:$G,"Revisar",0)</f>
        <v>NA</v>
      </c>
      <c r="J52" s="27" t="s">
        <v>397</v>
      </c>
      <c r="K52" s="31">
        <v>235904</v>
      </c>
      <c r="L52" s="31">
        <v>0</v>
      </c>
      <c r="M52" s="31"/>
      <c r="N52" s="31"/>
      <c r="O52" s="32">
        <f t="shared" si="1"/>
        <v>235904</v>
      </c>
      <c r="P52" s="33">
        <f>IF($R52="","",-SUMIFS('Extractos bancarios - Manglar'!$C:$C,'Extractos bancarios - Manglar'!$M:$M,$R52))</f>
        <v>235904</v>
      </c>
      <c r="Q52" s="32">
        <f t="shared" si="2"/>
        <v>0</v>
      </c>
      <c r="R52" s="28" t="s">
        <v>398</v>
      </c>
      <c r="S52" s="25"/>
      <c r="T52" s="21"/>
      <c r="U52" s="35" t="str">
        <f t="shared" ca="1" si="3"/>
        <v/>
      </c>
      <c r="V52" s="33" t="str">
        <f t="shared" si="4"/>
        <v>Al dia</v>
      </c>
      <c r="W52" s="33" t="str">
        <f t="shared" si="19"/>
        <v>Si</v>
      </c>
      <c r="X52" s="36" t="str">
        <f t="shared" si="6"/>
        <v>Costos Operacionales</v>
      </c>
      <c r="Y52" s="27" t="str">
        <f t="shared" si="20"/>
        <v>Si</v>
      </c>
      <c r="Z52" s="1"/>
      <c r="AA52" s="1"/>
    </row>
    <row r="53" spans="1:27" ht="15" customHeight="1" x14ac:dyDescent="0.3">
      <c r="A53" s="1" t="str">
        <f>VLOOKUP(E53,$B$168:$B$255,1,0)</f>
        <v>INVERSIONES CUJAR TURISMO S.A.S.</v>
      </c>
      <c r="B53" s="25">
        <v>46209</v>
      </c>
      <c r="C53" s="25">
        <v>46239</v>
      </c>
      <c r="D53" s="26" t="str">
        <f t="shared" si="0"/>
        <v>Pagada</v>
      </c>
      <c r="E53" s="27" t="s">
        <v>399</v>
      </c>
      <c r="F53" s="28" t="s">
        <v>400</v>
      </c>
      <c r="G53" s="27" t="s">
        <v>214</v>
      </c>
      <c r="H53" s="36" t="str">
        <f t="array" ref="H53">_xlfn.XLOOKUP($G53,Data!$E:$E,Data!$F:$F,"Revisar",0)</f>
        <v>ANIXTER</v>
      </c>
      <c r="I53" s="36" t="str">
        <f t="array" ref="I53">_xlfn.XLOOKUP($G53,Data!$E:$E,Data!$G:$G,"Revisar",0)</f>
        <v>Tiquetes y alojamiento Pedro Rodriguez</v>
      </c>
      <c r="J53" s="27" t="s">
        <v>403</v>
      </c>
      <c r="K53" s="31">
        <v>3280760</v>
      </c>
      <c r="L53" s="31">
        <v>29347.4</v>
      </c>
      <c r="M53" s="31"/>
      <c r="N53" s="31"/>
      <c r="O53" s="32">
        <f t="shared" si="1"/>
        <v>3310107.4</v>
      </c>
      <c r="P53" s="33">
        <f>IF($R53="","",-SUMIFS('Extractos bancarios - Manglar'!$C:$C,'Extractos bancarios - Manglar'!$M:$M,$R53))</f>
        <v>3310107</v>
      </c>
      <c r="Q53" s="32">
        <f t="shared" si="2"/>
        <v>0.39999999990686774</v>
      </c>
      <c r="R53" s="28" t="s">
        <v>406</v>
      </c>
      <c r="S53" s="25">
        <v>46239</v>
      </c>
      <c r="T53" s="34" t="s">
        <v>327</v>
      </c>
      <c r="U53" s="35">
        <f t="shared" ca="1" si="3"/>
        <v>-84</v>
      </c>
      <c r="V53" s="33" t="str">
        <f t="shared" si="4"/>
        <v>Al dia</v>
      </c>
      <c r="W53" s="33" t="str">
        <f t="shared" si="19"/>
        <v>Si</v>
      </c>
      <c r="X53" s="36" t="str">
        <f t="shared" si="6"/>
        <v>Costo Ventas</v>
      </c>
      <c r="Y53" s="27" t="str">
        <f t="shared" si="20"/>
        <v>Si</v>
      </c>
      <c r="Z53" s="1"/>
      <c r="AA53" s="1"/>
    </row>
    <row r="54" spans="1:27" ht="15" customHeight="1" x14ac:dyDescent="0.3">
      <c r="A54" s="1" t="str">
        <f>VLOOKUP(E54,$B$168:$B$255,1,0)</f>
        <v>TAKAMI SA</v>
      </c>
      <c r="B54" s="25">
        <v>46209</v>
      </c>
      <c r="C54" s="25" t="s">
        <v>24</v>
      </c>
      <c r="D54" s="26" t="str">
        <f t="shared" si="0"/>
        <v>Pagada</v>
      </c>
      <c r="E54" s="27" t="s">
        <v>386</v>
      </c>
      <c r="F54" s="28" t="s">
        <v>387</v>
      </c>
      <c r="G54" s="27" t="s">
        <v>24</v>
      </c>
      <c r="H54" s="36" t="str">
        <f t="array" ref="H54">_xlfn.XLOOKUP($G54,Data!$E:$E,Data!$F:$F,"Revisar",0)</f>
        <v>NA</v>
      </c>
      <c r="I54" s="36" t="str">
        <f t="array" ref="I54">_xlfn.XLOOKUP($G54,Data!$E:$E,Data!$G:$G,"Revisar",0)</f>
        <v>NA</v>
      </c>
      <c r="J54" s="27" t="s">
        <v>413</v>
      </c>
      <c r="K54" s="31">
        <v>291610</v>
      </c>
      <c r="L54" s="31">
        <v>0</v>
      </c>
      <c r="M54" s="31"/>
      <c r="N54" s="31"/>
      <c r="O54" s="32">
        <f t="shared" si="1"/>
        <v>291610</v>
      </c>
      <c r="P54" s="31">
        <v>291610</v>
      </c>
      <c r="Q54" s="32">
        <f t="shared" si="2"/>
        <v>0</v>
      </c>
      <c r="R54" s="28" t="s">
        <v>414</v>
      </c>
      <c r="S54" s="25"/>
      <c r="T54" s="21" t="s">
        <v>95</v>
      </c>
      <c r="U54" s="35" t="str">
        <f t="shared" ca="1" si="3"/>
        <v/>
      </c>
      <c r="V54" s="33" t="str">
        <f t="shared" si="4"/>
        <v>Al dia</v>
      </c>
      <c r="W54" s="31" t="s">
        <v>30</v>
      </c>
      <c r="X54" s="36" t="str">
        <f t="shared" si="6"/>
        <v>Costos Operacionales</v>
      </c>
      <c r="Y54" s="27" t="s">
        <v>30</v>
      </c>
      <c r="Z54" s="1"/>
      <c r="AA54" s="1"/>
    </row>
    <row r="55" spans="1:27" ht="15" customHeight="1" x14ac:dyDescent="0.3">
      <c r="A55" s="1" t="str">
        <f>VLOOKUP(E55,$B$168:$B$255,1,0)</f>
        <v>LEXGRA CONSULTING S.A.S.</v>
      </c>
      <c r="B55" s="25">
        <v>46216</v>
      </c>
      <c r="C55" s="25">
        <v>46253</v>
      </c>
      <c r="D55" s="26" t="str">
        <f t="shared" si="0"/>
        <v>Pagada</v>
      </c>
      <c r="E55" s="27" t="s">
        <v>52</v>
      </c>
      <c r="F55" s="28" t="s">
        <v>53</v>
      </c>
      <c r="G55" s="27" t="s">
        <v>24</v>
      </c>
      <c r="H55" s="36" t="str">
        <f t="array" ref="H55">_xlfn.XLOOKUP($G55,Data!$E:$E,Data!$F:$F,"Revisar",0)</f>
        <v>NA</v>
      </c>
      <c r="I55" s="36" t="str">
        <f t="array" ref="I55">_xlfn.XLOOKUP($G55,Data!$E:$E,Data!$G:$G,"Revisar",0)</f>
        <v>NA</v>
      </c>
      <c r="J55" s="27" t="s">
        <v>417</v>
      </c>
      <c r="K55" s="31">
        <v>200000</v>
      </c>
      <c r="L55" s="31">
        <v>38000</v>
      </c>
      <c r="M55" s="31"/>
      <c r="N55" s="31"/>
      <c r="O55" s="32">
        <f t="shared" si="1"/>
        <v>238000</v>
      </c>
      <c r="P55" s="33">
        <f>IF($R55="","",-SUMIFS('Extractos bancarios - Manglar'!$C:$C,'Extractos bancarios - Manglar'!$M:$M,$R55))</f>
        <v>238000</v>
      </c>
      <c r="Q55" s="32">
        <f t="shared" si="2"/>
        <v>0</v>
      </c>
      <c r="R55" s="28" t="s">
        <v>418</v>
      </c>
      <c r="S55" s="25">
        <v>46231</v>
      </c>
      <c r="T55" s="34"/>
      <c r="U55" s="35">
        <f t="shared" ca="1" si="3"/>
        <v>-92</v>
      </c>
      <c r="V55" s="33" t="str">
        <f t="shared" si="4"/>
        <v>Al dia</v>
      </c>
      <c r="W55" s="33" t="str">
        <f t="shared" ref="W55:W59" si="21">IF($R55="","",IF($V55="Anulada","No","Si"))</f>
        <v>Si</v>
      </c>
      <c r="X55" s="36" t="str">
        <f t="shared" si="6"/>
        <v>Costos Operacionales</v>
      </c>
      <c r="Y55" s="27" t="str">
        <f t="shared" ref="Y55:Y60" si="22">IF($R55="","","Si")</f>
        <v>Si</v>
      </c>
      <c r="Z55" s="1"/>
      <c r="AA55" s="1"/>
    </row>
    <row r="56" spans="1:27" ht="15" customHeight="1" x14ac:dyDescent="0.3">
      <c r="A56" s="1" t="str">
        <f>VLOOKUP(E56,$B$168:$B$255,1,0)</f>
        <v>TB PROMOCIONALES SAS</v>
      </c>
      <c r="B56" s="25">
        <v>46218</v>
      </c>
      <c r="C56" s="25">
        <v>46253</v>
      </c>
      <c r="D56" s="26" t="str">
        <f t="shared" si="0"/>
        <v>Pagada</v>
      </c>
      <c r="E56" s="27" t="s">
        <v>275</v>
      </c>
      <c r="F56" s="28" t="s">
        <v>276</v>
      </c>
      <c r="G56" s="37" t="s">
        <v>197</v>
      </c>
      <c r="H56" s="36" t="str">
        <f t="array" ref="H56">_xlfn.XLOOKUP($G56,Data!$E:$E,Data!$F:$F,"Revisar",0)</f>
        <v>AXIS</v>
      </c>
      <c r="I56" s="36" t="str">
        <f t="array" ref="I56">_xlfn.XLOOKUP($G56,Data!$E:$E,Data!$G:$G,"Revisar",0)</f>
        <v>Hoodies Challenge</v>
      </c>
      <c r="J56" s="27" t="s">
        <v>420</v>
      </c>
      <c r="K56" s="31">
        <v>2100455</v>
      </c>
      <c r="L56" s="31">
        <v>399086.45</v>
      </c>
      <c r="M56" s="31"/>
      <c r="N56" s="31"/>
      <c r="O56" s="32">
        <f t="shared" si="1"/>
        <v>2499541.4500000002</v>
      </c>
      <c r="P56" s="33">
        <f>IF($R56="","",-SUMIFS('Extractos bancarios - Manglar'!$C:$C,'Extractos bancarios - Manglar'!$M:$M,$R56))</f>
        <v>2499541</v>
      </c>
      <c r="Q56" s="32">
        <f t="shared" si="2"/>
        <v>0.45000000018626451</v>
      </c>
      <c r="R56" s="28" t="s">
        <v>421</v>
      </c>
      <c r="S56" s="25">
        <v>46248</v>
      </c>
      <c r="T56" s="34" t="s">
        <v>59</v>
      </c>
      <c r="U56" s="35">
        <f t="shared" ca="1" si="3"/>
        <v>-75</v>
      </c>
      <c r="V56" s="33" t="str">
        <f t="shared" si="4"/>
        <v>Al dia</v>
      </c>
      <c r="W56" s="33" t="str">
        <f t="shared" si="21"/>
        <v>Si</v>
      </c>
      <c r="X56" s="36" t="str">
        <f t="shared" si="6"/>
        <v>Costo Ventas</v>
      </c>
      <c r="Y56" s="27" t="str">
        <f t="shared" si="22"/>
        <v>Si</v>
      </c>
      <c r="Z56" s="1"/>
      <c r="AA56" s="1"/>
    </row>
    <row r="57" spans="1:27" ht="15" customHeight="1" x14ac:dyDescent="0.3">
      <c r="A57" s="1" t="str">
        <f>VLOOKUP(E57,$B$168:$B$255,1,0)</f>
        <v>SMART DESIGN PUBLICIDAD SAS</v>
      </c>
      <c r="B57" s="25">
        <v>46218</v>
      </c>
      <c r="C57" s="25">
        <v>46220</v>
      </c>
      <c r="D57" s="26" t="str">
        <f t="shared" si="0"/>
        <v>Pagada</v>
      </c>
      <c r="E57" s="27" t="s">
        <v>127</v>
      </c>
      <c r="F57" s="28" t="s">
        <v>129</v>
      </c>
      <c r="G57" s="27" t="s">
        <v>161</v>
      </c>
      <c r="H57" s="36" t="str">
        <f t="array" ref="H57">_xlfn.XLOOKUP($G57,Data!$E:$E,Data!$F:$F,"Revisar",0)</f>
        <v>Kaspersky</v>
      </c>
      <c r="I57" s="36" t="str">
        <f t="array" ref="I57">_xlfn.XLOOKUP($G57,Data!$E:$E,Data!$G:$G,"Revisar",0)</f>
        <v>Bolsa Incentivos 2026</v>
      </c>
      <c r="J57" s="27" t="s">
        <v>423</v>
      </c>
      <c r="K57" s="31">
        <v>798000</v>
      </c>
      <c r="L57" s="31">
        <v>151620</v>
      </c>
      <c r="M57" s="31"/>
      <c r="N57" s="31"/>
      <c r="O57" s="32">
        <f t="shared" si="1"/>
        <v>949620</v>
      </c>
      <c r="P57" s="33">
        <f>IF($R57="","",-SUMIFS('Extractos bancarios - Manglar'!$C:$C,'Extractos bancarios - Manglar'!$M:$M,$R57))</f>
        <v>949620</v>
      </c>
      <c r="Q57" s="32">
        <f t="shared" si="2"/>
        <v>0</v>
      </c>
      <c r="R57" s="28" t="s">
        <v>424</v>
      </c>
      <c r="S57" s="25">
        <v>46218</v>
      </c>
      <c r="T57" s="34"/>
      <c r="U57" s="35">
        <f t="shared" ca="1" si="3"/>
        <v>-105</v>
      </c>
      <c r="V57" s="33" t="str">
        <f t="shared" si="4"/>
        <v>Al dia</v>
      </c>
      <c r="W57" s="33" t="str">
        <f t="shared" si="21"/>
        <v>Si</v>
      </c>
      <c r="X57" s="36" t="str">
        <f t="shared" si="6"/>
        <v>Costo Ventas</v>
      </c>
      <c r="Y57" s="27" t="str">
        <f t="shared" si="22"/>
        <v>Si</v>
      </c>
      <c r="Z57" s="1"/>
      <c r="AA57" s="1"/>
    </row>
    <row r="58" spans="1:27" ht="15" customHeight="1" x14ac:dyDescent="0.3">
      <c r="A58" s="1" t="str">
        <f>VLOOKUP(E58,$B$168:$B$255,1,0)</f>
        <v>COMBUSTIBLES DE COLOMBIA S.A.</v>
      </c>
      <c r="B58" s="25">
        <v>46221</v>
      </c>
      <c r="C58" s="25">
        <v>46221</v>
      </c>
      <c r="D58" s="26" t="str">
        <f t="shared" si="0"/>
        <v>Pagada</v>
      </c>
      <c r="E58" s="27" t="s">
        <v>425</v>
      </c>
      <c r="F58" s="28" t="s">
        <v>426</v>
      </c>
      <c r="G58" s="27" t="s">
        <v>24</v>
      </c>
      <c r="H58" s="36" t="str">
        <f t="array" ref="H58">_xlfn.XLOOKUP($G58,Data!$E:$E,Data!$F:$F,"Revisar",0)</f>
        <v>NA</v>
      </c>
      <c r="I58" s="36" t="str">
        <f t="array" ref="I58">_xlfn.XLOOKUP($G58,Data!$E:$E,Data!$G:$G,"Revisar",0)</f>
        <v>NA</v>
      </c>
      <c r="J58" s="27" t="s">
        <v>429</v>
      </c>
      <c r="K58" s="31">
        <v>232959</v>
      </c>
      <c r="L58" s="31">
        <v>0</v>
      </c>
      <c r="M58" s="31"/>
      <c r="N58" s="31"/>
      <c r="O58" s="32">
        <f t="shared" si="1"/>
        <v>232959</v>
      </c>
      <c r="P58" s="33">
        <f>IF($R58="","",-SUMIFS('Extractos bancarios - Manglar'!$C:$C,'Extractos bancarios - Manglar'!$M:$M,$R58))</f>
        <v>232959</v>
      </c>
      <c r="Q58" s="32">
        <f t="shared" si="2"/>
        <v>0</v>
      </c>
      <c r="R58" s="28" t="s">
        <v>430</v>
      </c>
      <c r="S58" s="25"/>
      <c r="T58" s="21"/>
      <c r="U58" s="35" t="str">
        <f t="shared" ca="1" si="3"/>
        <v/>
      </c>
      <c r="V58" s="33" t="str">
        <f t="shared" si="4"/>
        <v>Al dia</v>
      </c>
      <c r="W58" s="33" t="str">
        <f t="shared" si="21"/>
        <v>Si</v>
      </c>
      <c r="X58" s="36" t="str">
        <f t="shared" si="6"/>
        <v>Costos Operacionales</v>
      </c>
      <c r="Y58" s="27" t="str">
        <f t="shared" si="22"/>
        <v>Si</v>
      </c>
      <c r="Z58" s="1"/>
      <c r="AA58" s="1"/>
    </row>
    <row r="59" spans="1:27" ht="15" customHeight="1" x14ac:dyDescent="0.3">
      <c r="A59" s="1" t="str">
        <f>VLOOKUP(E59,$B$168:$B$255,1,0)</f>
        <v>JAVIER HERNANDO RAMOS OSPINA</v>
      </c>
      <c r="B59" s="25">
        <v>46221</v>
      </c>
      <c r="C59" s="25">
        <v>46221</v>
      </c>
      <c r="D59" s="26" t="str">
        <f t="shared" si="0"/>
        <v>Pagada</v>
      </c>
      <c r="E59" s="27" t="s">
        <v>431</v>
      </c>
      <c r="F59" s="28" t="s">
        <v>432</v>
      </c>
      <c r="G59" s="37" t="s">
        <v>207</v>
      </c>
      <c r="H59" s="36" t="str">
        <f t="array" ref="H59">_xlfn.XLOOKUP($G59,Data!$E:$E,Data!$F:$F,"Revisar",0)</f>
        <v>ANIXTER</v>
      </c>
      <c r="I59" s="36" t="str">
        <f t="array" ref="I59">_xlfn.XLOOKUP($G59,Data!$E:$E,Data!$G:$G,"Revisar",0)</f>
        <v xml:space="preserve">Evento BoB Datacenter Day - Bogotá </v>
      </c>
      <c r="J59" s="27" t="s">
        <v>433</v>
      </c>
      <c r="K59" s="31">
        <v>194957.98</v>
      </c>
      <c r="L59" s="31">
        <v>37042.019999999997</v>
      </c>
      <c r="M59" s="31"/>
      <c r="N59" s="31"/>
      <c r="O59" s="32">
        <f t="shared" si="1"/>
        <v>232000</v>
      </c>
      <c r="P59" s="33">
        <f>IF($R59="","",-SUMIFS('Extractos bancarios - Manglar'!$C:$C,'Extractos bancarios - Manglar'!$M:$M,$R59))</f>
        <v>232000</v>
      </c>
      <c r="Q59" s="32">
        <f t="shared" si="2"/>
        <v>0</v>
      </c>
      <c r="R59" s="28" t="s">
        <v>434</v>
      </c>
      <c r="S59" s="25"/>
      <c r="T59" s="21"/>
      <c r="U59" s="35" t="str">
        <f t="shared" ca="1" si="3"/>
        <v/>
      </c>
      <c r="V59" s="33" t="str">
        <f t="shared" si="4"/>
        <v>Al dia</v>
      </c>
      <c r="W59" s="33" t="str">
        <f t="shared" si="21"/>
        <v>Si</v>
      </c>
      <c r="X59" s="36" t="str">
        <f t="shared" si="6"/>
        <v>Costo Ventas</v>
      </c>
      <c r="Y59" s="27" t="str">
        <f t="shared" si="22"/>
        <v>Si</v>
      </c>
      <c r="Z59" s="1"/>
      <c r="AA59" s="1"/>
    </row>
    <row r="60" spans="1:27" ht="15" customHeight="1" x14ac:dyDescent="0.3">
      <c r="A60" s="1" t="str">
        <f>VLOOKUP(E60,$B$168:$B$255,1,0)</f>
        <v>Parrilla &amp; Cervecería Pie de Cumbre</v>
      </c>
      <c r="B60" s="25">
        <v>46223</v>
      </c>
      <c r="C60" s="25" t="s">
        <v>24</v>
      </c>
      <c r="D60" s="26" t="str">
        <f t="shared" si="0"/>
        <v>Pendiente</v>
      </c>
      <c r="E60" s="27" t="s">
        <v>435</v>
      </c>
      <c r="F60" s="28" t="s">
        <v>436</v>
      </c>
      <c r="G60" s="27" t="s">
        <v>24</v>
      </c>
      <c r="H60" s="36" t="str">
        <f t="array" ref="H60">_xlfn.XLOOKUP($G60,Data!$E:$E,Data!$F:$F,"Revisar",0)</f>
        <v>NA</v>
      </c>
      <c r="I60" s="36" t="str">
        <f t="array" ref="I60">_xlfn.XLOOKUP($G60,Data!$E:$E,Data!$G:$G,"Revisar",0)</f>
        <v>NA</v>
      </c>
      <c r="J60" s="27" t="s">
        <v>437</v>
      </c>
      <c r="K60" s="31">
        <v>87407</v>
      </c>
      <c r="L60" s="31">
        <v>0</v>
      </c>
      <c r="M60" s="31"/>
      <c r="N60" s="31"/>
      <c r="O60" s="32">
        <f t="shared" si="1"/>
        <v>87407</v>
      </c>
      <c r="P60" s="33">
        <f>IF($R60="","",-SUMIFS('Extractos bancarios - Manglar'!$C:$C,'Extractos bancarios - Manglar'!$M:$M,$R60))</f>
        <v>0</v>
      </c>
      <c r="Q60" s="32">
        <f t="shared" si="2"/>
        <v>87407</v>
      </c>
      <c r="R60" s="28" t="s">
        <v>438</v>
      </c>
      <c r="S60" s="25"/>
      <c r="T60" s="21" t="s">
        <v>327</v>
      </c>
      <c r="U60" s="35" t="str">
        <f t="shared" ca="1" si="3"/>
        <v/>
      </c>
      <c r="V60" s="33" t="str">
        <f t="shared" si="4"/>
        <v>Sin fecha</v>
      </c>
      <c r="W60" s="31" t="s">
        <v>30</v>
      </c>
      <c r="X60" s="36" t="str">
        <f t="shared" si="6"/>
        <v>Costos Operacionales</v>
      </c>
      <c r="Y60" s="27" t="str">
        <f t="shared" si="22"/>
        <v>Si</v>
      </c>
      <c r="Z60" s="1"/>
      <c r="AA60" s="1"/>
    </row>
    <row r="61" spans="1:27" ht="15" customHeight="1" x14ac:dyDescent="0.3">
      <c r="A61" s="1" t="str">
        <f>VLOOKUP(E61,$B$168:$B$255,1,0)</f>
        <v>COLOMBIANA DE COMERCIO S.A.</v>
      </c>
      <c r="B61" s="25">
        <v>46224</v>
      </c>
      <c r="C61" s="25" t="s">
        <v>24</v>
      </c>
      <c r="D61" s="26" t="str">
        <f t="shared" si="0"/>
        <v>Pagada</v>
      </c>
      <c r="E61" s="27" t="s">
        <v>142</v>
      </c>
      <c r="F61" s="28" t="s">
        <v>144</v>
      </c>
      <c r="G61" s="27" t="s">
        <v>24</v>
      </c>
      <c r="H61" s="36" t="str">
        <f t="array" ref="H61">_xlfn.XLOOKUP($G61,Data!$E:$E,Data!$F:$F,"Revisar",0)</f>
        <v>NA</v>
      </c>
      <c r="I61" s="36" t="str">
        <f t="array" ref="I61">_xlfn.XLOOKUP($G61,Data!$E:$E,Data!$G:$G,"Revisar",0)</f>
        <v>NA</v>
      </c>
      <c r="J61" s="27" t="s">
        <v>443</v>
      </c>
      <c r="K61" s="31">
        <v>53613.45</v>
      </c>
      <c r="L61" s="31">
        <v>10186.549999999999</v>
      </c>
      <c r="M61" s="31"/>
      <c r="N61" s="31"/>
      <c r="O61" s="32">
        <f t="shared" si="1"/>
        <v>63800</v>
      </c>
      <c r="P61" s="31">
        <v>63800</v>
      </c>
      <c r="Q61" s="32">
        <f t="shared" si="2"/>
        <v>0</v>
      </c>
      <c r="R61" s="28" t="s">
        <v>444</v>
      </c>
      <c r="S61" s="25"/>
      <c r="T61" s="21" t="s">
        <v>59</v>
      </c>
      <c r="U61" s="35" t="str">
        <f t="shared" ca="1" si="3"/>
        <v/>
      </c>
      <c r="V61" s="33" t="str">
        <f t="shared" si="4"/>
        <v>Al dia</v>
      </c>
      <c r="W61" s="31" t="s">
        <v>30</v>
      </c>
      <c r="X61" s="36" t="str">
        <f t="shared" si="6"/>
        <v>Costos Operacionales</v>
      </c>
      <c r="Y61" s="27" t="s">
        <v>30</v>
      </c>
      <c r="Z61" s="1"/>
      <c r="AA61" s="1"/>
    </row>
    <row r="62" spans="1:27" ht="15" customHeight="1" x14ac:dyDescent="0.3">
      <c r="A62" s="1" t="str">
        <f>VLOOKUP(E62,$B$168:$B$255,1,0)</f>
        <v>SMART DESIGN PUBLICIDAD SAS</v>
      </c>
      <c r="B62" s="25">
        <v>46224</v>
      </c>
      <c r="C62" s="25">
        <v>46224</v>
      </c>
      <c r="D62" s="26" t="str">
        <f t="shared" si="0"/>
        <v>Pagada</v>
      </c>
      <c r="E62" s="27" t="s">
        <v>127</v>
      </c>
      <c r="F62" s="28" t="s">
        <v>129</v>
      </c>
      <c r="G62" s="37" t="s">
        <v>207</v>
      </c>
      <c r="H62" s="36" t="str">
        <f t="array" ref="H62">_xlfn.XLOOKUP($G62,Data!$E:$E,Data!$F:$F,"Revisar",0)</f>
        <v>ANIXTER</v>
      </c>
      <c r="I62" s="36" t="str">
        <f t="array" ref="I62">_xlfn.XLOOKUP($G62,Data!$E:$E,Data!$G:$G,"Revisar",0)</f>
        <v xml:space="preserve">Evento BoB Datacenter Day - Bogotá </v>
      </c>
      <c r="J62" s="27" t="s">
        <v>447</v>
      </c>
      <c r="K62" s="31">
        <v>325000</v>
      </c>
      <c r="L62" s="31">
        <v>61750</v>
      </c>
      <c r="M62" s="31"/>
      <c r="N62" s="31"/>
      <c r="O62" s="32">
        <f t="shared" si="1"/>
        <v>386750</v>
      </c>
      <c r="P62" s="33">
        <f>IF($R62="","",-SUMIFS('Extractos bancarios - Manglar'!$C:$C,'Extractos bancarios - Manglar'!$M:$M,$R62))</f>
        <v>386750</v>
      </c>
      <c r="Q62" s="32">
        <f t="shared" si="2"/>
        <v>0</v>
      </c>
      <c r="R62" s="28" t="s">
        <v>450</v>
      </c>
      <c r="S62" s="25">
        <v>46224</v>
      </c>
      <c r="T62" s="34"/>
      <c r="U62" s="35">
        <f t="shared" ca="1" si="3"/>
        <v>-99</v>
      </c>
      <c r="V62" s="33" t="str">
        <f t="shared" si="4"/>
        <v>Al dia</v>
      </c>
      <c r="W62" s="33" t="str">
        <f t="shared" ref="W62:W66" si="23">IF($R62="","",IF($V62="Anulada","No","Si"))</f>
        <v>Si</v>
      </c>
      <c r="X62" s="36" t="str">
        <f t="shared" si="6"/>
        <v>Costo Ventas</v>
      </c>
      <c r="Y62" s="27" t="str">
        <f t="shared" ref="Y62:Y63" si="24">IF($R62="","","Si")</f>
        <v>Si</v>
      </c>
      <c r="Z62" s="1"/>
      <c r="AA62" s="1"/>
    </row>
    <row r="63" spans="1:27" ht="15" customHeight="1" x14ac:dyDescent="0.3">
      <c r="A63" s="1" t="str">
        <f>VLOOKUP(E63,$B$168:$B$255,1,0)</f>
        <v>JR AUDIO SAS</v>
      </c>
      <c r="B63" s="25">
        <v>46225</v>
      </c>
      <c r="C63" s="25">
        <v>46230</v>
      </c>
      <c r="D63" s="26" t="str">
        <f t="shared" si="0"/>
        <v>Pagada</v>
      </c>
      <c r="E63" s="27" t="s">
        <v>452</v>
      </c>
      <c r="F63" s="28" t="s">
        <v>453</v>
      </c>
      <c r="G63" s="37" t="s">
        <v>207</v>
      </c>
      <c r="H63" s="36" t="str">
        <f t="array" ref="H63">_xlfn.XLOOKUP($G63,Data!$E:$E,Data!$F:$F,"Revisar",0)</f>
        <v>ANIXTER</v>
      </c>
      <c r="I63" s="36" t="str">
        <f t="array" ref="I63">_xlfn.XLOOKUP($G63,Data!$E:$E,Data!$G:$G,"Revisar",0)</f>
        <v xml:space="preserve">Evento BoB Datacenter Day - Bogotá </v>
      </c>
      <c r="J63" s="27" t="s">
        <v>454</v>
      </c>
      <c r="K63" s="31">
        <v>550000</v>
      </c>
      <c r="L63" s="31">
        <v>104500</v>
      </c>
      <c r="M63" s="31"/>
      <c r="N63" s="31"/>
      <c r="O63" s="32">
        <f t="shared" si="1"/>
        <v>654500</v>
      </c>
      <c r="P63" s="33">
        <f>IF($R63="","",-SUMIFS('Extractos bancarios - Manglar'!$C:$C,'Extractos bancarios - Manglar'!$M:$M,$R63))</f>
        <v>654500</v>
      </c>
      <c r="Q63" s="32">
        <f t="shared" si="2"/>
        <v>0</v>
      </c>
      <c r="R63" s="28" t="s">
        <v>455</v>
      </c>
      <c r="S63" s="25">
        <v>46225</v>
      </c>
      <c r="T63" s="34"/>
      <c r="U63" s="35">
        <f t="shared" ca="1" si="3"/>
        <v>-98</v>
      </c>
      <c r="V63" s="33" t="str">
        <f t="shared" si="4"/>
        <v>Al dia</v>
      </c>
      <c r="W63" s="33" t="str">
        <f t="shared" si="23"/>
        <v>Si</v>
      </c>
      <c r="X63" s="36" t="str">
        <f t="shared" si="6"/>
        <v>Costo Ventas</v>
      </c>
      <c r="Y63" s="27" t="str">
        <f t="shared" si="24"/>
        <v>Si</v>
      </c>
      <c r="Z63" s="1"/>
      <c r="AA63" s="1"/>
    </row>
    <row r="64" spans="1:27" ht="15" customHeight="1" x14ac:dyDescent="0.3">
      <c r="A64" s="1" t="str">
        <f>VLOOKUP(E64,$B$168:$B$255,1,0)</f>
        <v>ADIDAS COLOMBIA LTDA</v>
      </c>
      <c r="B64" s="25">
        <v>46228</v>
      </c>
      <c r="C64" s="25" t="s">
        <v>24</v>
      </c>
      <c r="D64" s="26" t="str">
        <f t="shared" si="0"/>
        <v>Pendiente</v>
      </c>
      <c r="E64" s="27" t="s">
        <v>82</v>
      </c>
      <c r="F64" s="28" t="s">
        <v>83</v>
      </c>
      <c r="G64" s="27" t="s">
        <v>24</v>
      </c>
      <c r="H64" s="36" t="str">
        <f t="array" ref="H64">_xlfn.XLOOKUP($G64,Data!$E:$E,Data!$F:$F,"Revisar",0)</f>
        <v>NA</v>
      </c>
      <c r="I64" s="36" t="str">
        <f t="array" ref="I64">_xlfn.XLOOKUP($G64,Data!$E:$E,Data!$G:$G,"Revisar",0)</f>
        <v>NA</v>
      </c>
      <c r="J64" s="27" t="s">
        <v>344</v>
      </c>
      <c r="K64" s="31">
        <v>319285.71000000002</v>
      </c>
      <c r="L64" s="31">
        <v>60664.28</v>
      </c>
      <c r="M64" s="31"/>
      <c r="N64" s="31"/>
      <c r="O64" s="32">
        <f t="shared" si="1"/>
        <v>379949.99</v>
      </c>
      <c r="P64" s="33">
        <f>IF($R64="","",-SUMIFS('Extractos bancarios - Manglar'!$C:$C,'Extractos bancarios - Manglar'!$M:$M,$R64))</f>
        <v>0</v>
      </c>
      <c r="Q64" s="32">
        <f t="shared" si="2"/>
        <v>379949.99</v>
      </c>
      <c r="R64" s="28" t="s">
        <v>461</v>
      </c>
      <c r="S64" s="25"/>
      <c r="T64" s="21" t="s">
        <v>462</v>
      </c>
      <c r="U64" s="35" t="str">
        <f t="shared" ca="1" si="3"/>
        <v/>
      </c>
      <c r="V64" s="33" t="str">
        <f t="shared" si="4"/>
        <v>Anulada</v>
      </c>
      <c r="W64" s="33" t="str">
        <f t="shared" si="23"/>
        <v>No</v>
      </c>
      <c r="X64" s="36" t="str">
        <f t="shared" si="6"/>
        <v>Costos Operacionales</v>
      </c>
      <c r="Y64" s="27" t="s">
        <v>30</v>
      </c>
      <c r="Z64" s="1"/>
      <c r="AA64" s="1"/>
    </row>
    <row r="65" spans="1:27" ht="15" customHeight="1" x14ac:dyDescent="0.3">
      <c r="A65" s="1" t="str">
        <f>VLOOKUP(E65,$B$168:$B$255,1,0)</f>
        <v>ADIDAS COLOMBIA LTDA</v>
      </c>
      <c r="B65" s="25">
        <v>46228</v>
      </c>
      <c r="C65" s="25" t="s">
        <v>24</v>
      </c>
      <c r="D65" s="26" t="str">
        <f t="shared" si="0"/>
        <v>Nota credito</v>
      </c>
      <c r="E65" s="27" t="s">
        <v>82</v>
      </c>
      <c r="F65" s="28" t="s">
        <v>83</v>
      </c>
      <c r="G65" s="27" t="s">
        <v>24</v>
      </c>
      <c r="H65" s="36" t="str">
        <f t="array" ref="H65">_xlfn.XLOOKUP($G65,Data!$E:$E,Data!$F:$F,"Revisar",0)</f>
        <v>NA</v>
      </c>
      <c r="I65" s="36" t="str">
        <f t="array" ref="I65">_xlfn.XLOOKUP($G65,Data!$E:$E,Data!$G:$G,"Revisar",0)</f>
        <v>NA</v>
      </c>
      <c r="J65" s="27" t="s">
        <v>175</v>
      </c>
      <c r="K65" s="31">
        <v>-319285.71000000002</v>
      </c>
      <c r="L65" s="31">
        <v>-60664.28</v>
      </c>
      <c r="M65" s="31"/>
      <c r="N65" s="31"/>
      <c r="O65" s="32">
        <f t="shared" si="1"/>
        <v>-379949.99</v>
      </c>
      <c r="P65" s="33">
        <f>IF($R65="","",-SUMIFS('Extractos bancarios - Manglar'!$C:$C,'Extractos bancarios - Manglar'!$M:$M,$R65))</f>
        <v>0</v>
      </c>
      <c r="Q65" s="32">
        <f t="shared" si="2"/>
        <v>-379949.99</v>
      </c>
      <c r="R65" s="28" t="s">
        <v>466</v>
      </c>
      <c r="S65" s="25"/>
      <c r="T65" s="21" t="s">
        <v>468</v>
      </c>
      <c r="U65" s="35" t="str">
        <f t="shared" ca="1" si="3"/>
        <v/>
      </c>
      <c r="V65" s="33" t="str">
        <f t="shared" si="4"/>
        <v>Anulada</v>
      </c>
      <c r="W65" s="33" t="str">
        <f t="shared" si="23"/>
        <v>No</v>
      </c>
      <c r="X65" s="36" t="str">
        <f t="shared" si="6"/>
        <v>Costos Operacionales</v>
      </c>
      <c r="Y65" s="27" t="s">
        <v>30</v>
      </c>
      <c r="Z65" s="1"/>
      <c r="AA65" s="1"/>
    </row>
    <row r="66" spans="1:27" ht="15" customHeight="1" x14ac:dyDescent="0.3">
      <c r="A66" s="1" t="str">
        <f>VLOOKUP(E66,$B$168:$B$255,1,0)</f>
        <v>Linemarketing &amp; Eventos</v>
      </c>
      <c r="B66" s="25">
        <v>46230</v>
      </c>
      <c r="C66" s="25">
        <v>46278</v>
      </c>
      <c r="D66" s="26" t="str">
        <f t="shared" si="0"/>
        <v>Pagada</v>
      </c>
      <c r="E66" s="27" t="s">
        <v>110</v>
      </c>
      <c r="F66" s="28" t="s">
        <v>111</v>
      </c>
      <c r="G66" s="37" t="s">
        <v>161</v>
      </c>
      <c r="H66" s="36" t="str">
        <f t="array" ref="H66">_xlfn.XLOOKUP($G66,Data!$E:$E,Data!$F:$F,"Revisar",0)</f>
        <v>Kaspersky</v>
      </c>
      <c r="I66" s="36" t="str">
        <f t="array" ref="I66">_xlfn.XLOOKUP($G66,Data!$E:$E,Data!$G:$G,"Revisar",0)</f>
        <v>Bolsa Incentivos 2026</v>
      </c>
      <c r="J66" s="27" t="s">
        <v>472</v>
      </c>
      <c r="K66" s="31">
        <v>20680000</v>
      </c>
      <c r="L66" s="31">
        <v>3929200</v>
      </c>
      <c r="M66" s="31"/>
      <c r="N66" s="31"/>
      <c r="O66" s="32">
        <f t="shared" si="1"/>
        <v>24609200</v>
      </c>
      <c r="P66" s="33">
        <f>IF($R66="","",-SUMIFS('Extractos bancarios - Manglar'!$C:$C,'Extractos bancarios - Manglar'!$M:$M,$R66))</f>
        <v>24609200</v>
      </c>
      <c r="Q66" s="32">
        <f t="shared" si="2"/>
        <v>0</v>
      </c>
      <c r="R66" s="28" t="s">
        <v>475</v>
      </c>
      <c r="S66" s="25">
        <v>46230</v>
      </c>
      <c r="T66" s="34" t="s">
        <v>59</v>
      </c>
      <c r="U66" s="35">
        <f t="shared" ca="1" si="3"/>
        <v>-93</v>
      </c>
      <c r="V66" s="33" t="str">
        <f t="shared" si="4"/>
        <v>Al dia</v>
      </c>
      <c r="W66" s="33" t="str">
        <f t="shared" si="23"/>
        <v>Si</v>
      </c>
      <c r="X66" s="36" t="str">
        <f t="shared" si="6"/>
        <v>Costo Ventas</v>
      </c>
      <c r="Y66" s="27" t="str">
        <f>IF($R66="","","Si")</f>
        <v>Si</v>
      </c>
      <c r="Z66" s="1"/>
      <c r="AA66" s="1"/>
    </row>
    <row r="67" spans="1:27" ht="15" customHeight="1" x14ac:dyDescent="0.3">
      <c r="A67" s="1" t="str">
        <f>VLOOKUP(E67,$B$168:$B$255,1,0)</f>
        <v>DUQUE ECHEVERRI JORGE DE JESUS</v>
      </c>
      <c r="B67" s="25">
        <v>46232</v>
      </c>
      <c r="C67" s="25" t="s">
        <v>24</v>
      </c>
      <c r="D67" s="26" t="str">
        <f t="shared" si="0"/>
        <v>Pagada</v>
      </c>
      <c r="E67" s="27" t="s">
        <v>478</v>
      </c>
      <c r="F67" s="28" t="s">
        <v>479</v>
      </c>
      <c r="G67" s="27" t="s">
        <v>24</v>
      </c>
      <c r="H67" s="36" t="str">
        <f t="array" ref="H67">_xlfn.XLOOKUP($G67,Data!$E:$E,Data!$F:$F,"Revisar",0)</f>
        <v>NA</v>
      </c>
      <c r="I67" s="36" t="str">
        <f t="array" ref="I67">_xlfn.XLOOKUP($G67,Data!$E:$E,Data!$G:$G,"Revisar",0)</f>
        <v>NA</v>
      </c>
      <c r="J67" s="27" t="s">
        <v>484</v>
      </c>
      <c r="K67" s="31">
        <v>5882</v>
      </c>
      <c r="L67" s="31">
        <v>1118</v>
      </c>
      <c r="M67" s="31"/>
      <c r="N67" s="31"/>
      <c r="O67" s="32">
        <f t="shared" si="1"/>
        <v>7000</v>
      </c>
      <c r="P67" s="31">
        <v>7000</v>
      </c>
      <c r="Q67" s="32">
        <f t="shared" si="2"/>
        <v>0</v>
      </c>
      <c r="R67" s="28" t="s">
        <v>485</v>
      </c>
      <c r="S67" s="25">
        <v>46232</v>
      </c>
      <c r="T67" s="34" t="s">
        <v>95</v>
      </c>
      <c r="U67" s="35">
        <f t="shared" ca="1" si="3"/>
        <v>-91</v>
      </c>
      <c r="V67" s="33" t="str">
        <f t="shared" si="4"/>
        <v>Al dia</v>
      </c>
      <c r="W67" s="31" t="s">
        <v>30</v>
      </c>
      <c r="X67" s="36" t="str">
        <f t="shared" si="6"/>
        <v>Costos Operacionales</v>
      </c>
      <c r="Y67" s="27" t="s">
        <v>30</v>
      </c>
      <c r="Z67" s="1"/>
      <c r="AA67" s="1"/>
    </row>
    <row r="68" spans="1:27" ht="15" customHeight="1" x14ac:dyDescent="0.3">
      <c r="A68" s="1" t="str">
        <f>VLOOKUP(E68,$B$168:$B$255,1,0)</f>
        <v>HOTELES CALLE 94 SAS</v>
      </c>
      <c r="B68" s="25">
        <v>46233</v>
      </c>
      <c r="C68" s="25">
        <v>46233</v>
      </c>
      <c r="D68" s="26" t="str">
        <f t="shared" si="0"/>
        <v>Pagada</v>
      </c>
      <c r="E68" s="27" t="s">
        <v>489</v>
      </c>
      <c r="F68" s="28">
        <v>900731313</v>
      </c>
      <c r="G68" s="27" t="s">
        <v>207</v>
      </c>
      <c r="H68" s="36" t="str">
        <f t="array" ref="H68">_xlfn.XLOOKUP($G68,Data!$E:$E,Data!$F:$F,"Revisar",0)</f>
        <v>ANIXTER</v>
      </c>
      <c r="I68" s="36" t="str">
        <f t="array" ref="I68">_xlfn.XLOOKUP($G68,Data!$E:$E,Data!$G:$G,"Revisar",0)</f>
        <v xml:space="preserve">Evento BoB Datacenter Day - Bogotá </v>
      </c>
      <c r="J68" s="27" t="s">
        <v>491</v>
      </c>
      <c r="K68" s="31">
        <v>11146599.32</v>
      </c>
      <c r="L68" s="31">
        <v>515730.68</v>
      </c>
      <c r="M68" s="31"/>
      <c r="N68" s="31"/>
      <c r="O68" s="32">
        <f t="shared" si="1"/>
        <v>11662330</v>
      </c>
      <c r="P68" s="33">
        <f>IF($R68="","",-SUMIFS('Extractos bancarios - Manglar'!$C:$C,'Extractos bancarios - Manglar'!$M:$M,$R68))</f>
        <v>11662330</v>
      </c>
      <c r="Q68" s="32">
        <f t="shared" si="2"/>
        <v>0</v>
      </c>
      <c r="R68" s="28" t="s">
        <v>493</v>
      </c>
      <c r="S68" s="25">
        <v>46233</v>
      </c>
      <c r="T68" s="34"/>
      <c r="U68" s="35">
        <f t="shared" ca="1" si="3"/>
        <v>-90</v>
      </c>
      <c r="V68" s="33" t="str">
        <f t="shared" si="4"/>
        <v>Al dia</v>
      </c>
      <c r="W68" s="33" t="str">
        <f t="shared" ref="W68:W134" si="25">IF($R68="","",IF($V68="Anulada","No","Si"))</f>
        <v>Si</v>
      </c>
      <c r="X68" s="36" t="str">
        <f t="shared" si="6"/>
        <v>Costo Ventas</v>
      </c>
      <c r="Y68" s="27" t="str">
        <f t="shared" ref="Y68:Y163" si="26">IF($R68="","","Si")</f>
        <v>Si</v>
      </c>
      <c r="Z68" s="1"/>
      <c r="AA68" s="1"/>
    </row>
    <row r="69" spans="1:27" ht="15" customHeight="1" x14ac:dyDescent="0.3">
      <c r="A69" s="1" t="str">
        <f>VLOOKUP(E69,$B$168:$B$255,1,0)</f>
        <v>SMART DESIGN PUBLICIDAD SAS</v>
      </c>
      <c r="B69" s="25">
        <v>46150</v>
      </c>
      <c r="C69" s="25">
        <v>46224</v>
      </c>
      <c r="D69" s="26" t="str">
        <f t="shared" si="0"/>
        <v>Pagada</v>
      </c>
      <c r="E69" s="27" t="s">
        <v>127</v>
      </c>
      <c r="F69" s="28">
        <v>901764188</v>
      </c>
      <c r="G69" s="37" t="s">
        <v>207</v>
      </c>
      <c r="H69" s="36" t="str">
        <f t="array" ref="H69">_xlfn.XLOOKUP($G69,Data!$E:$E,Data!$F:$F,"Revisar",0)</f>
        <v>ANIXTER</v>
      </c>
      <c r="I69" s="36" t="str">
        <f t="array" ref="I69">_xlfn.XLOOKUP($G69,Data!$E:$E,Data!$G:$G,"Revisar",0)</f>
        <v xml:space="preserve">Evento BoB Datacenter Day - Bogotá </v>
      </c>
      <c r="J69" s="27" t="s">
        <v>496</v>
      </c>
      <c r="K69" s="31">
        <v>1420000</v>
      </c>
      <c r="L69" s="31">
        <v>269800</v>
      </c>
      <c r="M69" s="31"/>
      <c r="N69" s="31"/>
      <c r="O69" s="32">
        <f t="shared" si="1"/>
        <v>1689800</v>
      </c>
      <c r="P69" s="33">
        <f>IF($R69="","",-SUMIFS('Extractos bancarios - Manglar'!$C:$C,'Extractos bancarios - Manglar'!$M:$M,$R69))</f>
        <v>1689800</v>
      </c>
      <c r="Q69" s="32">
        <f t="shared" si="2"/>
        <v>0</v>
      </c>
      <c r="R69" s="28" t="s">
        <v>499</v>
      </c>
      <c r="S69" s="25">
        <v>46150</v>
      </c>
      <c r="T69" s="34"/>
      <c r="U69" s="35">
        <f t="shared" ca="1" si="3"/>
        <v>-173</v>
      </c>
      <c r="V69" s="33" t="str">
        <f t="shared" si="4"/>
        <v>Al dia</v>
      </c>
      <c r="W69" s="33" t="str">
        <f t="shared" si="25"/>
        <v>Si</v>
      </c>
      <c r="X69" s="36" t="str">
        <f t="shared" si="6"/>
        <v>Costo Ventas</v>
      </c>
      <c r="Y69" s="27" t="str">
        <f t="shared" si="26"/>
        <v>Si</v>
      </c>
      <c r="Z69" s="1"/>
      <c r="AA69" s="1"/>
    </row>
    <row r="70" spans="1:27" ht="15" customHeight="1" x14ac:dyDescent="0.3">
      <c r="A70" s="1" t="str">
        <f>VLOOKUP(E70,$B$168:$B$255,1,0)</f>
        <v>FEDERICO DE ANGULO ULLOA</v>
      </c>
      <c r="B70" s="25">
        <v>46230</v>
      </c>
      <c r="C70" s="25">
        <v>46192</v>
      </c>
      <c r="D70" s="26" t="str">
        <f t="shared" si="0"/>
        <v>Pagada</v>
      </c>
      <c r="E70" s="27" t="s">
        <v>501</v>
      </c>
      <c r="F70" s="28">
        <v>1000148945</v>
      </c>
      <c r="G70" s="27" t="s">
        <v>207</v>
      </c>
      <c r="H70" s="36" t="str">
        <f t="array" ref="H70">_xlfn.XLOOKUP($G70,Data!$E:$E,Data!$F:$F,"Revisar",0)</f>
        <v>ANIXTER</v>
      </c>
      <c r="I70" s="36" t="str">
        <f t="array" ref="I70">_xlfn.XLOOKUP($G70,Data!$E:$E,Data!$G:$G,"Revisar",0)</f>
        <v xml:space="preserve">Evento BoB Datacenter Day - Bogotá </v>
      </c>
      <c r="J70" s="27" t="s">
        <v>503</v>
      </c>
      <c r="K70" s="31">
        <v>150000</v>
      </c>
      <c r="L70" s="31">
        <v>0</v>
      </c>
      <c r="M70" s="31"/>
      <c r="N70" s="31"/>
      <c r="O70" s="32">
        <f t="shared" si="1"/>
        <v>150000</v>
      </c>
      <c r="P70" s="33">
        <f>IF($R70="","",-SUMIFS('Extractos bancarios - Manglar'!$C:$C,'Extractos bancarios - Manglar'!$M:$M,$R70))</f>
        <v>150000</v>
      </c>
      <c r="Q70" s="32">
        <f t="shared" si="2"/>
        <v>0</v>
      </c>
      <c r="R70" s="28" t="s">
        <v>504</v>
      </c>
      <c r="S70" s="25">
        <v>46230</v>
      </c>
      <c r="T70" s="34"/>
      <c r="U70" s="35">
        <f t="shared" ca="1" si="3"/>
        <v>-93</v>
      </c>
      <c r="V70" s="33" t="str">
        <f t="shared" si="4"/>
        <v>Al dia</v>
      </c>
      <c r="W70" s="33" t="str">
        <f t="shared" si="25"/>
        <v>Si</v>
      </c>
      <c r="X70" s="36" t="str">
        <f t="shared" si="6"/>
        <v>Costo Ventas</v>
      </c>
      <c r="Y70" s="27" t="str">
        <f t="shared" si="26"/>
        <v>Si</v>
      </c>
      <c r="Z70" s="1"/>
      <c r="AA70" s="1"/>
    </row>
    <row r="71" spans="1:27" ht="15" customHeight="1" x14ac:dyDescent="0.3">
      <c r="A71" s="1" t="str">
        <f>VLOOKUP(E71,$B$168:$B$255,1,0)</f>
        <v>Hoteles de la Antigua SAS</v>
      </c>
      <c r="B71" s="25">
        <v>46244</v>
      </c>
      <c r="C71" s="25">
        <v>46146</v>
      </c>
      <c r="D71" s="26" t="str">
        <f t="shared" si="0"/>
        <v>Pagada</v>
      </c>
      <c r="E71" s="27" t="s">
        <v>505</v>
      </c>
      <c r="F71" s="28" t="s">
        <v>506</v>
      </c>
      <c r="G71" s="27" t="s">
        <v>225</v>
      </c>
      <c r="H71" s="36" t="str">
        <f t="array" ref="H71">_xlfn.XLOOKUP($G71,Data!$E:$E,Data!$F:$F,"Revisar",0)</f>
        <v>Commscope</v>
      </c>
      <c r="I71" s="36" t="str">
        <f t="array" ref="I71">_xlfn.XLOOKUP($G71,Data!$E:$E,Data!$G:$G,"Revisar",0)</f>
        <v>Regalos Cartagena</v>
      </c>
      <c r="J71" s="27" t="s">
        <v>508</v>
      </c>
      <c r="K71" s="31">
        <v>3032640</v>
      </c>
      <c r="L71" s="31">
        <v>0</v>
      </c>
      <c r="M71" s="31"/>
      <c r="N71" s="31"/>
      <c r="O71" s="32">
        <f t="shared" si="1"/>
        <v>3032640</v>
      </c>
      <c r="P71" s="31">
        <v>3032640</v>
      </c>
      <c r="Q71" s="32">
        <f t="shared" si="2"/>
        <v>0</v>
      </c>
      <c r="R71" s="28" t="s">
        <v>396</v>
      </c>
      <c r="S71" s="25">
        <v>46244</v>
      </c>
      <c r="T71" s="34" t="s">
        <v>509</v>
      </c>
      <c r="U71" s="35">
        <f t="shared" ca="1" si="3"/>
        <v>-79</v>
      </c>
      <c r="V71" s="33" t="str">
        <f t="shared" si="4"/>
        <v>Al dia</v>
      </c>
      <c r="W71" s="33" t="str">
        <f t="shared" si="25"/>
        <v>Si</v>
      </c>
      <c r="X71" s="36" t="str">
        <f t="shared" si="6"/>
        <v>Costo Ventas</v>
      </c>
      <c r="Y71" s="27" t="str">
        <f t="shared" si="26"/>
        <v>Si</v>
      </c>
      <c r="Z71" s="1"/>
      <c r="AA71" s="1"/>
    </row>
    <row r="72" spans="1:27" ht="15" customHeight="1" x14ac:dyDescent="0.3">
      <c r="A72" s="1" t="str">
        <f>VLOOKUP(E72,$B$168:$B$255,1,0)</f>
        <v>GRAFICAS DUCAL HERNANDO AVELLA SUCESORES LTDA</v>
      </c>
      <c r="B72" s="25">
        <v>46242</v>
      </c>
      <c r="C72" s="25">
        <v>46278</v>
      </c>
      <c r="D72" s="26" t="str">
        <f t="shared" si="0"/>
        <v>Pagada</v>
      </c>
      <c r="E72" s="27" t="s">
        <v>510</v>
      </c>
      <c r="F72" s="28" t="s">
        <v>511</v>
      </c>
      <c r="G72" s="27" t="s">
        <v>235</v>
      </c>
      <c r="H72" s="36" t="str">
        <f t="array" ref="H72">_xlfn.XLOOKUP($G72,Data!$E:$E,Data!$F:$F,"Revisar",0)</f>
        <v>Commscope</v>
      </c>
      <c r="I72" s="36" t="str">
        <f t="array" ref="I72">_xlfn.XLOOKUP($G72,Data!$E:$E,Data!$G:$G,"Revisar",0)</f>
        <v>Brochures COMMSCOPE</v>
      </c>
      <c r="J72" s="27" t="s">
        <v>512</v>
      </c>
      <c r="K72" s="31">
        <v>1230000</v>
      </c>
      <c r="L72" s="31">
        <v>233700</v>
      </c>
      <c r="M72" s="31"/>
      <c r="N72" s="31"/>
      <c r="O72" s="32">
        <f t="shared" si="1"/>
        <v>1463700</v>
      </c>
      <c r="P72" s="33">
        <f>IF($R72="","",-SUMIFS('Extractos bancarios - Manglar'!$C:$C,'Extractos bancarios - Manglar'!$M:$M,$R72))</f>
        <v>1463700</v>
      </c>
      <c r="Q72" s="32">
        <f t="shared" si="2"/>
        <v>0</v>
      </c>
      <c r="R72" s="28" t="s">
        <v>514</v>
      </c>
      <c r="S72" s="25">
        <v>46270</v>
      </c>
      <c r="T72" s="34"/>
      <c r="U72" s="35">
        <f t="shared" ca="1" si="3"/>
        <v>-53</v>
      </c>
      <c r="V72" s="33" t="str">
        <f t="shared" si="4"/>
        <v>Al dia</v>
      </c>
      <c r="W72" s="33" t="str">
        <f t="shared" si="25"/>
        <v>Si</v>
      </c>
      <c r="X72" s="36" t="str">
        <f t="shared" si="6"/>
        <v>Costo Ventas</v>
      </c>
      <c r="Y72" s="27" t="str">
        <f t="shared" si="26"/>
        <v>Si</v>
      </c>
      <c r="Z72" s="1"/>
      <c r="AA72" s="1"/>
    </row>
    <row r="73" spans="1:27" ht="15" customHeight="1" x14ac:dyDescent="0.3">
      <c r="A73" s="1" t="str">
        <f>VLOOKUP(E73,$B$168:$B$255,1,0)</f>
        <v>JAVIER HERNANDO RAMOS OSPINA</v>
      </c>
      <c r="B73" s="25">
        <v>46246</v>
      </c>
      <c r="C73" s="25">
        <v>46246</v>
      </c>
      <c r="D73" s="26" t="str">
        <f t="shared" si="0"/>
        <v>Pagada</v>
      </c>
      <c r="E73" s="27" t="s">
        <v>431</v>
      </c>
      <c r="F73" s="28">
        <v>16638840</v>
      </c>
      <c r="G73" s="27" t="s">
        <v>207</v>
      </c>
      <c r="H73" s="36" t="str">
        <f t="array" ref="H73">_xlfn.XLOOKUP($G73,Data!$E:$E,Data!$F:$F,"Revisar",0)</f>
        <v>ANIXTER</v>
      </c>
      <c r="I73" s="36" t="str">
        <f t="array" ref="I73">_xlfn.XLOOKUP($G73,Data!$E:$E,Data!$G:$G,"Revisar",0)</f>
        <v xml:space="preserve">Evento BoB Datacenter Day - Bogotá </v>
      </c>
      <c r="J73" s="27" t="s">
        <v>517</v>
      </c>
      <c r="K73" s="31">
        <v>779831.93</v>
      </c>
      <c r="L73" s="31">
        <v>148168.07</v>
      </c>
      <c r="M73" s="31"/>
      <c r="N73" s="31"/>
      <c r="O73" s="32">
        <f t="shared" si="1"/>
        <v>928000</v>
      </c>
      <c r="P73" s="33">
        <f>IF($R73="","",-SUMIFS('Extractos bancarios - Manglar'!$C:$C,'Extractos bancarios - Manglar'!$M:$M,$R73))</f>
        <v>928000</v>
      </c>
      <c r="Q73" s="32">
        <f t="shared" si="2"/>
        <v>0</v>
      </c>
      <c r="R73" s="28" t="s">
        <v>519</v>
      </c>
      <c r="S73" s="25"/>
      <c r="T73" s="21" t="s">
        <v>520</v>
      </c>
      <c r="U73" s="35" t="str">
        <f t="shared" ca="1" si="3"/>
        <v/>
      </c>
      <c r="V73" s="33" t="str">
        <f t="shared" si="4"/>
        <v>Al dia</v>
      </c>
      <c r="W73" s="33" t="str">
        <f t="shared" si="25"/>
        <v>Si</v>
      </c>
      <c r="X73" s="36" t="str">
        <f t="shared" si="6"/>
        <v>Costo Ventas</v>
      </c>
      <c r="Y73" s="27" t="str">
        <f t="shared" si="26"/>
        <v>Si</v>
      </c>
      <c r="Z73" s="1"/>
      <c r="AA73" s="1"/>
    </row>
    <row r="74" spans="1:27" ht="15" customHeight="1" x14ac:dyDescent="0.3">
      <c r="A74" s="1" t="str">
        <f>VLOOKUP(E74,$B$168:$B$255,1,0)</f>
        <v>LUD CREATIVO SAS</v>
      </c>
      <c r="B74" s="25">
        <v>46248</v>
      </c>
      <c r="C74" s="39">
        <v>46248</v>
      </c>
      <c r="D74" s="26" t="str">
        <f t="shared" si="0"/>
        <v>Pagada</v>
      </c>
      <c r="E74" s="27" t="s">
        <v>521</v>
      </c>
      <c r="F74" s="28">
        <v>900807203</v>
      </c>
      <c r="G74" s="27" t="s">
        <v>248</v>
      </c>
      <c r="H74" s="36" t="str">
        <f t="array" ref="H74">_xlfn.XLOOKUP($G74,Data!$E:$E,Data!$F:$F,"Revisar",0)</f>
        <v>AXIS</v>
      </c>
      <c r="I74" s="36" t="str">
        <f t="array" ref="I74">_xlfn.XLOOKUP($G74,Data!$E:$E,Data!$G:$G,"Revisar",0)</f>
        <v>Produccion gomas</v>
      </c>
      <c r="J74" s="27" t="s">
        <v>522</v>
      </c>
      <c r="K74" s="31">
        <v>1479000</v>
      </c>
      <c r="L74" s="31">
        <v>281010</v>
      </c>
      <c r="M74" s="31"/>
      <c r="N74" s="31">
        <v>42151</v>
      </c>
      <c r="O74" s="32">
        <f t="shared" si="1"/>
        <v>1760010</v>
      </c>
      <c r="P74" s="33">
        <f>IF($R74="","",-SUMIFS('Extractos bancarios - Manglar'!$C:$C,'Extractos bancarios - Manglar'!$M:$M,$R74))</f>
        <v>1717859</v>
      </c>
      <c r="Q74" s="32">
        <f t="shared" si="2"/>
        <v>0</v>
      </c>
      <c r="R74" s="28" t="s">
        <v>523</v>
      </c>
      <c r="S74" s="25">
        <v>46248</v>
      </c>
      <c r="T74" s="21" t="s">
        <v>524</v>
      </c>
      <c r="U74" s="35">
        <f t="shared" ca="1" si="3"/>
        <v>-75</v>
      </c>
      <c r="V74" s="33" t="str">
        <f t="shared" si="4"/>
        <v>Al dia</v>
      </c>
      <c r="W74" s="33" t="str">
        <f t="shared" si="25"/>
        <v>Si</v>
      </c>
      <c r="X74" s="36" t="str">
        <f t="shared" si="6"/>
        <v>Costo Ventas</v>
      </c>
      <c r="Y74" s="27" t="str">
        <f t="shared" si="26"/>
        <v>Si</v>
      </c>
      <c r="Z74" s="1"/>
      <c r="AA74" s="1"/>
    </row>
    <row r="75" spans="1:27" ht="15" customHeight="1" x14ac:dyDescent="0.3">
      <c r="A75" s="1" t="str">
        <f>VLOOKUP(E75,$B$168:$B$255,1,0)</f>
        <v>MASSER S A S</v>
      </c>
      <c r="B75" s="25">
        <v>46248</v>
      </c>
      <c r="C75" s="25">
        <v>46248</v>
      </c>
      <c r="D75" s="26" t="str">
        <f t="shared" si="0"/>
        <v>Pagada</v>
      </c>
      <c r="E75" s="27" t="s">
        <v>525</v>
      </c>
      <c r="F75" s="28">
        <v>900491889</v>
      </c>
      <c r="G75" s="27" t="s">
        <v>24</v>
      </c>
      <c r="H75" s="36" t="str">
        <f t="array" ref="H75">_xlfn.XLOOKUP($G75,Data!$E:$E,Data!$F:$F,"Revisar",0)</f>
        <v>NA</v>
      </c>
      <c r="I75" s="36" t="str">
        <f t="array" ref="I75">_xlfn.XLOOKUP($G75,Data!$E:$E,Data!$G:$G,"Revisar",0)</f>
        <v>NA</v>
      </c>
      <c r="J75" s="27" t="s">
        <v>526</v>
      </c>
      <c r="K75" s="31">
        <v>181711</v>
      </c>
      <c r="L75" s="31">
        <v>0</v>
      </c>
      <c r="M75" s="31"/>
      <c r="N75" s="31"/>
      <c r="O75" s="32">
        <f t="shared" si="1"/>
        <v>181711</v>
      </c>
      <c r="P75" s="33">
        <f>IF($R75="","",-SUMIFS('Extractos bancarios - Manglar'!$C:$C,'Extractos bancarios - Manglar'!$M:$M,$R75))</f>
        <v>181711</v>
      </c>
      <c r="Q75" s="32">
        <f t="shared" si="2"/>
        <v>0</v>
      </c>
      <c r="R75" s="28" t="s">
        <v>527</v>
      </c>
      <c r="S75" s="25">
        <v>46248</v>
      </c>
      <c r="T75" s="34" t="s">
        <v>528</v>
      </c>
      <c r="U75" s="35">
        <f t="shared" ca="1" si="3"/>
        <v>-75</v>
      </c>
      <c r="V75" s="33" t="str">
        <f t="shared" si="4"/>
        <v>Al dia</v>
      </c>
      <c r="W75" s="33" t="str">
        <f t="shared" si="25"/>
        <v>Si</v>
      </c>
      <c r="X75" s="36" t="str">
        <f t="shared" si="6"/>
        <v>Costos Operacionales</v>
      </c>
      <c r="Y75" s="27" t="str">
        <f t="shared" si="26"/>
        <v>Si</v>
      </c>
      <c r="Z75" s="1"/>
      <c r="AA75" s="1"/>
    </row>
    <row r="76" spans="1:27" ht="15" customHeight="1" x14ac:dyDescent="0.3">
      <c r="A76" s="1" t="str">
        <f>VLOOKUP(E76,$B$168:$B$255,1,0)</f>
        <v>SAMSONITE COLOMBIA SAS</v>
      </c>
      <c r="B76" s="25">
        <v>46251</v>
      </c>
      <c r="C76" s="25">
        <v>46251</v>
      </c>
      <c r="D76" s="26" t="str">
        <f t="shared" si="0"/>
        <v>Pagada</v>
      </c>
      <c r="E76" s="27" t="s">
        <v>529</v>
      </c>
      <c r="F76" s="28">
        <v>900518732</v>
      </c>
      <c r="G76" s="27" t="s">
        <v>259</v>
      </c>
      <c r="H76" s="36" t="str">
        <f t="array" ref="H76">_xlfn.XLOOKUP($G76,Data!$E:$E,Data!$F:$F,"Revisar",0)</f>
        <v>Commscope</v>
      </c>
      <c r="I76" s="36" t="str">
        <f t="array" ref="I76">_xlfn.XLOOKUP($G76,Data!$E:$E,Data!$G:$G,"Revisar",0)</f>
        <v>Maletas VIP</v>
      </c>
      <c r="J76" s="27" t="s">
        <v>530</v>
      </c>
      <c r="K76" s="31">
        <v>538655.46</v>
      </c>
      <c r="L76" s="31">
        <v>102344.54</v>
      </c>
      <c r="M76" s="31"/>
      <c r="N76" s="31"/>
      <c r="O76" s="32">
        <f t="shared" si="1"/>
        <v>641000</v>
      </c>
      <c r="P76" s="33">
        <f>IF($R76="","",-SUMIFS('Extractos bancarios - Manglar'!$C:$C,'Extractos bancarios - Manglar'!$M:$M,$R76))</f>
        <v>641000</v>
      </c>
      <c r="Q76" s="32">
        <f t="shared" si="2"/>
        <v>0</v>
      </c>
      <c r="R76" s="28" t="s">
        <v>532</v>
      </c>
      <c r="S76" s="25"/>
      <c r="T76" s="21" t="s">
        <v>533</v>
      </c>
      <c r="U76" s="35" t="str">
        <f t="shared" ca="1" si="3"/>
        <v/>
      </c>
      <c r="V76" s="33" t="str">
        <f t="shared" si="4"/>
        <v>Al dia</v>
      </c>
      <c r="W76" s="33" t="str">
        <f t="shared" si="25"/>
        <v>Si</v>
      </c>
      <c r="X76" s="36" t="str">
        <f t="shared" si="6"/>
        <v>Costo Ventas</v>
      </c>
      <c r="Y76" s="27" t="str">
        <f t="shared" si="26"/>
        <v>Si</v>
      </c>
      <c r="Z76" s="1"/>
      <c r="AA76" s="1"/>
    </row>
    <row r="77" spans="1:27" ht="15" customHeight="1" x14ac:dyDescent="0.3">
      <c r="A77" s="1" t="str">
        <f>VLOOKUP(E77,$B$168:$B$255,1,0)</f>
        <v>STG CAFES SAS</v>
      </c>
      <c r="B77" s="25">
        <v>46252</v>
      </c>
      <c r="C77" s="25">
        <v>46252</v>
      </c>
      <c r="D77" s="26" t="str">
        <f t="shared" si="0"/>
        <v>Pagada</v>
      </c>
      <c r="E77" s="27" t="s">
        <v>60</v>
      </c>
      <c r="F77" s="28">
        <v>901148230</v>
      </c>
      <c r="G77" s="27" t="s">
        <v>24</v>
      </c>
      <c r="H77" s="36" t="str">
        <f t="array" ref="H77">_xlfn.XLOOKUP($G77,Data!$E:$E,Data!$F:$F,"Revisar",0)</f>
        <v>NA</v>
      </c>
      <c r="I77" s="36" t="str">
        <f t="array" ref="I77">_xlfn.XLOOKUP($G77,Data!$E:$E,Data!$G:$G,"Revisar",0)</f>
        <v>NA</v>
      </c>
      <c r="J77" s="27" t="s">
        <v>537</v>
      </c>
      <c r="K77" s="31">
        <v>61618.51</v>
      </c>
      <c r="L77" s="31">
        <v>0</v>
      </c>
      <c r="M77" s="31">
        <v>4481.49</v>
      </c>
      <c r="N77" s="31"/>
      <c r="O77" s="32">
        <f t="shared" si="1"/>
        <v>66100</v>
      </c>
      <c r="P77" s="33">
        <f>IF($R77="","",-SUMIFS('Extractos bancarios - Manglar'!$C:$C,'Extractos bancarios - Manglar'!$M:$M,$R77))</f>
        <v>66100</v>
      </c>
      <c r="Q77" s="32">
        <f t="shared" si="2"/>
        <v>0</v>
      </c>
      <c r="R77" s="28" t="s">
        <v>538</v>
      </c>
      <c r="S77" s="25"/>
      <c r="T77" s="21" t="s">
        <v>539</v>
      </c>
      <c r="U77" s="35" t="str">
        <f t="shared" ca="1" si="3"/>
        <v/>
      </c>
      <c r="V77" s="33" t="str">
        <f t="shared" si="4"/>
        <v>Al dia</v>
      </c>
      <c r="W77" s="33" t="str">
        <f t="shared" si="25"/>
        <v>Si</v>
      </c>
      <c r="X77" s="36" t="str">
        <f t="shared" si="6"/>
        <v>Costos Operacionales</v>
      </c>
      <c r="Y77" s="27" t="str">
        <f t="shared" si="26"/>
        <v>Si</v>
      </c>
      <c r="Z77" s="1"/>
      <c r="AA77" s="1"/>
    </row>
    <row r="78" spans="1:27" ht="15" customHeight="1" x14ac:dyDescent="0.3">
      <c r="A78" s="1" t="str">
        <f>VLOOKUP(E78,$B$168:$B$255,1,0)</f>
        <v>VIAJES NACIONALES DE TURISMO S.A.S.</v>
      </c>
      <c r="B78" s="25">
        <v>46254</v>
      </c>
      <c r="C78" s="39">
        <v>46254</v>
      </c>
      <c r="D78" s="26" t="str">
        <f t="shared" si="0"/>
        <v>Pagada</v>
      </c>
      <c r="E78" s="27" t="s">
        <v>540</v>
      </c>
      <c r="F78" s="28">
        <v>800201166</v>
      </c>
      <c r="G78" s="27" t="s">
        <v>203</v>
      </c>
      <c r="H78" s="36" t="str">
        <f t="array" ref="H78">_xlfn.XLOOKUP($G78,Data!$E:$E,Data!$F:$F,"Revisar",0)</f>
        <v>AXIS</v>
      </c>
      <c r="I78" s="36" t="str">
        <f t="array" ref="I78">_xlfn.XLOOKUP($G78,Data!$E:$E,Data!$G:$G,"Revisar",0)</f>
        <v>Merch y transporte para Cena feria de seguridad</v>
      </c>
      <c r="J78" s="27" t="s">
        <v>541</v>
      </c>
      <c r="K78" s="31">
        <v>1000000</v>
      </c>
      <c r="L78" s="31">
        <v>0</v>
      </c>
      <c r="M78" s="31">
        <v>0</v>
      </c>
      <c r="N78" s="31">
        <v>0</v>
      </c>
      <c r="O78" s="32">
        <f t="shared" si="1"/>
        <v>1000000</v>
      </c>
      <c r="P78" s="33">
        <f>IF($R78="","",-SUMIFS('Extractos bancarios - Manglar'!$C:$C,'Extractos bancarios - Manglar'!$M:$M,$R78))</f>
        <v>1000000</v>
      </c>
      <c r="Q78" s="32">
        <f t="shared" si="2"/>
        <v>0</v>
      </c>
      <c r="R78" s="28" t="s">
        <v>542</v>
      </c>
      <c r="S78" s="25">
        <v>46254</v>
      </c>
      <c r="T78" s="21" t="s">
        <v>543</v>
      </c>
      <c r="U78" s="35">
        <f t="shared" ca="1" si="3"/>
        <v>-69</v>
      </c>
      <c r="V78" s="33" t="str">
        <f t="shared" si="4"/>
        <v>Al dia</v>
      </c>
      <c r="W78" s="33" t="str">
        <f t="shared" si="25"/>
        <v>Si</v>
      </c>
      <c r="X78" s="36" t="str">
        <f t="shared" si="6"/>
        <v>Costo Ventas</v>
      </c>
      <c r="Y78" s="27" t="str">
        <f t="shared" si="26"/>
        <v>Si</v>
      </c>
      <c r="Z78" s="1"/>
      <c r="AA78" s="1"/>
    </row>
    <row r="79" spans="1:27" ht="15" customHeight="1" x14ac:dyDescent="0.3">
      <c r="A79" s="1" t="str">
        <f>VLOOKUP(E79,$B$168:$B$255,1,0)</f>
        <v>SMART DESIGN PUBLICIDAD SAS</v>
      </c>
      <c r="B79" s="25">
        <v>46254</v>
      </c>
      <c r="C79" s="25">
        <v>46254</v>
      </c>
      <c r="D79" s="26" t="str">
        <f t="shared" si="0"/>
        <v>Saldo a favor</v>
      </c>
      <c r="E79" s="27" t="s">
        <v>127</v>
      </c>
      <c r="F79" s="28">
        <v>901764188</v>
      </c>
      <c r="G79" s="27" t="s">
        <v>203</v>
      </c>
      <c r="H79" s="36" t="str">
        <f t="array" ref="H79">_xlfn.XLOOKUP($G79,Data!$E:$E,Data!$F:$F,"Revisar",0)</f>
        <v>AXIS</v>
      </c>
      <c r="I79" s="36" t="str">
        <f t="array" ref="I79">_xlfn.XLOOKUP($G79,Data!$E:$E,Data!$G:$G,"Revisar",0)</f>
        <v>Merch y transporte para Cena feria de seguridad</v>
      </c>
      <c r="J79" s="27" t="s">
        <v>544</v>
      </c>
      <c r="K79" s="31">
        <v>3892560</v>
      </c>
      <c r="L79" s="31">
        <v>739586.4</v>
      </c>
      <c r="M79" s="31">
        <v>0</v>
      </c>
      <c r="N79" s="162">
        <f>62594.4000000004*0</f>
        <v>0</v>
      </c>
      <c r="O79" s="32">
        <f t="shared" si="1"/>
        <v>4632146.4000000004</v>
      </c>
      <c r="P79" s="33">
        <f>IF($R79="","",-SUMIFS('Extractos bancarios - Manglar'!$C:$C,'Extractos bancarios - Manglar'!$M:$M,$R79))</f>
        <v>4632505.5</v>
      </c>
      <c r="Q79" s="32">
        <f t="shared" si="2"/>
        <v>-359.09999999962747</v>
      </c>
      <c r="R79" s="28" t="s">
        <v>545</v>
      </c>
      <c r="S79" s="25">
        <v>46254</v>
      </c>
      <c r="T79" s="21"/>
      <c r="U79" s="35">
        <f t="shared" ca="1" si="3"/>
        <v>-69</v>
      </c>
      <c r="V79" s="33" t="str">
        <f t="shared" si="4"/>
        <v>Al dia</v>
      </c>
      <c r="W79" s="33" t="s">
        <v>30</v>
      </c>
      <c r="X79" s="36" t="str">
        <f t="shared" si="6"/>
        <v>Costo Ventas</v>
      </c>
      <c r="Y79" s="27" t="str">
        <f t="shared" si="26"/>
        <v>Si</v>
      </c>
      <c r="Z79" s="1"/>
      <c r="AA79" s="1"/>
    </row>
    <row r="80" spans="1:27" ht="15" customHeight="1" x14ac:dyDescent="0.3">
      <c r="A80" s="1" t="str">
        <f>VLOOKUP(E80,$B$168:$B$255,1,0)</f>
        <v>JR AUDIO SAS</v>
      </c>
      <c r="B80" s="25">
        <v>46259</v>
      </c>
      <c r="C80" s="25">
        <v>46267</v>
      </c>
      <c r="D80" s="26" t="str">
        <f t="shared" si="0"/>
        <v>Pagada</v>
      </c>
      <c r="E80" s="27" t="s">
        <v>452</v>
      </c>
      <c r="F80" s="28">
        <v>901250359</v>
      </c>
      <c r="G80" s="27" t="s">
        <v>274</v>
      </c>
      <c r="H80" s="36" t="str">
        <f t="array" ref="H80">_xlfn.XLOOKUP($G80,Data!$E:$E,Data!$F:$F,"Revisar",0)</f>
        <v>AXIS</v>
      </c>
      <c r="I80" s="36" t="str">
        <f t="array" ref="I80">_xlfn.XLOOKUP($G80,Data!$E:$E,Data!$G:$G,"Revisar",0)</f>
        <v>Catering ESS</v>
      </c>
      <c r="J80" s="27" t="s">
        <v>547</v>
      </c>
      <c r="K80" s="31">
        <v>4000000</v>
      </c>
      <c r="L80" s="31">
        <v>760000</v>
      </c>
      <c r="M80" s="31">
        <v>0</v>
      </c>
      <c r="N80" s="31">
        <v>0</v>
      </c>
      <c r="O80" s="32">
        <f t="shared" si="1"/>
        <v>4760000</v>
      </c>
      <c r="P80" s="33">
        <f>IF($R80="","",-SUMIFS('Extractos bancarios - Manglar'!$C:$C,'Extractos bancarios - Manglar'!$M:$M,$R80))</f>
        <v>4760000</v>
      </c>
      <c r="Q80" s="32">
        <f t="shared" si="2"/>
        <v>0</v>
      </c>
      <c r="R80" s="28" t="s">
        <v>548</v>
      </c>
      <c r="S80" s="25">
        <v>46259</v>
      </c>
      <c r="T80" s="21" t="s">
        <v>549</v>
      </c>
      <c r="U80" s="35">
        <f t="shared" ca="1" si="3"/>
        <v>-64</v>
      </c>
      <c r="V80" s="33" t="str">
        <f t="shared" si="4"/>
        <v>Al dia</v>
      </c>
      <c r="W80" s="33" t="str">
        <f t="shared" si="25"/>
        <v>Si</v>
      </c>
      <c r="X80" s="36" t="str">
        <f t="shared" si="6"/>
        <v>Costo Ventas</v>
      </c>
      <c r="Y80" s="27" t="str">
        <f t="shared" si="26"/>
        <v>Si</v>
      </c>
      <c r="Z80" s="1"/>
      <c r="AA80" s="1"/>
    </row>
    <row r="81" spans="1:27" ht="15" customHeight="1" x14ac:dyDescent="0.3">
      <c r="A81" s="1" t="str">
        <f>VLOOKUP(E81,$B$168:$B$255,1,0)</f>
        <v>IKSO SAS</v>
      </c>
      <c r="B81" s="25">
        <v>46258</v>
      </c>
      <c r="C81" s="25">
        <v>46258</v>
      </c>
      <c r="D81" s="26" t="str">
        <f t="shared" si="0"/>
        <v>Pagada</v>
      </c>
      <c r="E81" s="27" t="s">
        <v>97</v>
      </c>
      <c r="F81" s="28">
        <v>901331844</v>
      </c>
      <c r="G81" s="37" t="s">
        <v>203</v>
      </c>
      <c r="H81" s="36" t="str">
        <f t="array" ref="H81">_xlfn.XLOOKUP($G81,Data!$E:$E,Data!$F:$F,"Revisar",0)</f>
        <v>AXIS</v>
      </c>
      <c r="I81" s="36" t="str">
        <f t="array" ref="I81">_xlfn.XLOOKUP($G81,Data!$E:$E,Data!$G:$G,"Revisar",0)</f>
        <v>Merch y transporte para Cena feria de seguridad</v>
      </c>
      <c r="J81" s="27" t="s">
        <v>550</v>
      </c>
      <c r="K81" s="31">
        <v>220042.02</v>
      </c>
      <c r="L81" s="31">
        <v>41807.980000000003</v>
      </c>
      <c r="M81" s="31">
        <v>0</v>
      </c>
      <c r="N81" s="31">
        <v>0</v>
      </c>
      <c r="O81" s="32">
        <f t="shared" si="1"/>
        <v>261850</v>
      </c>
      <c r="P81" s="33">
        <v>261850</v>
      </c>
      <c r="Q81" s="32">
        <f t="shared" si="2"/>
        <v>0</v>
      </c>
      <c r="R81" s="28" t="s">
        <v>551</v>
      </c>
      <c r="S81" s="25">
        <v>46258</v>
      </c>
      <c r="T81" s="34" t="s">
        <v>897</v>
      </c>
      <c r="U81" s="35">
        <f t="shared" ca="1" si="3"/>
        <v>-65</v>
      </c>
      <c r="V81" s="33" t="str">
        <f t="shared" si="4"/>
        <v>Al dia</v>
      </c>
      <c r="W81" s="33" t="str">
        <f t="shared" si="25"/>
        <v>Si</v>
      </c>
      <c r="X81" s="36" t="str">
        <f t="shared" si="6"/>
        <v>Costo Ventas</v>
      </c>
      <c r="Y81" s="27" t="str">
        <f>IF($R81="","","Si")</f>
        <v>Si</v>
      </c>
      <c r="Z81" s="1"/>
      <c r="AA81" s="1"/>
    </row>
    <row r="82" spans="1:27" ht="15" customHeight="1" x14ac:dyDescent="0.3">
      <c r="A82" s="1" t="str">
        <f>VLOOKUP(E82,$B$168:$B$255,1,0)</f>
        <v>IRCC SAS</v>
      </c>
      <c r="B82" s="25">
        <v>46261</v>
      </c>
      <c r="C82" s="25">
        <v>46261</v>
      </c>
      <c r="D82" s="26" t="str">
        <f t="shared" si="0"/>
        <v>Pagada</v>
      </c>
      <c r="E82" s="27" t="s">
        <v>552</v>
      </c>
      <c r="F82" s="28">
        <v>860533413</v>
      </c>
      <c r="G82" s="37" t="s">
        <v>274</v>
      </c>
      <c r="H82" s="36" t="str">
        <f t="array" ref="H82">_xlfn.XLOOKUP($G82,Data!$E:$E,Data!$F:$F,"Revisar",0)</f>
        <v>AXIS</v>
      </c>
      <c r="I82" s="36" t="str">
        <f t="array" ref="I82">_xlfn.XLOOKUP($G82,Data!$E:$E,Data!$G:$G,"Revisar",0)</f>
        <v>Catering ESS</v>
      </c>
      <c r="J82" s="27" t="s">
        <v>554</v>
      </c>
      <c r="K82" s="31">
        <v>74444</v>
      </c>
      <c r="L82" s="31">
        <v>0</v>
      </c>
      <c r="M82" s="31">
        <v>5956</v>
      </c>
      <c r="N82" s="31">
        <v>0</v>
      </c>
      <c r="O82" s="32">
        <f t="shared" si="1"/>
        <v>80400</v>
      </c>
      <c r="P82" s="33">
        <f>IF($R82="","",-SUMIFS('Extractos bancarios - Manglar'!$C:$C,'Extractos bancarios - Manglar'!$M:$M,$R82))</f>
        <v>80400</v>
      </c>
      <c r="Q82" s="32">
        <f t="shared" si="2"/>
        <v>0</v>
      </c>
      <c r="R82" s="28" t="s">
        <v>555</v>
      </c>
      <c r="S82" s="25">
        <v>46261</v>
      </c>
      <c r="T82" s="21" t="s">
        <v>556</v>
      </c>
      <c r="U82" s="35">
        <f t="shared" ca="1" si="3"/>
        <v>-62</v>
      </c>
      <c r="V82" s="33" t="str">
        <f t="shared" si="4"/>
        <v>Al dia</v>
      </c>
      <c r="W82" s="33" t="str">
        <f t="shared" si="25"/>
        <v>Si</v>
      </c>
      <c r="X82" s="36" t="str">
        <f t="shared" si="6"/>
        <v>Costo Ventas</v>
      </c>
      <c r="Y82" s="27" t="str">
        <f t="shared" si="26"/>
        <v>Si</v>
      </c>
      <c r="Z82" s="1"/>
      <c r="AA82" s="1"/>
    </row>
    <row r="83" spans="1:27" ht="15" customHeight="1" x14ac:dyDescent="0.3">
      <c r="A83" s="1" t="str">
        <f>VLOOKUP(E83,$B$168:$B$255,1,0)</f>
        <v>CADENA COMERCIAL OXXO COLOMBIA S A S</v>
      </c>
      <c r="B83" s="25">
        <v>46260</v>
      </c>
      <c r="C83" s="25">
        <v>46260</v>
      </c>
      <c r="D83" s="26" t="str">
        <f t="shared" si="0"/>
        <v>Pagada</v>
      </c>
      <c r="E83" s="27" t="s">
        <v>557</v>
      </c>
      <c r="F83" s="28">
        <v>900236520</v>
      </c>
      <c r="G83" s="27" t="s">
        <v>274</v>
      </c>
      <c r="H83" s="36" t="str">
        <f t="array" ref="H83">_xlfn.XLOOKUP($G83,Data!$E:$E,Data!$F:$F,"Revisar",0)</f>
        <v>AXIS</v>
      </c>
      <c r="I83" s="36" t="str">
        <f t="array" ref="I83">_xlfn.XLOOKUP($G83,Data!$E:$E,Data!$G:$G,"Revisar",0)</f>
        <v>Catering ESS</v>
      </c>
      <c r="J83" s="27" t="s">
        <v>559</v>
      </c>
      <c r="K83" s="31">
        <v>8068</v>
      </c>
      <c r="L83" s="31">
        <v>1532</v>
      </c>
      <c r="M83" s="31">
        <v>0</v>
      </c>
      <c r="N83" s="31">
        <v>0</v>
      </c>
      <c r="O83" s="32">
        <f t="shared" si="1"/>
        <v>9600</v>
      </c>
      <c r="P83" s="33">
        <f>IF($R83="","",-SUMIFS('Extractos bancarios - Manglar'!$C:$C,'Extractos bancarios - Manglar'!$M:$M,$R83))</f>
        <v>9600</v>
      </c>
      <c r="Q83" s="32">
        <f t="shared" si="2"/>
        <v>0</v>
      </c>
      <c r="R83" s="28" t="s">
        <v>560</v>
      </c>
      <c r="S83" s="25">
        <v>46260</v>
      </c>
      <c r="T83" s="21" t="s">
        <v>549</v>
      </c>
      <c r="U83" s="35">
        <f t="shared" ca="1" si="3"/>
        <v>-63</v>
      </c>
      <c r="V83" s="33" t="str">
        <f t="shared" si="4"/>
        <v>Al dia</v>
      </c>
      <c r="W83" s="33" t="str">
        <f t="shared" si="25"/>
        <v>Si</v>
      </c>
      <c r="X83" s="36" t="str">
        <f t="shared" si="6"/>
        <v>Costo Ventas</v>
      </c>
      <c r="Y83" s="27" t="str">
        <f t="shared" si="26"/>
        <v>Si</v>
      </c>
      <c r="Z83" s="1"/>
      <c r="AA83" s="1"/>
    </row>
    <row r="84" spans="1:27" ht="15" customHeight="1" x14ac:dyDescent="0.3">
      <c r="A84" s="1" t="str">
        <f>VLOOKUP(E84,$B$168:$B$255,1,0)</f>
        <v>SMART DESIGN PUBLICIDAD SAS</v>
      </c>
      <c r="B84" s="25">
        <v>46261</v>
      </c>
      <c r="C84" s="25">
        <v>46263</v>
      </c>
      <c r="D84" s="26" t="str">
        <f t="shared" si="0"/>
        <v>Pagada</v>
      </c>
      <c r="E84" s="27" t="s">
        <v>127</v>
      </c>
      <c r="F84" s="28">
        <v>901764188</v>
      </c>
      <c r="G84" s="37" t="s">
        <v>294</v>
      </c>
      <c r="H84" s="36" t="str">
        <f t="array" ref="H84">_xlfn.XLOOKUP($G84,Data!$E:$E,Data!$F:$F,"Revisar",0)</f>
        <v>AXIS</v>
      </c>
      <c r="I84" s="36" t="str">
        <f t="array" ref="I84">_xlfn.XLOOKUP($G84,Data!$E:$E,Data!$G:$G,"Revisar",0)</f>
        <v>Adicionales Mezanine ESS+</v>
      </c>
      <c r="J84" s="27" t="s">
        <v>562</v>
      </c>
      <c r="K84" s="31">
        <v>370000</v>
      </c>
      <c r="L84" s="31">
        <v>70300</v>
      </c>
      <c r="M84" s="31">
        <v>0</v>
      </c>
      <c r="N84" s="31">
        <v>0</v>
      </c>
      <c r="O84" s="32">
        <f t="shared" si="1"/>
        <v>440300</v>
      </c>
      <c r="P84" s="33">
        <f>IF($R84="","",-SUMIFS('Extractos bancarios - Manglar'!$C:$C,'Extractos bancarios - Manglar'!$M:$M,$R84))</f>
        <v>440300</v>
      </c>
      <c r="Q84" s="32">
        <f t="shared" si="2"/>
        <v>0</v>
      </c>
      <c r="R84" s="28" t="s">
        <v>563</v>
      </c>
      <c r="S84" s="25">
        <v>46261</v>
      </c>
      <c r="T84" s="21"/>
      <c r="U84" s="35">
        <f t="shared" ca="1" si="3"/>
        <v>-62</v>
      </c>
      <c r="V84" s="33" t="str">
        <f t="shared" si="4"/>
        <v>Al dia</v>
      </c>
      <c r="W84" s="33" t="str">
        <f t="shared" si="25"/>
        <v>Si</v>
      </c>
      <c r="X84" s="36" t="str">
        <f t="shared" si="6"/>
        <v>Costo Ventas</v>
      </c>
      <c r="Y84" s="27" t="str">
        <f t="shared" si="26"/>
        <v>Si</v>
      </c>
      <c r="Z84" s="1"/>
      <c r="AA84" s="1"/>
    </row>
    <row r="85" spans="1:27" ht="15" customHeight="1" x14ac:dyDescent="0.3">
      <c r="A85" s="1" t="str">
        <f>VLOOKUP(E85,$B$168:$B$255,1,0)</f>
        <v>SMART DESIGN PUBLICIDAD SAS</v>
      </c>
      <c r="B85" s="25">
        <v>46261</v>
      </c>
      <c r="C85" s="25">
        <v>46263</v>
      </c>
      <c r="D85" s="26" t="str">
        <f t="shared" si="0"/>
        <v>Pagada</v>
      </c>
      <c r="E85" s="27" t="s">
        <v>127</v>
      </c>
      <c r="F85" s="28">
        <v>901764188</v>
      </c>
      <c r="G85" s="27" t="s">
        <v>259</v>
      </c>
      <c r="H85" s="36" t="str">
        <f t="array" ref="H85">_xlfn.XLOOKUP($G85,Data!$E:$E,Data!$F:$F,"Revisar",0)</f>
        <v>Commscope</v>
      </c>
      <c r="I85" s="36" t="str">
        <f t="array" ref="I85">_xlfn.XLOOKUP($G85,Data!$E:$E,Data!$G:$G,"Revisar",0)</f>
        <v>Maletas VIP</v>
      </c>
      <c r="J85" s="27" t="s">
        <v>565</v>
      </c>
      <c r="K85" s="31">
        <v>36000</v>
      </c>
      <c r="L85" s="31">
        <v>6840</v>
      </c>
      <c r="M85" s="31">
        <v>0</v>
      </c>
      <c r="N85" s="31">
        <v>0</v>
      </c>
      <c r="O85" s="32">
        <f t="shared" si="1"/>
        <v>42840</v>
      </c>
      <c r="P85" s="33">
        <f>IF($R85="","",-SUMIFS('Extractos bancarios - Manglar'!$C:$C,'Extractos bancarios - Manglar'!$M:$M,$R85))</f>
        <v>42840</v>
      </c>
      <c r="Q85" s="32">
        <f t="shared" si="2"/>
        <v>0</v>
      </c>
      <c r="R85" s="28" t="s">
        <v>566</v>
      </c>
      <c r="S85" s="25">
        <v>46261</v>
      </c>
      <c r="T85" s="21"/>
      <c r="U85" s="35">
        <f t="shared" ca="1" si="3"/>
        <v>-62</v>
      </c>
      <c r="V85" s="33" t="str">
        <f t="shared" si="4"/>
        <v>Al dia</v>
      </c>
      <c r="W85" s="33" t="str">
        <f t="shared" si="25"/>
        <v>Si</v>
      </c>
      <c r="X85" s="36" t="str">
        <f t="shared" si="6"/>
        <v>Costo Ventas</v>
      </c>
      <c r="Y85" s="27" t="str">
        <f t="shared" si="26"/>
        <v>Si</v>
      </c>
      <c r="Z85" s="1"/>
      <c r="AA85" s="1"/>
    </row>
    <row r="86" spans="1:27" ht="15" customHeight="1" x14ac:dyDescent="0.3">
      <c r="A86" s="1" t="str">
        <f>VLOOKUP(E86,$B$168:$B$255,1,0)</f>
        <v>SMART DESIGN PUBLICIDAD SAS</v>
      </c>
      <c r="B86" s="25">
        <v>46261</v>
      </c>
      <c r="C86" s="25">
        <v>46263</v>
      </c>
      <c r="D86" s="26" t="str">
        <f t="shared" si="0"/>
        <v>Pagada</v>
      </c>
      <c r="E86" s="27" t="s">
        <v>127</v>
      </c>
      <c r="F86" s="28">
        <v>901764188</v>
      </c>
      <c r="G86" s="37" t="s">
        <v>316</v>
      </c>
      <c r="H86" s="36" t="str">
        <f t="array" ref="H86">_xlfn.XLOOKUP($G86,Data!$E:$E,Data!$F:$F,"Revisar",0)</f>
        <v>ANIXTER</v>
      </c>
      <c r="I86" s="36" t="str">
        <f t="array" ref="I86">_xlfn.XLOOKUP($G86,Data!$E:$E,Data!$G:$G,"Revisar",0)</f>
        <v>Adicionales Almuerzo ESS+</v>
      </c>
      <c r="J86" s="27" t="s">
        <v>567</v>
      </c>
      <c r="K86" s="31">
        <v>211150</v>
      </c>
      <c r="L86" s="31">
        <v>40118.5</v>
      </c>
      <c r="M86" s="31">
        <v>0</v>
      </c>
      <c r="N86" s="31">
        <v>0</v>
      </c>
      <c r="O86" s="32">
        <f t="shared" si="1"/>
        <v>251268.5</v>
      </c>
      <c r="P86" s="33">
        <f>IF($R86="","",-SUMIFS('Extractos bancarios - Manglar'!$C:$C,'Extractos bancarios - Manglar'!$M:$M,$R86))</f>
        <v>251268.5</v>
      </c>
      <c r="Q86" s="32">
        <f t="shared" si="2"/>
        <v>0</v>
      </c>
      <c r="R86" s="28" t="s">
        <v>568</v>
      </c>
      <c r="S86" s="25">
        <v>46261</v>
      </c>
      <c r="T86" s="21"/>
      <c r="U86" s="35">
        <f t="shared" ca="1" si="3"/>
        <v>-62</v>
      </c>
      <c r="V86" s="33" t="str">
        <f t="shared" si="4"/>
        <v>Al dia</v>
      </c>
      <c r="W86" s="33" t="str">
        <f t="shared" si="25"/>
        <v>Si</v>
      </c>
      <c r="X86" s="36" t="str">
        <f t="shared" si="6"/>
        <v>Costo Ventas</v>
      </c>
      <c r="Y86" s="27" t="str">
        <f t="shared" si="26"/>
        <v>Si</v>
      </c>
      <c r="Z86" s="1"/>
      <c r="AA86" s="1"/>
    </row>
    <row r="87" spans="1:27" ht="15" customHeight="1" x14ac:dyDescent="0.3">
      <c r="A87" s="1" t="str">
        <f>VLOOKUP(E87,$B$168:$B$255,1,0)</f>
        <v>PRICESMART COLOMBIA S.A.S.</v>
      </c>
      <c r="B87" s="25">
        <v>46258</v>
      </c>
      <c r="C87" s="25">
        <v>46258</v>
      </c>
      <c r="D87" s="26" t="str">
        <f t="shared" si="0"/>
        <v>Pagada</v>
      </c>
      <c r="E87" s="27" t="s">
        <v>569</v>
      </c>
      <c r="F87" s="28">
        <v>900319753</v>
      </c>
      <c r="G87" s="37" t="str">
        <f t="array" ref="G87">_xlfn.XLOOKUP(R87,'Extractos bancarios - Manglar'!$M:$M,'Extractos bancarios - Manglar'!$H:$H,,0)</f>
        <v>M260107</v>
      </c>
      <c r="H87" s="36" t="str">
        <f t="array" ref="H87">_xlfn.XLOOKUP($G87,Data!$E:$E,Data!$F:$F,"Revisar",0)</f>
        <v>AXIS</v>
      </c>
      <c r="I87" s="36" t="str">
        <f t="array" ref="I87">_xlfn.XLOOKUP($G87,Data!$E:$E,Data!$G:$G,"Revisar",0)</f>
        <v>Catering ESS</v>
      </c>
      <c r="J87" s="27" t="s">
        <v>570</v>
      </c>
      <c r="K87" s="31">
        <v>474320</v>
      </c>
      <c r="L87" s="31">
        <v>64881</v>
      </c>
      <c r="M87" s="31">
        <v>0</v>
      </c>
      <c r="N87" s="31">
        <v>0</v>
      </c>
      <c r="O87" s="32">
        <f t="shared" si="1"/>
        <v>539201</v>
      </c>
      <c r="P87" s="33">
        <f>IF($R87="","",-SUMIFS('Extractos bancarios - Manglar'!$C:$C,'Extractos bancarios - Manglar'!$M:$M,$R87))</f>
        <v>539201</v>
      </c>
      <c r="Q87" s="32">
        <f t="shared" si="2"/>
        <v>0</v>
      </c>
      <c r="R87" s="28" t="s">
        <v>571</v>
      </c>
      <c r="S87" s="25">
        <v>46258</v>
      </c>
      <c r="T87" s="21" t="s">
        <v>572</v>
      </c>
      <c r="U87" s="35">
        <f t="shared" ca="1" si="3"/>
        <v>-65</v>
      </c>
      <c r="V87" s="33" t="str">
        <f t="shared" si="4"/>
        <v>Al dia</v>
      </c>
      <c r="W87" s="33" t="str">
        <f t="shared" si="25"/>
        <v>Si</v>
      </c>
      <c r="X87" s="36" t="str">
        <f t="shared" si="6"/>
        <v>Costo Ventas</v>
      </c>
      <c r="Y87" s="27" t="str">
        <f t="shared" si="26"/>
        <v>Si</v>
      </c>
      <c r="Z87" s="1"/>
      <c r="AA87" s="1"/>
    </row>
    <row r="88" spans="1:27" ht="15" customHeight="1" x14ac:dyDescent="0.3">
      <c r="A88" s="1" t="str">
        <f>VLOOKUP(E88,$B$168:$B$255,1,0)</f>
        <v>BOMBA FOODS SAS</v>
      </c>
      <c r="B88" s="25">
        <v>46260</v>
      </c>
      <c r="C88" s="25">
        <v>46260</v>
      </c>
      <c r="D88" s="26" t="str">
        <f t="shared" si="0"/>
        <v>Pagada</v>
      </c>
      <c r="E88" s="27" t="s">
        <v>573</v>
      </c>
      <c r="F88" s="28">
        <v>901784030</v>
      </c>
      <c r="G88" s="37" t="str">
        <f t="array" ref="G88">_xlfn.XLOOKUP(R88,'Extractos bancarios - Manglar'!$M:$M,'Extractos bancarios - Manglar'!$H:$H,,0)</f>
        <v>M260108</v>
      </c>
      <c r="H88" s="36" t="str">
        <f t="array" ref="H88">_xlfn.XLOOKUP($G88,Data!$E:$E,Data!$F:$F,"Revisar",0)</f>
        <v>AXIS</v>
      </c>
      <c r="I88" s="36" t="str">
        <f t="array" ref="I88">_xlfn.XLOOKUP($G88,Data!$E:$E,Data!$G:$G,"Revisar",0)</f>
        <v>Adicionales Mezanine ESS+</v>
      </c>
      <c r="J88" s="27" t="s">
        <v>574</v>
      </c>
      <c r="K88" s="31">
        <v>183611.11</v>
      </c>
      <c r="L88" s="31">
        <v>0</v>
      </c>
      <c r="M88" s="31">
        <v>14688.89</v>
      </c>
      <c r="N88" s="31">
        <v>0</v>
      </c>
      <c r="O88" s="32">
        <f t="shared" si="1"/>
        <v>198300</v>
      </c>
      <c r="P88" s="33">
        <f>IF($R88="","",-SUMIFS('Extractos bancarios - Manglar'!$C:$C,'Extractos bancarios - Manglar'!$M:$M,$R88))</f>
        <v>198300</v>
      </c>
      <c r="Q88" s="32">
        <f t="shared" si="2"/>
        <v>0</v>
      </c>
      <c r="R88" s="28" t="s">
        <v>575</v>
      </c>
      <c r="S88" s="25">
        <v>46260</v>
      </c>
      <c r="T88" s="21" t="s">
        <v>576</v>
      </c>
      <c r="U88" s="35">
        <f t="shared" ca="1" si="3"/>
        <v>-63</v>
      </c>
      <c r="V88" s="33" t="str">
        <f t="shared" si="4"/>
        <v>Al dia</v>
      </c>
      <c r="W88" s="33" t="str">
        <f t="shared" si="25"/>
        <v>Si</v>
      </c>
      <c r="X88" s="36" t="str">
        <f t="shared" si="6"/>
        <v>Costo Ventas</v>
      </c>
      <c r="Y88" s="27" t="str">
        <f t="shared" si="26"/>
        <v>Si</v>
      </c>
      <c r="Z88" s="1"/>
      <c r="AA88" s="1"/>
    </row>
    <row r="89" spans="1:27" ht="15" customHeight="1" x14ac:dyDescent="0.3">
      <c r="A89" s="1" t="str">
        <f>VLOOKUP(E89,$B$168:$B$255,1,0)</f>
        <v>IRCC SAS</v>
      </c>
      <c r="B89" s="25">
        <v>46261</v>
      </c>
      <c r="C89" s="25">
        <v>46261</v>
      </c>
      <c r="D89" s="26" t="str">
        <f t="shared" si="0"/>
        <v>Pagada</v>
      </c>
      <c r="E89" s="27" t="s">
        <v>552</v>
      </c>
      <c r="F89" s="28">
        <v>860533413</v>
      </c>
      <c r="G89" s="37" t="str">
        <f t="array" ref="G89">_xlfn.XLOOKUP(R89,'Extractos bancarios - Manglar'!$M:$M,'Extractos bancarios - Manglar'!$H:$H,,0)</f>
        <v>M260107</v>
      </c>
      <c r="H89" s="36" t="str">
        <f t="array" ref="H89">_xlfn.XLOOKUP($G89,Data!$E:$E,Data!$F:$F,"Revisar",0)</f>
        <v>AXIS</v>
      </c>
      <c r="I89" s="36" t="str">
        <f t="array" ref="I89">_xlfn.XLOOKUP($G89,Data!$E:$E,Data!$G:$G,"Revisar",0)</f>
        <v>Catering ESS</v>
      </c>
      <c r="J89" s="27" t="s">
        <v>554</v>
      </c>
      <c r="K89" s="31">
        <v>45370</v>
      </c>
      <c r="L89" s="31">
        <v>0</v>
      </c>
      <c r="M89" s="31">
        <v>3630</v>
      </c>
      <c r="N89" s="31">
        <v>0</v>
      </c>
      <c r="O89" s="32">
        <f t="shared" si="1"/>
        <v>49000</v>
      </c>
      <c r="P89" s="33">
        <f>IF($R89="","",-SUMIFS('Extractos bancarios - Manglar'!$C:$C,'Extractos bancarios - Manglar'!$M:$M,$R89))</f>
        <v>49000</v>
      </c>
      <c r="Q89" s="32">
        <f t="shared" si="2"/>
        <v>0</v>
      </c>
      <c r="R89" s="28" t="s">
        <v>577</v>
      </c>
      <c r="S89" s="25">
        <v>46261</v>
      </c>
      <c r="T89" s="21" t="s">
        <v>576</v>
      </c>
      <c r="U89" s="35">
        <f t="shared" ca="1" si="3"/>
        <v>-62</v>
      </c>
      <c r="V89" s="33" t="str">
        <f t="shared" si="4"/>
        <v>Al dia</v>
      </c>
      <c r="W89" s="33" t="str">
        <f t="shared" si="25"/>
        <v>Si</v>
      </c>
      <c r="X89" s="36" t="str">
        <f t="shared" si="6"/>
        <v>Costo Ventas</v>
      </c>
      <c r="Y89" s="27" t="str">
        <f t="shared" si="26"/>
        <v>Si</v>
      </c>
      <c r="Z89" s="1"/>
      <c r="AA89" s="1"/>
    </row>
    <row r="90" spans="1:27" ht="15" customHeight="1" x14ac:dyDescent="0.3">
      <c r="A90" s="1" t="str">
        <f>VLOOKUP(E90,$B$168:$B$255,1,0)</f>
        <v>DISTRIBUIDORA DE COMBUSTIBLES SAN FELIPE SAS</v>
      </c>
      <c r="B90" s="25">
        <v>46262</v>
      </c>
      <c r="C90" s="25">
        <v>46262</v>
      </c>
      <c r="D90" s="26" t="str">
        <f t="shared" si="0"/>
        <v>Pagada</v>
      </c>
      <c r="E90" s="27" t="s">
        <v>578</v>
      </c>
      <c r="F90" s="28">
        <v>901626025</v>
      </c>
      <c r="G90" s="37" t="str">
        <f t="array" ref="G90">_xlfn.XLOOKUP(R90,'Extractos bancarios - Manglar'!$M:$M,'Extractos bancarios - Manglar'!$H:$H,,0)</f>
        <v>M260107</v>
      </c>
      <c r="H90" s="36" t="str">
        <f t="array" ref="H90">_xlfn.XLOOKUP($G90,Data!$E:$E,Data!$F:$F,"Revisar",0)</f>
        <v>AXIS</v>
      </c>
      <c r="I90" s="36" t="str">
        <f t="array" ref="I90">_xlfn.XLOOKUP($G90,Data!$E:$E,Data!$G:$G,"Revisar",0)</f>
        <v>Catering ESS</v>
      </c>
      <c r="J90" s="27" t="s">
        <v>579</v>
      </c>
      <c r="K90" s="31">
        <v>245383</v>
      </c>
      <c r="L90" s="31">
        <v>0</v>
      </c>
      <c r="M90" s="31">
        <v>0</v>
      </c>
      <c r="N90" s="31">
        <v>0</v>
      </c>
      <c r="O90" s="32">
        <f t="shared" si="1"/>
        <v>245383</v>
      </c>
      <c r="P90" s="33">
        <f>IF($R90="","",-SUMIFS('Extractos bancarios - Manglar'!$C:$C,'Extractos bancarios - Manglar'!$M:$M,$R90))</f>
        <v>245383</v>
      </c>
      <c r="Q90" s="32">
        <f t="shared" si="2"/>
        <v>0</v>
      </c>
      <c r="R90" s="28" t="s">
        <v>581</v>
      </c>
      <c r="S90" s="25">
        <v>46262</v>
      </c>
      <c r="T90" s="21" t="s">
        <v>582</v>
      </c>
      <c r="U90" s="35">
        <f t="shared" ca="1" si="3"/>
        <v>-61</v>
      </c>
      <c r="V90" s="33" t="str">
        <f t="shared" si="4"/>
        <v>Al dia</v>
      </c>
      <c r="W90" s="33" t="str">
        <f t="shared" si="25"/>
        <v>Si</v>
      </c>
      <c r="X90" s="36" t="str">
        <f t="shared" si="6"/>
        <v>Costo Ventas</v>
      </c>
      <c r="Y90" s="27" t="str">
        <f t="shared" si="26"/>
        <v>Si</v>
      </c>
      <c r="Z90" s="1"/>
      <c r="AA90" s="1"/>
    </row>
    <row r="91" spans="1:27" ht="15" customHeight="1" x14ac:dyDescent="0.3">
      <c r="A91" s="1" t="str">
        <f>VLOOKUP(E91,$B$168:$B$255,1,0)</f>
        <v>Mandolina Gourmet LTDA</v>
      </c>
      <c r="B91" s="25">
        <v>46266</v>
      </c>
      <c r="C91" s="25">
        <v>46281</v>
      </c>
      <c r="D91" s="26" t="str">
        <f t="shared" si="0"/>
        <v>Pagada</v>
      </c>
      <c r="E91" s="27" t="s">
        <v>583</v>
      </c>
      <c r="F91" s="28">
        <v>900040732</v>
      </c>
      <c r="G91" s="37" t="s">
        <v>274</v>
      </c>
      <c r="H91" s="36" t="str">
        <f t="array" ref="H91">_xlfn.XLOOKUP($G91,Data!$E:$E,Data!$F:$F,"Revisar",0)</f>
        <v>AXIS</v>
      </c>
      <c r="I91" s="36" t="str">
        <f t="array" ref="I91">_xlfn.XLOOKUP($G91,Data!$E:$E,Data!$G:$G,"Revisar",0)</f>
        <v>Catering ESS</v>
      </c>
      <c r="J91" s="27" t="s">
        <v>585</v>
      </c>
      <c r="K91" s="31">
        <v>19189036</v>
      </c>
      <c r="L91" s="31">
        <v>0</v>
      </c>
      <c r="M91" s="31">
        <v>0</v>
      </c>
      <c r="N91" s="31">
        <v>0</v>
      </c>
      <c r="O91" s="32">
        <f t="shared" si="1"/>
        <v>19189036</v>
      </c>
      <c r="P91" s="33">
        <f>IF($R91="","",-SUMIFS('Extractos bancarios - Manglar'!$C:$C,'Extractos bancarios - Manglar'!$M:$M,$R91))</f>
        <v>19189036</v>
      </c>
      <c r="Q91" s="32">
        <f t="shared" si="2"/>
        <v>0</v>
      </c>
      <c r="R91" s="28" t="s">
        <v>586</v>
      </c>
      <c r="S91" s="25">
        <v>46296</v>
      </c>
      <c r="T91" s="34" t="s">
        <v>587</v>
      </c>
      <c r="U91" s="35">
        <f t="shared" ca="1" si="3"/>
        <v>-27</v>
      </c>
      <c r="V91" s="33" t="str">
        <f t="shared" si="4"/>
        <v>Al dia</v>
      </c>
      <c r="W91" s="33" t="str">
        <f t="shared" si="25"/>
        <v>Si</v>
      </c>
      <c r="X91" s="36" t="str">
        <f t="shared" si="6"/>
        <v>Costo Ventas</v>
      </c>
      <c r="Y91" s="27" t="str">
        <f t="shared" si="26"/>
        <v>Si</v>
      </c>
      <c r="Z91" s="1"/>
      <c r="AA91" s="1"/>
    </row>
    <row r="92" spans="1:27" ht="15" customHeight="1" x14ac:dyDescent="0.3">
      <c r="A92" s="1" t="str">
        <f>VLOOKUP(E92,$B$168:$B$255,1,0)</f>
        <v>LINEMARKETING Y EVENTOS S.A.S.</v>
      </c>
      <c r="B92" s="25">
        <v>46267</v>
      </c>
      <c r="C92" s="25">
        <v>46303</v>
      </c>
      <c r="D92" s="26" t="str">
        <f t="shared" si="0"/>
        <v>Pagada</v>
      </c>
      <c r="E92" s="27" t="s">
        <v>588</v>
      </c>
      <c r="F92" s="28">
        <v>900299878</v>
      </c>
      <c r="G92" s="37" t="s">
        <v>316</v>
      </c>
      <c r="H92" s="36" t="str">
        <f t="array" ref="H92">_xlfn.XLOOKUP($G92,Data!$E:$E,Data!$F:$F,"Revisar",0)</f>
        <v>ANIXTER</v>
      </c>
      <c r="I92" s="36" t="str">
        <f t="array" ref="I92">_xlfn.XLOOKUP($G92,Data!$E:$E,Data!$G:$G,"Revisar",0)</f>
        <v>Adicionales Almuerzo ESS+</v>
      </c>
      <c r="J92" s="27" t="s">
        <v>591</v>
      </c>
      <c r="K92" s="31">
        <v>3234000</v>
      </c>
      <c r="L92" s="31">
        <v>614460</v>
      </c>
      <c r="M92" s="31">
        <v>0</v>
      </c>
      <c r="N92" s="31">
        <v>0</v>
      </c>
      <c r="O92" s="32">
        <f t="shared" si="1"/>
        <v>3848460</v>
      </c>
      <c r="P92" s="33">
        <f>IF($R92="","",-SUMIFS('Extractos bancarios - Manglar'!$C:$C,'Extractos bancarios - Manglar'!$M:$M,$R92))</f>
        <v>3848460</v>
      </c>
      <c r="Q92" s="32">
        <f t="shared" si="2"/>
        <v>0</v>
      </c>
      <c r="R92" s="28" t="s">
        <v>592</v>
      </c>
      <c r="S92" s="25">
        <f>+B92+30</f>
        <v>46297</v>
      </c>
      <c r="T92" s="34"/>
      <c r="U92" s="35">
        <f t="shared" ca="1" si="3"/>
        <v>-26</v>
      </c>
      <c r="V92" s="33" t="str">
        <f t="shared" si="4"/>
        <v>Al dia</v>
      </c>
      <c r="W92" s="33" t="str">
        <f t="shared" si="25"/>
        <v>Si</v>
      </c>
      <c r="X92" s="36" t="str">
        <f t="shared" si="6"/>
        <v>Costo Ventas</v>
      </c>
      <c r="Y92" s="27" t="str">
        <f t="shared" si="26"/>
        <v>Si</v>
      </c>
      <c r="Z92" s="1"/>
      <c r="AA92" s="1"/>
    </row>
    <row r="93" spans="1:27" ht="15" customHeight="1" x14ac:dyDescent="0.3">
      <c r="A93" s="1" t="str">
        <f>VLOOKUP(E93,$B$168:$B$255,1,0)</f>
        <v>LINEMARKETING Y EVENTOS S.A.S.</v>
      </c>
      <c r="B93" s="25">
        <v>46267</v>
      </c>
      <c r="C93" s="25">
        <v>46303</v>
      </c>
      <c r="D93" s="26" t="str">
        <f t="shared" si="0"/>
        <v>Pagada</v>
      </c>
      <c r="E93" s="27" t="s">
        <v>588</v>
      </c>
      <c r="F93" s="28">
        <v>900299878</v>
      </c>
      <c r="G93" s="37" t="s">
        <v>203</v>
      </c>
      <c r="H93" s="36" t="str">
        <f t="array" ref="H93">_xlfn.XLOOKUP($G93,Data!$E:$E,Data!$F:$F,"Revisar",0)</f>
        <v>AXIS</v>
      </c>
      <c r="I93" s="36" t="str">
        <f t="array" ref="I93">_xlfn.XLOOKUP($G93,Data!$E:$E,Data!$G:$G,"Revisar",0)</f>
        <v>Merch y transporte para Cena feria de seguridad</v>
      </c>
      <c r="J93" s="27" t="s">
        <v>597</v>
      </c>
      <c r="K93" s="31">
        <v>2795000</v>
      </c>
      <c r="L93" s="31">
        <v>531050</v>
      </c>
      <c r="M93" s="31">
        <v>0</v>
      </c>
      <c r="N93" s="31">
        <v>0</v>
      </c>
      <c r="O93" s="32">
        <f t="shared" si="1"/>
        <v>3326050</v>
      </c>
      <c r="P93" s="33">
        <f>IF($R93="","",-SUMIFS('Extractos bancarios - Manglar'!$C:$C,'Extractos bancarios - Manglar'!$M:$M,$R93))</f>
        <v>3326050</v>
      </c>
      <c r="Q93" s="32">
        <f t="shared" si="2"/>
        <v>0</v>
      </c>
      <c r="R93" s="28" t="s">
        <v>598</v>
      </c>
      <c r="S93" s="25">
        <f>+B93+30</f>
        <v>46297</v>
      </c>
      <c r="T93" s="34"/>
      <c r="U93" s="35">
        <f t="shared" ca="1" si="3"/>
        <v>-26</v>
      </c>
      <c r="V93" s="33" t="str">
        <f t="shared" si="4"/>
        <v>Al dia</v>
      </c>
      <c r="W93" s="33" t="str">
        <f t="shared" si="25"/>
        <v>Si</v>
      </c>
      <c r="X93" s="36" t="str">
        <f t="shared" si="6"/>
        <v>Costo Ventas</v>
      </c>
      <c r="Y93" s="27" t="str">
        <f t="shared" si="26"/>
        <v>Si</v>
      </c>
      <c r="Z93" s="1"/>
      <c r="AA93" s="1"/>
    </row>
    <row r="94" spans="1:27" ht="15" customHeight="1" x14ac:dyDescent="0.3">
      <c r="A94" s="1" t="str">
        <f>VLOOKUP(E94,$B$168:$B$255,1,0)</f>
        <v>EASYLIFE GLOBAL CORPORATION S.A.S</v>
      </c>
      <c r="B94" s="46">
        <v>46266</v>
      </c>
      <c r="C94" s="46">
        <v>46269</v>
      </c>
      <c r="D94" s="47" t="str">
        <f t="shared" ref="D94" si="27">IF($R94="","",IF(ABS(Q94)&lt;1,"Pagada",IF(Q94&lt;0,IF(O94&lt;0,"Nota credito","Saldo a favor"),IF(P94&lt;&gt;0,"Parcial","Pendiente"))))</f>
        <v>Pagada</v>
      </c>
      <c r="E94" s="48" t="s">
        <v>599</v>
      </c>
      <c r="F94" s="49">
        <v>900377225</v>
      </c>
      <c r="G94" s="50" t="s">
        <v>274</v>
      </c>
      <c r="H94" s="51" t="str">
        <f t="array" ref="H94">_xlfn.XLOOKUP($G94,Data!$E:$E,Data!$F:$F,"Revisar",0)</f>
        <v>AXIS</v>
      </c>
      <c r="I94" s="51" t="str">
        <f t="array" ref="I94">_xlfn.XLOOKUP($G94,Data!$E:$E,Data!$G:$G,"Revisar",0)</f>
        <v>Catering ESS</v>
      </c>
      <c r="J94" s="48" t="s">
        <v>603</v>
      </c>
      <c r="K94" s="53">
        <v>2201500</v>
      </c>
      <c r="L94" s="54">
        <f>+K94*0.19</f>
        <v>418285</v>
      </c>
      <c r="M94" s="54">
        <v>0</v>
      </c>
      <c r="N94" s="54">
        <v>0</v>
      </c>
      <c r="O94" s="55">
        <f t="shared" ref="O94" si="28">IF($R94="","",K94+L94+M94)</f>
        <v>2619785</v>
      </c>
      <c r="P94" s="164">
        <f>+O94</f>
        <v>2619785</v>
      </c>
      <c r="Q94" s="55">
        <f t="shared" ref="Q94" si="29">IF($R94="","",O94-N94-P94)</f>
        <v>0</v>
      </c>
      <c r="R94" s="49" t="s">
        <v>606</v>
      </c>
      <c r="S94" s="46">
        <v>46266</v>
      </c>
      <c r="T94" s="56" t="s">
        <v>903</v>
      </c>
      <c r="U94" s="57">
        <f t="shared" ca="1" si="3"/>
        <v>-57</v>
      </c>
      <c r="V94" s="58" t="str">
        <f t="shared" si="4"/>
        <v>Al dia</v>
      </c>
      <c r="W94" s="58" t="str">
        <f t="shared" si="25"/>
        <v>Si</v>
      </c>
      <c r="X94" s="51" t="str">
        <f t="shared" si="6"/>
        <v>Costo Ventas</v>
      </c>
      <c r="Y94" s="27" t="str">
        <f t="shared" si="26"/>
        <v>Si</v>
      </c>
      <c r="Z94" s="1"/>
      <c r="AA94" s="1"/>
    </row>
    <row r="95" spans="1:27" ht="15" customHeight="1" x14ac:dyDescent="0.3">
      <c r="A95" s="1" t="str">
        <f>VLOOKUP(E95,$B$168:$B$255,1,0)</f>
        <v>EASYLIFE GLOBAL CORPORATION S.A.S</v>
      </c>
      <c r="B95" s="46">
        <v>46266</v>
      </c>
      <c r="C95" s="46">
        <v>46269</v>
      </c>
      <c r="D95" s="47" t="str">
        <f t="shared" si="0"/>
        <v>Pagada</v>
      </c>
      <c r="E95" s="48" t="s">
        <v>599</v>
      </c>
      <c r="F95" s="49">
        <v>900377225</v>
      </c>
      <c r="G95" s="50" t="s">
        <v>294</v>
      </c>
      <c r="H95" s="51" t="str">
        <f t="array" ref="H95">_xlfn.XLOOKUP($G95,Data!$E:$E,Data!$F:$F,"Revisar",0)</f>
        <v>AXIS</v>
      </c>
      <c r="I95" s="51" t="str">
        <f t="array" ref="I95">_xlfn.XLOOKUP($G95,Data!$E:$E,Data!$G:$G,"Revisar",0)</f>
        <v>Adicionales Mezanine ESS+</v>
      </c>
      <c r="J95" s="48" t="s">
        <v>603</v>
      </c>
      <c r="K95" s="53">
        <v>535500</v>
      </c>
      <c r="L95" s="54">
        <f>+K95*0.19</f>
        <v>101745</v>
      </c>
      <c r="M95" s="54">
        <v>0</v>
      </c>
      <c r="N95" s="54">
        <v>0</v>
      </c>
      <c r="O95" s="55">
        <f t="shared" si="1"/>
        <v>637245</v>
      </c>
      <c r="P95" s="164">
        <f>+O95</f>
        <v>637245</v>
      </c>
      <c r="Q95" s="55">
        <f t="shared" si="2"/>
        <v>0</v>
      </c>
      <c r="R95" s="49" t="s">
        <v>606</v>
      </c>
      <c r="S95" s="46">
        <v>46266</v>
      </c>
      <c r="T95" s="56" t="s">
        <v>903</v>
      </c>
      <c r="U95" s="57">
        <f t="shared" ca="1" si="3"/>
        <v>-57</v>
      </c>
      <c r="V95" s="58" t="str">
        <f t="shared" si="4"/>
        <v>Al dia</v>
      </c>
      <c r="W95" s="58" t="str">
        <f t="shared" si="25"/>
        <v>Si</v>
      </c>
      <c r="X95" s="51" t="str">
        <f t="shared" si="6"/>
        <v>Costo Ventas</v>
      </c>
      <c r="Y95" s="27" t="str">
        <f t="shared" si="26"/>
        <v>Si</v>
      </c>
      <c r="Z95" s="1"/>
      <c r="AA95" s="1"/>
    </row>
    <row r="96" spans="1:27" ht="15" customHeight="1" x14ac:dyDescent="0.3">
      <c r="A96" s="1" t="str">
        <f>VLOOKUP(E96,$B$168:$B$255,1,0)</f>
        <v>BLANCA MARIA MAYA URREGO</v>
      </c>
      <c r="B96" s="25">
        <v>46265</v>
      </c>
      <c r="C96" s="25">
        <v>46265</v>
      </c>
      <c r="D96" s="26" t="str">
        <f t="shared" si="0"/>
        <v>Pagada</v>
      </c>
      <c r="E96" s="27" t="s">
        <v>829</v>
      </c>
      <c r="F96" s="28" t="s">
        <v>830</v>
      </c>
      <c r="G96" s="27" t="s">
        <v>268</v>
      </c>
      <c r="H96" s="36" t="str">
        <f t="array" ref="H96">_xlfn.XLOOKUP($G96,Data!$E:$E,Data!$F:$F,"Revisar",0)</f>
        <v>ANIXTER</v>
      </c>
      <c r="I96" s="36" t="str">
        <f t="array" ref="I96">_xlfn.XLOOKUP($G96,Data!$E:$E,Data!$G:$G,"Revisar",0)</f>
        <v>Almuerzo Evento Corferias ESS+</v>
      </c>
      <c r="J96" s="27" t="s">
        <v>832</v>
      </c>
      <c r="K96" s="31">
        <v>150000</v>
      </c>
      <c r="L96" s="31">
        <v>0</v>
      </c>
      <c r="M96" s="31">
        <v>0</v>
      </c>
      <c r="N96" s="31">
        <v>0</v>
      </c>
      <c r="O96" s="32">
        <f t="shared" si="1"/>
        <v>150000</v>
      </c>
      <c r="P96" s="33">
        <f>IF($R96="","",-SUMIFS('Extractos bancarios - Manglar'!$C:$C,'Extractos bancarios - Manglar'!$M:$M,$R96))</f>
        <v>150000</v>
      </c>
      <c r="Q96" s="32">
        <f t="shared" si="2"/>
        <v>0</v>
      </c>
      <c r="R96" s="28" t="s">
        <v>834</v>
      </c>
      <c r="S96" s="25">
        <v>46265</v>
      </c>
      <c r="T96" s="21" t="s">
        <v>835</v>
      </c>
      <c r="U96" s="35">
        <f t="shared" ca="1" si="3"/>
        <v>-58</v>
      </c>
      <c r="V96" s="33" t="str">
        <f t="shared" si="4"/>
        <v>Al dia</v>
      </c>
      <c r="W96" s="33" t="str">
        <f t="shared" si="25"/>
        <v>Si</v>
      </c>
      <c r="X96" s="36" t="str">
        <f t="shared" si="6"/>
        <v>Costo Ventas</v>
      </c>
      <c r="Y96" s="27" t="str">
        <f t="shared" si="26"/>
        <v>Si</v>
      </c>
      <c r="Z96" s="1"/>
      <c r="AA96" s="1"/>
    </row>
    <row r="97" spans="1:27" ht="15" customHeight="1" x14ac:dyDescent="0.3">
      <c r="A97" s="1" t="str">
        <f>VLOOKUP(E97,$B$168:$B$255,1,0)</f>
        <v>FEDERICO DE ANGULO ULLOA</v>
      </c>
      <c r="B97" s="46">
        <v>46230</v>
      </c>
      <c r="C97" s="46">
        <v>46230</v>
      </c>
      <c r="D97" s="47" t="str">
        <f t="shared" ref="D97" si="30">IF($R97="","",IF(ABS(Q97)&lt;1,"Pagada",IF(Q97&lt;0,IF(O97&lt;0,"Nota credito","Saldo a favor"),IF(P97&lt;&gt;0,"Parcial","Pendiente"))))</f>
        <v>Pagada</v>
      </c>
      <c r="E97" s="48" t="s">
        <v>501</v>
      </c>
      <c r="F97" s="49" t="s">
        <v>831</v>
      </c>
      <c r="G97" s="50" t="s">
        <v>274</v>
      </c>
      <c r="H97" s="51" t="str">
        <f t="array" ref="H97">_xlfn.XLOOKUP($G97,Data!$E:$E,Data!$F:$F,"Revisar",0)</f>
        <v>AXIS</v>
      </c>
      <c r="I97" s="51" t="str">
        <f t="array" ref="I97">_xlfn.XLOOKUP($G97,Data!$E:$E,Data!$G:$G,"Revisar",0)</f>
        <v>Catering ESS</v>
      </c>
      <c r="J97" s="48" t="s">
        <v>833</v>
      </c>
      <c r="K97" s="53">
        <v>150000</v>
      </c>
      <c r="L97" s="54">
        <v>0</v>
      </c>
      <c r="M97" s="54">
        <v>0</v>
      </c>
      <c r="N97" s="54">
        <v>0</v>
      </c>
      <c r="O97" s="55">
        <f t="shared" ref="O97" si="31">IF($R97="","",K97+L97+M97)</f>
        <v>150000</v>
      </c>
      <c r="P97" s="164">
        <f>IF($R97="","",-SUMIFS('Extractos bancarios - Manglar'!$C:$C,'Extractos bancarios - Manglar'!$M:$M,$R97))</f>
        <v>150000</v>
      </c>
      <c r="Q97" s="55">
        <f t="shared" ref="Q97" si="32">IF($R97="","",O97-N97-P97)</f>
        <v>0</v>
      </c>
      <c r="R97" s="49" t="s">
        <v>1147</v>
      </c>
      <c r="S97" s="46">
        <v>46230</v>
      </c>
      <c r="T97" s="56" t="s">
        <v>836</v>
      </c>
      <c r="U97" s="57">
        <f t="shared" ca="1" si="3"/>
        <v>-93</v>
      </c>
      <c r="V97" s="58" t="str">
        <f t="shared" si="4"/>
        <v>Al dia</v>
      </c>
      <c r="W97" s="58" t="str">
        <f t="shared" si="25"/>
        <v>Si</v>
      </c>
      <c r="X97" s="51" t="str">
        <f t="shared" si="6"/>
        <v>Costo Ventas</v>
      </c>
      <c r="Y97" s="27" t="str">
        <f t="shared" si="26"/>
        <v>Si</v>
      </c>
      <c r="Z97" s="1"/>
      <c r="AA97" s="1"/>
    </row>
    <row r="98" spans="1:27" ht="15" customHeight="1" x14ac:dyDescent="0.3">
      <c r="A98" s="1" t="str">
        <f>VLOOKUP(E98,$B$168:$B$255,1,0)</f>
        <v>FEDERICO DE ANGULO ULLOA</v>
      </c>
      <c r="B98" s="46">
        <v>46230</v>
      </c>
      <c r="C98" s="46">
        <v>46230</v>
      </c>
      <c r="D98" s="47" t="str">
        <f t="shared" si="0"/>
        <v>Pagada</v>
      </c>
      <c r="E98" s="48" t="s">
        <v>501</v>
      </c>
      <c r="F98" s="49" t="s">
        <v>831</v>
      </c>
      <c r="G98" s="50" t="s">
        <v>305</v>
      </c>
      <c r="H98" s="51" t="str">
        <f t="array" ref="H98">_xlfn.XLOOKUP($G98,Data!$E:$E,Data!$F:$F,"Revisar",0)</f>
        <v>AXIS</v>
      </c>
      <c r="I98" s="51" t="str">
        <f t="array" ref="I98">_xlfn.XLOOKUP($G98,Data!$E:$E,Data!$G:$G,"Revisar",0)</f>
        <v>Recarga Router</v>
      </c>
      <c r="J98" s="48" t="s">
        <v>1146</v>
      </c>
      <c r="K98" s="53">
        <v>300000</v>
      </c>
      <c r="L98" s="54">
        <v>0</v>
      </c>
      <c r="M98" s="54">
        <v>0</v>
      </c>
      <c r="N98" s="54">
        <v>0</v>
      </c>
      <c r="O98" s="55">
        <f t="shared" si="1"/>
        <v>300000</v>
      </c>
      <c r="P98" s="164">
        <f>IF($R98="","",-SUMIFS('Extractos bancarios - Manglar'!$C:$C,'Extractos bancarios - Manglar'!$M:$M,$R98))</f>
        <v>300000</v>
      </c>
      <c r="Q98" s="55">
        <f t="shared" si="2"/>
        <v>0</v>
      </c>
      <c r="R98" s="49" t="s">
        <v>1148</v>
      </c>
      <c r="S98" s="46">
        <v>46230</v>
      </c>
      <c r="T98" s="56" t="s">
        <v>836</v>
      </c>
      <c r="U98" s="57">
        <f t="shared" ca="1" si="3"/>
        <v>-93</v>
      </c>
      <c r="V98" s="58" t="str">
        <f t="shared" si="4"/>
        <v>Al dia</v>
      </c>
      <c r="W98" s="58" t="str">
        <f t="shared" si="25"/>
        <v>Si</v>
      </c>
      <c r="X98" s="51" t="str">
        <f t="shared" si="6"/>
        <v>Costo Ventas</v>
      </c>
      <c r="Y98" s="27" t="str">
        <f t="shared" si="26"/>
        <v>Si</v>
      </c>
      <c r="Z98" s="1"/>
      <c r="AA98" s="1"/>
    </row>
    <row r="99" spans="1:27" ht="15" customHeight="1" x14ac:dyDescent="0.3">
      <c r="A99" s="1" t="str">
        <f>VLOOKUP(E99,$B$168:$B$255,1,0)</f>
        <v>OPERADOR HOTELERO PACTIA CORFERIAS S.A.S</v>
      </c>
      <c r="B99" s="25">
        <v>46273</v>
      </c>
      <c r="C99" s="25">
        <v>46265</v>
      </c>
      <c r="D99" s="26" t="str">
        <f t="shared" si="0"/>
        <v>Parcial</v>
      </c>
      <c r="E99" s="27" t="s">
        <v>837</v>
      </c>
      <c r="F99" s="28" t="s">
        <v>838</v>
      </c>
      <c r="G99" s="27" t="s">
        <v>268</v>
      </c>
      <c r="H99" s="36" t="str">
        <f t="array" ref="H99">_xlfn.XLOOKUP($G99,Data!$E:$E,Data!$F:$F,"Revisar",0)</f>
        <v>ANIXTER</v>
      </c>
      <c r="I99" s="36" t="str">
        <f t="array" ref="I99">_xlfn.XLOOKUP($G99,Data!$E:$E,Data!$G:$G,"Revisar",0)</f>
        <v>Almuerzo Evento Corferias ESS+</v>
      </c>
      <c r="J99" s="27" t="s">
        <v>854</v>
      </c>
      <c r="K99" s="31">
        <v>17022525</v>
      </c>
      <c r="L99" s="31">
        <v>1884129</v>
      </c>
      <c r="M99" s="31">
        <v>516889</v>
      </c>
      <c r="N99" s="31">
        <v>0</v>
      </c>
      <c r="O99" s="32">
        <f t="shared" si="1"/>
        <v>19423543</v>
      </c>
      <c r="P99" s="33">
        <f>IF($R99="","",-SUMIFS('Extractos bancarios - Manglar'!$C:$C,'Extractos bancarios - Manglar'!$M:$M,$R99))</f>
        <v>19303423</v>
      </c>
      <c r="Q99" s="32">
        <f t="shared" si="2"/>
        <v>120120</v>
      </c>
      <c r="R99" s="28" t="s">
        <v>864</v>
      </c>
      <c r="S99" s="25">
        <v>46273</v>
      </c>
      <c r="T99" s="21" t="s">
        <v>873</v>
      </c>
      <c r="U99" s="35">
        <f t="shared" ca="1" si="3"/>
        <v>-50</v>
      </c>
      <c r="V99" s="33" t="str">
        <f t="shared" ca="1" si="4"/>
        <v>Vencida</v>
      </c>
      <c r="W99" s="33" t="s">
        <v>30</v>
      </c>
      <c r="X99" s="36" t="str">
        <f t="shared" si="6"/>
        <v>Costo Ventas</v>
      </c>
      <c r="Y99" s="27" t="str">
        <f t="shared" si="26"/>
        <v>Si</v>
      </c>
      <c r="Z99" s="1"/>
      <c r="AA99" s="1"/>
    </row>
    <row r="100" spans="1:27" ht="15" customHeight="1" x14ac:dyDescent="0.3">
      <c r="A100" s="1" t="str">
        <f>VLOOKUP(E100,$B$168:$B$255,1,0)</f>
        <v>WEBER-STEPHEN COLOMBIA S.A.S.</v>
      </c>
      <c r="B100" s="25">
        <v>46276</v>
      </c>
      <c r="C100" s="25">
        <v>46282</v>
      </c>
      <c r="D100" s="26" t="str">
        <f t="shared" si="0"/>
        <v>Pagada</v>
      </c>
      <c r="E100" s="27" t="s">
        <v>846</v>
      </c>
      <c r="F100" s="28" t="s">
        <v>847</v>
      </c>
      <c r="G100" s="27" t="s">
        <v>784</v>
      </c>
      <c r="H100" s="36" t="str">
        <f t="array" ref="H100">_xlfn.XLOOKUP($G100,Data!$E:$E,Data!$F:$F,"Revisar",0)</f>
        <v>MOTOROLA</v>
      </c>
      <c r="I100" s="36" t="str">
        <f t="array" ref="I100">_xlfn.XLOOKUP($G100,Data!$E:$E,Data!$G:$G,"Revisar",0)</f>
        <v>Entrepartners BOGOTA</v>
      </c>
      <c r="J100" s="27" t="s">
        <v>855</v>
      </c>
      <c r="K100" s="31">
        <v>8775000</v>
      </c>
      <c r="L100" s="31">
        <v>1667250</v>
      </c>
      <c r="M100" s="31">
        <v>0</v>
      </c>
      <c r="N100" s="31">
        <v>0</v>
      </c>
      <c r="O100" s="32">
        <f t="shared" si="1"/>
        <v>10442250</v>
      </c>
      <c r="P100" s="33">
        <f>IF($R100="","",-SUMIFS('Extractos bancarios - Manglar'!$C:$C,'Extractos bancarios - Manglar'!$M:$M,$R100))</f>
        <v>10442250</v>
      </c>
      <c r="Q100" s="32">
        <f t="shared" si="2"/>
        <v>0</v>
      </c>
      <c r="R100" s="28" t="s">
        <v>865</v>
      </c>
      <c r="S100" s="25">
        <v>46291</v>
      </c>
      <c r="T100" s="21" t="s">
        <v>874</v>
      </c>
      <c r="U100" s="35">
        <f t="shared" ca="1" si="3"/>
        <v>-32</v>
      </c>
      <c r="V100" s="33" t="str">
        <f t="shared" si="4"/>
        <v>Al dia</v>
      </c>
      <c r="W100" s="33" t="str">
        <f t="shared" si="25"/>
        <v>Si</v>
      </c>
      <c r="X100" s="36" t="str">
        <f t="shared" si="6"/>
        <v>Costo Ventas</v>
      </c>
      <c r="Y100" s="27" t="str">
        <f t="shared" si="26"/>
        <v>Si</v>
      </c>
      <c r="Z100" s="1"/>
      <c r="AA100" s="1"/>
    </row>
    <row r="101" spans="1:27" ht="15" customHeight="1" x14ac:dyDescent="0.3">
      <c r="A101" s="1" t="str">
        <f>VLOOKUP(E101,$B$168:$B$255,1,0)</f>
        <v>LINEMARKETING Y EVENTOS S.A.S.</v>
      </c>
      <c r="B101" s="25">
        <v>46275</v>
      </c>
      <c r="C101" s="25">
        <v>46303</v>
      </c>
      <c r="D101" s="26" t="str">
        <f t="shared" si="0"/>
        <v>Pagada</v>
      </c>
      <c r="E101" s="27" t="s">
        <v>588</v>
      </c>
      <c r="F101" s="28" t="s">
        <v>111</v>
      </c>
      <c r="G101" s="37" t="s">
        <v>782</v>
      </c>
      <c r="H101" s="36" t="str">
        <f t="array" ref="H101">_xlfn.XLOOKUP($G101,Data!$E:$E,Data!$F:$F,"Revisar",0)</f>
        <v>Konrad Adenauer Stiftung</v>
      </c>
      <c r="I101" s="36" t="str">
        <f t="array" ref="I101">_xlfn.XLOOKUP($G101,Data!$E:$E,Data!$G:$G,"Revisar",0)</f>
        <v>Morrales y letras KAS</v>
      </c>
      <c r="J101" s="27" t="s">
        <v>856</v>
      </c>
      <c r="K101" s="31">
        <v>3690000</v>
      </c>
      <c r="L101" s="31">
        <v>701100</v>
      </c>
      <c r="M101" s="31">
        <v>0</v>
      </c>
      <c r="N101" s="31">
        <v>0</v>
      </c>
      <c r="O101" s="32">
        <f t="shared" si="1"/>
        <v>4391100</v>
      </c>
      <c r="P101" s="33">
        <f>IF($R101="","",-SUMIFS('Extractos bancarios - Manglar'!$C:$C,'Extractos bancarios - Manglar'!$M:$M,$R101))</f>
        <v>4391100</v>
      </c>
      <c r="Q101" s="32">
        <f t="shared" si="2"/>
        <v>0</v>
      </c>
      <c r="R101" s="28" t="s">
        <v>866</v>
      </c>
      <c r="S101" s="25">
        <f>+B101+30</f>
        <v>46305</v>
      </c>
      <c r="T101" s="21"/>
      <c r="U101" s="35">
        <f t="shared" ca="1" si="3"/>
        <v>-18</v>
      </c>
      <c r="V101" s="33" t="str">
        <f t="shared" si="4"/>
        <v>Al dia</v>
      </c>
      <c r="W101" s="33" t="str">
        <f t="shared" si="25"/>
        <v>Si</v>
      </c>
      <c r="X101" s="36" t="str">
        <f t="shared" si="6"/>
        <v>Costo Ventas</v>
      </c>
      <c r="Y101" s="27" t="str">
        <f t="shared" si="26"/>
        <v>Si</v>
      </c>
      <c r="Z101" s="1"/>
      <c r="AA101" s="1"/>
    </row>
    <row r="102" spans="1:27" ht="15" customHeight="1" x14ac:dyDescent="0.3">
      <c r="A102" s="1" t="str">
        <f>VLOOKUP(E102,$B$168:$B$255,1,0)</f>
        <v>LOGIST LATAM S.A.S</v>
      </c>
      <c r="B102" s="25">
        <v>46273</v>
      </c>
      <c r="C102" s="25">
        <v>46303</v>
      </c>
      <c r="D102" s="26" t="str">
        <f t="shared" si="0"/>
        <v>Pagada</v>
      </c>
      <c r="E102" s="27" t="s">
        <v>317</v>
      </c>
      <c r="F102" s="28" t="s">
        <v>318</v>
      </c>
      <c r="G102" s="37" t="s">
        <v>782</v>
      </c>
      <c r="H102" s="36" t="str">
        <f t="array" ref="H102">_xlfn.XLOOKUP($G102,Data!$E:$E,Data!$F:$F,"Revisar",0)</f>
        <v>Konrad Adenauer Stiftung</v>
      </c>
      <c r="I102" s="36" t="str">
        <f t="array" ref="I102">_xlfn.XLOOKUP($G102,Data!$E:$E,Data!$G:$G,"Revisar",0)</f>
        <v>Morrales y letras KAS</v>
      </c>
      <c r="J102" s="27" t="s">
        <v>857</v>
      </c>
      <c r="K102" s="31">
        <v>2520000</v>
      </c>
      <c r="L102" s="31">
        <v>478800</v>
      </c>
      <c r="M102" s="31">
        <v>0</v>
      </c>
      <c r="N102" s="31">
        <v>0</v>
      </c>
      <c r="O102" s="32">
        <f t="shared" si="1"/>
        <v>2998800</v>
      </c>
      <c r="P102" s="33">
        <f>IF($R102="","",-SUMIFS('Extractos bancarios - Manglar'!$C:$C,'Extractos bancarios - Manglar'!$M:$M,$R102))</f>
        <v>2998800</v>
      </c>
      <c r="Q102" s="32">
        <f t="shared" si="2"/>
        <v>0</v>
      </c>
      <c r="R102" s="28" t="s">
        <v>867</v>
      </c>
      <c r="S102" s="25">
        <v>46303</v>
      </c>
      <c r="T102" s="21"/>
      <c r="U102" s="35">
        <f t="shared" ca="1" si="3"/>
        <v>-20</v>
      </c>
      <c r="V102" s="33" t="str">
        <f t="shared" si="4"/>
        <v>Al dia</v>
      </c>
      <c r="W102" s="33" t="str">
        <f t="shared" si="25"/>
        <v>Si</v>
      </c>
      <c r="X102" s="36" t="str">
        <f t="shared" si="6"/>
        <v>Costo Ventas</v>
      </c>
      <c r="Y102" s="27" t="str">
        <f t="shared" si="26"/>
        <v>Si</v>
      </c>
      <c r="Z102" s="1"/>
      <c r="AA102" s="1"/>
    </row>
    <row r="103" spans="1:27" ht="15" customHeight="1" x14ac:dyDescent="0.3">
      <c r="A103" s="1" t="str">
        <f>VLOOKUP(E103,$B$168:$B$255,1,0)</f>
        <v>SMART DESIGN PUBLICIDAD SAS</v>
      </c>
      <c r="B103" s="25">
        <v>46273</v>
      </c>
      <c r="C103" s="39">
        <v>46275</v>
      </c>
      <c r="D103" s="26" t="str">
        <f t="shared" ref="D103:D104" si="33">IF($R103="","",IF(ABS(Q103)&lt;1,"Pagada",IF(Q103&lt;0,IF(O103&lt;0,"Nota credito","Saldo a favor"),IF(P103&lt;&gt;0,"Parcial","Pendiente"))))</f>
        <v>Pagada</v>
      </c>
      <c r="E103" s="27" t="s">
        <v>127</v>
      </c>
      <c r="F103" s="28" t="s">
        <v>129</v>
      </c>
      <c r="G103" s="37" t="s">
        <v>784</v>
      </c>
      <c r="H103" s="36" t="str">
        <f t="array" ref="H103">_xlfn.XLOOKUP($G103,Data!$E:$E,Data!$F:$F,"Revisar",0)</f>
        <v>MOTOROLA</v>
      </c>
      <c r="I103" s="36" t="str">
        <f t="array" ref="I103">_xlfn.XLOOKUP($G103,Data!$E:$E,Data!$G:$G,"Revisar",0)</f>
        <v>Entrepartners BOGOTA</v>
      </c>
      <c r="J103" s="27" t="s">
        <v>858</v>
      </c>
      <c r="K103" s="31">
        <v>515500</v>
      </c>
      <c r="L103" s="31">
        <v>97945</v>
      </c>
      <c r="M103" s="31">
        <v>0</v>
      </c>
      <c r="N103" s="31">
        <v>0</v>
      </c>
      <c r="O103" s="32">
        <f t="shared" ref="O103:O104" si="34">IF($R103="","",K103+L103+M103)</f>
        <v>613445</v>
      </c>
      <c r="P103" s="33">
        <f>IF($R103="","",-SUMIFS('Extractos bancarios - Manglar'!$C:$C,'Extractos bancarios - Manglar'!$M:$M,$R103))</f>
        <v>613445</v>
      </c>
      <c r="Q103" s="32">
        <f t="shared" ref="Q103:Q104" si="35">IF($R103="","",O103-N103-P103)</f>
        <v>0</v>
      </c>
      <c r="R103" s="28" t="s">
        <v>868</v>
      </c>
      <c r="S103" s="25">
        <v>46273</v>
      </c>
      <c r="T103" s="21" t="s">
        <v>903</v>
      </c>
      <c r="U103" s="35">
        <f t="shared" ca="1" si="3"/>
        <v>-50</v>
      </c>
      <c r="V103" s="33" t="str">
        <f t="shared" si="4"/>
        <v>Al dia</v>
      </c>
      <c r="W103" s="33" t="str">
        <f t="shared" si="25"/>
        <v>Si</v>
      </c>
      <c r="X103" s="36" t="str">
        <f t="shared" si="6"/>
        <v>Costo Ventas</v>
      </c>
      <c r="Y103" s="27" t="str">
        <f t="shared" si="26"/>
        <v>Si</v>
      </c>
      <c r="Z103" s="1"/>
      <c r="AA103" s="1"/>
    </row>
    <row r="104" spans="1:27" ht="15" customHeight="1" x14ac:dyDescent="0.3">
      <c r="A104" s="1" t="str">
        <f>VLOOKUP(E104,$B$168:$B$255,1,0)</f>
        <v>SMART DESIGN PUBLICIDAD SAS</v>
      </c>
      <c r="B104" s="46">
        <v>46275</v>
      </c>
      <c r="C104" s="46">
        <v>46275</v>
      </c>
      <c r="D104" s="47" t="str">
        <f t="shared" si="33"/>
        <v>Pagada</v>
      </c>
      <c r="E104" s="48" t="s">
        <v>127</v>
      </c>
      <c r="F104" s="49" t="s">
        <v>129</v>
      </c>
      <c r="G104" s="50" t="s">
        <v>882</v>
      </c>
      <c r="H104" s="51" t="str">
        <f t="array" ref="H104">_xlfn.XLOOKUP($G104,Data!$E:$E,Data!$F:$F,"Revisar",0)</f>
        <v>MOTOROLA</v>
      </c>
      <c r="I104" s="51" t="str">
        <f t="array" ref="I104">_xlfn.XLOOKUP($G104,Data!$E:$E,Data!$G:$G,"Revisar",0)</f>
        <v>Entrepartners CALI</v>
      </c>
      <c r="J104" s="48" t="s">
        <v>859</v>
      </c>
      <c r="K104" s="53">
        <f>237000/2</f>
        <v>118500</v>
      </c>
      <c r="L104" s="54">
        <f>45030/2</f>
        <v>22515</v>
      </c>
      <c r="M104" s="54">
        <v>0</v>
      </c>
      <c r="N104" s="54">
        <v>0</v>
      </c>
      <c r="O104" s="55">
        <f t="shared" si="34"/>
        <v>141015</v>
      </c>
      <c r="P104" s="164">
        <f>+O104</f>
        <v>141015</v>
      </c>
      <c r="Q104" s="55">
        <f t="shared" si="35"/>
        <v>0</v>
      </c>
      <c r="R104" s="49" t="s">
        <v>869</v>
      </c>
      <c r="S104" s="46">
        <v>46275</v>
      </c>
      <c r="T104" s="56"/>
      <c r="U104" s="57">
        <f t="shared" ca="1" si="3"/>
        <v>-48</v>
      </c>
      <c r="V104" s="58" t="str">
        <f t="shared" si="4"/>
        <v>Al dia</v>
      </c>
      <c r="W104" s="58" t="str">
        <f t="shared" si="25"/>
        <v>Si</v>
      </c>
      <c r="X104" s="51" t="str">
        <f t="shared" si="6"/>
        <v>Costo Ventas</v>
      </c>
      <c r="Y104" s="27" t="str">
        <f t="shared" si="26"/>
        <v>Si</v>
      </c>
      <c r="Z104" s="1"/>
      <c r="AA104" s="1"/>
    </row>
    <row r="105" spans="1:27" ht="15" customHeight="1" x14ac:dyDescent="0.3">
      <c r="A105" s="1" t="str">
        <f>VLOOKUP(E105,$B$168:$B$255,1,0)</f>
        <v>SMART DESIGN PUBLICIDAD SAS</v>
      </c>
      <c r="B105" s="46">
        <v>46275</v>
      </c>
      <c r="C105" s="46">
        <v>46275</v>
      </c>
      <c r="D105" s="47" t="str">
        <f t="shared" si="0"/>
        <v>Pagada</v>
      </c>
      <c r="E105" s="48" t="s">
        <v>127</v>
      </c>
      <c r="F105" s="49" t="s">
        <v>129</v>
      </c>
      <c r="G105" s="50" t="s">
        <v>883</v>
      </c>
      <c r="H105" s="51" t="str">
        <f t="array" ref="H105">_xlfn.XLOOKUP($G105,Data!$E:$E,Data!$F:$F,"Revisar",0)</f>
        <v>MOTOROLA</v>
      </c>
      <c r="I105" s="51" t="str">
        <f t="array" ref="I105">_xlfn.XLOOKUP($G105,Data!$E:$E,Data!$G:$G,"Revisar",0)</f>
        <v>Entrepartners MEDELLIN</v>
      </c>
      <c r="J105" s="48" t="s">
        <v>859</v>
      </c>
      <c r="K105" s="53">
        <f>237000/2</f>
        <v>118500</v>
      </c>
      <c r="L105" s="54">
        <f>45030/2</f>
        <v>22515</v>
      </c>
      <c r="M105" s="54">
        <v>0</v>
      </c>
      <c r="N105" s="54">
        <v>0</v>
      </c>
      <c r="O105" s="55">
        <f t="shared" si="1"/>
        <v>141015</v>
      </c>
      <c r="P105" s="164">
        <f>+O105</f>
        <v>141015</v>
      </c>
      <c r="Q105" s="55">
        <f t="shared" si="2"/>
        <v>0</v>
      </c>
      <c r="R105" s="49" t="s">
        <v>869</v>
      </c>
      <c r="S105" s="46">
        <v>46275</v>
      </c>
      <c r="T105" s="56"/>
      <c r="U105" s="57">
        <f t="shared" ca="1" si="3"/>
        <v>-48</v>
      </c>
      <c r="V105" s="58" t="str">
        <f t="shared" si="4"/>
        <v>Al dia</v>
      </c>
      <c r="W105" s="58" t="str">
        <f t="shared" si="25"/>
        <v>Si</v>
      </c>
      <c r="X105" s="51" t="str">
        <f t="shared" si="6"/>
        <v>Costo Ventas</v>
      </c>
      <c r="Y105" s="27" t="str">
        <f t="shared" si="26"/>
        <v>Si</v>
      </c>
      <c r="Z105" s="1"/>
      <c r="AA105" s="1"/>
    </row>
    <row r="106" spans="1:27" ht="15" customHeight="1" x14ac:dyDescent="0.3">
      <c r="A106" s="1" t="str">
        <f>VLOOKUP(E106,$B$168:$B$255,1,0)</f>
        <v>LIVEEX S.A.S</v>
      </c>
      <c r="B106" s="25">
        <v>46277</v>
      </c>
      <c r="C106" s="39"/>
      <c r="D106" s="26" t="str">
        <f t="shared" si="0"/>
        <v>Pendiente</v>
      </c>
      <c r="E106" s="27" t="s">
        <v>848</v>
      </c>
      <c r="F106" s="28" t="s">
        <v>229</v>
      </c>
      <c r="G106" s="27" t="s">
        <v>918</v>
      </c>
      <c r="H106" s="36" t="str">
        <f t="array" ref="H106">_xlfn.XLOOKUP($G106,Data!$E:$E,Data!$F:$F,"Revisar",0)</f>
        <v>Revisar</v>
      </c>
      <c r="I106" s="36" t="str">
        <f t="array" ref="I106">_xlfn.XLOOKUP($G106,Data!$E:$E,Data!$G:$G,"Revisar",0)</f>
        <v>Revisar</v>
      </c>
      <c r="J106" s="27" t="s">
        <v>860</v>
      </c>
      <c r="K106" s="31">
        <v>156294</v>
      </c>
      <c r="L106" s="31">
        <v>29696</v>
      </c>
      <c r="M106" s="31">
        <v>0</v>
      </c>
      <c r="N106" s="31">
        <v>0</v>
      </c>
      <c r="O106" s="32">
        <f t="shared" si="1"/>
        <v>185990</v>
      </c>
      <c r="P106" s="33">
        <f>IF($R106="","",-SUMIFS('Extractos bancarios - Manglar'!$C:$C,'Extractos bancarios - Manglar'!$M:$M,$R106))</f>
        <v>0</v>
      </c>
      <c r="Q106" s="32">
        <f t="shared" si="2"/>
        <v>185990</v>
      </c>
      <c r="R106" s="28" t="s">
        <v>870</v>
      </c>
      <c r="S106" s="25">
        <v>46277</v>
      </c>
      <c r="T106" s="166" t="s">
        <v>1038</v>
      </c>
      <c r="U106" s="35">
        <f t="shared" ca="1" si="3"/>
        <v>-46</v>
      </c>
      <c r="V106" s="33" t="str">
        <f t="shared" ca="1" si="4"/>
        <v>Vencida</v>
      </c>
      <c r="W106" s="33" t="s">
        <v>30</v>
      </c>
      <c r="X106" s="36" t="str">
        <f t="shared" si="6"/>
        <v>Por clasificar</v>
      </c>
      <c r="Y106" s="27" t="s">
        <v>30</v>
      </c>
      <c r="Z106" s="1"/>
      <c r="AA106" s="1"/>
    </row>
    <row r="107" spans="1:27" ht="15" customHeight="1" x14ac:dyDescent="0.3">
      <c r="A107" s="1" t="str">
        <f>VLOOKUP(E107,$B$168:$B$255,1,0)</f>
        <v>DS SERVICIOS COLOMBIA SAS</v>
      </c>
      <c r="B107" s="25">
        <v>46277</v>
      </c>
      <c r="C107" s="39">
        <v>46277</v>
      </c>
      <c r="D107" s="26" t="str">
        <f t="shared" si="0"/>
        <v>Pagada</v>
      </c>
      <c r="E107" s="27" t="s">
        <v>849</v>
      </c>
      <c r="F107" s="28" t="s">
        <v>850</v>
      </c>
      <c r="G107" s="27" t="s">
        <v>24</v>
      </c>
      <c r="H107" s="36" t="str">
        <f t="array" ref="H107">_xlfn.XLOOKUP($G107,Data!$E:$E,Data!$F:$F,"Revisar",0)</f>
        <v>NA</v>
      </c>
      <c r="I107" s="36" t="str">
        <f t="array" ref="I107">_xlfn.XLOOKUP($G107,Data!$E:$E,Data!$G:$G,"Revisar",0)</f>
        <v>NA</v>
      </c>
      <c r="J107" s="27" t="s">
        <v>526</v>
      </c>
      <c r="K107" s="31">
        <v>226210</v>
      </c>
      <c r="L107" s="31">
        <v>0</v>
      </c>
      <c r="M107" s="31">
        <v>0</v>
      </c>
      <c r="N107" s="31">
        <v>0</v>
      </c>
      <c r="O107" s="32">
        <f t="shared" si="1"/>
        <v>226210</v>
      </c>
      <c r="P107" s="33">
        <f>IF($R107="","",-SUMIFS('Extractos bancarios - Manglar'!$C:$C,'Extractos bancarios - Manglar'!$M:$M,$R107))</f>
        <v>226210</v>
      </c>
      <c r="Q107" s="32">
        <f t="shared" si="2"/>
        <v>0</v>
      </c>
      <c r="R107" s="28" t="s">
        <v>843</v>
      </c>
      <c r="S107" s="25">
        <v>46277</v>
      </c>
      <c r="T107" s="21" t="s">
        <v>582</v>
      </c>
      <c r="U107" s="35">
        <f t="shared" ca="1" si="3"/>
        <v>-46</v>
      </c>
      <c r="V107" s="33" t="str">
        <f t="shared" si="4"/>
        <v>Al dia</v>
      </c>
      <c r="W107" s="33" t="str">
        <f t="shared" si="25"/>
        <v>Si</v>
      </c>
      <c r="X107" s="36" t="str">
        <f t="shared" si="6"/>
        <v>Costos Operacionales</v>
      </c>
      <c r="Y107" s="27" t="str">
        <f t="shared" si="26"/>
        <v>Si</v>
      </c>
      <c r="Z107" s="1"/>
      <c r="AA107" s="1"/>
    </row>
    <row r="108" spans="1:27" ht="15" customHeight="1" x14ac:dyDescent="0.3">
      <c r="A108" s="1" t="str">
        <f>VLOOKUP(E108,$B$168:$B$255,1,0)</f>
        <v>GRUPO EMPRESARIAL KOJAK GRAPHIC S.A.S</v>
      </c>
      <c r="B108" s="25">
        <v>46273</v>
      </c>
      <c r="C108" s="39">
        <v>46253</v>
      </c>
      <c r="D108" s="26" t="str">
        <f t="shared" si="0"/>
        <v>Pagada</v>
      </c>
      <c r="E108" s="27" t="s">
        <v>74</v>
      </c>
      <c r="F108" s="28" t="s">
        <v>75</v>
      </c>
      <c r="G108" s="27" t="s">
        <v>268</v>
      </c>
      <c r="H108" s="36" t="str">
        <f t="array" ref="H108">_xlfn.XLOOKUP($G108,Data!$E:$E,Data!$F:$F,"Revisar",0)</f>
        <v>ANIXTER</v>
      </c>
      <c r="I108" s="36" t="str">
        <f t="array" ref="I108">_xlfn.XLOOKUP($G108,Data!$E:$E,Data!$G:$G,"Revisar",0)</f>
        <v>Almuerzo Evento Corferias ESS+</v>
      </c>
      <c r="J108" s="27" t="s">
        <v>861</v>
      </c>
      <c r="K108" s="31">
        <v>128571</v>
      </c>
      <c r="L108" s="31">
        <v>24429</v>
      </c>
      <c r="M108" s="31">
        <v>0</v>
      </c>
      <c r="N108" s="31">
        <v>0</v>
      </c>
      <c r="O108" s="32">
        <f t="shared" si="1"/>
        <v>153000</v>
      </c>
      <c r="P108" s="33">
        <f>IF($R108="","",-SUMIFS('Extractos bancarios - Manglar'!$C:$C,'Extractos bancarios - Manglar'!$M:$M,$R108))</f>
        <v>153000</v>
      </c>
      <c r="Q108" s="32">
        <f t="shared" si="2"/>
        <v>0</v>
      </c>
      <c r="R108" s="28" t="s">
        <v>871</v>
      </c>
      <c r="S108" s="25">
        <v>46273</v>
      </c>
      <c r="T108" s="21" t="s">
        <v>875</v>
      </c>
      <c r="U108" s="35">
        <f t="shared" ca="1" si="3"/>
        <v>-50</v>
      </c>
      <c r="V108" s="33" t="str">
        <f t="shared" si="4"/>
        <v>Al dia</v>
      </c>
      <c r="W108" s="33" t="str">
        <f t="shared" si="25"/>
        <v>Si</v>
      </c>
      <c r="X108" s="36" t="str">
        <f t="shared" si="6"/>
        <v>Costo Ventas</v>
      </c>
      <c r="Y108" s="27" t="str">
        <f t="shared" si="26"/>
        <v>Si</v>
      </c>
      <c r="Z108" s="1"/>
      <c r="AA108" s="1"/>
    </row>
    <row r="109" spans="1:27" ht="15" customHeight="1" x14ac:dyDescent="0.3">
      <c r="A109" s="1" t="str">
        <f>VLOOKUP(E109,$B$168:$B$255,1,0)</f>
        <v>IRCC SAS</v>
      </c>
      <c r="B109" s="25">
        <v>46275</v>
      </c>
      <c r="C109" s="39">
        <v>46275</v>
      </c>
      <c r="D109" s="26" t="str">
        <f t="shared" si="0"/>
        <v>Pagada</v>
      </c>
      <c r="E109" s="27" t="s">
        <v>552</v>
      </c>
      <c r="F109" s="28" t="s">
        <v>851</v>
      </c>
      <c r="G109" s="27" t="s">
        <v>784</v>
      </c>
      <c r="H109" s="36" t="str">
        <f t="array" ref="H109">_xlfn.XLOOKUP($G109,Data!$E:$E,Data!$F:$F,"Revisar",0)</f>
        <v>MOTOROLA</v>
      </c>
      <c r="I109" s="36" t="str">
        <f t="array" ref="I109">_xlfn.XLOOKUP($G109,Data!$E:$E,Data!$G:$G,"Revisar",0)</f>
        <v>Entrepartners BOGOTA</v>
      </c>
      <c r="J109" s="27" t="s">
        <v>862</v>
      </c>
      <c r="K109" s="31">
        <v>22222</v>
      </c>
      <c r="L109" s="31">
        <v>0</v>
      </c>
      <c r="M109" s="31">
        <v>1778</v>
      </c>
      <c r="N109" s="31">
        <v>0</v>
      </c>
      <c r="O109" s="32">
        <f t="shared" si="1"/>
        <v>24000</v>
      </c>
      <c r="P109" s="33">
        <f>IF($R109="","",-SUMIFS('Extractos bancarios - Manglar'!$C:$C,'Extractos bancarios - Manglar'!$M:$M,$R109))</f>
        <v>24000</v>
      </c>
      <c r="Q109" s="32">
        <f t="shared" si="2"/>
        <v>0</v>
      </c>
      <c r="R109" s="28" t="s">
        <v>842</v>
      </c>
      <c r="S109" s="25">
        <v>46275</v>
      </c>
      <c r="T109" s="21" t="s">
        <v>876</v>
      </c>
      <c r="U109" s="35">
        <f t="shared" ca="1" si="3"/>
        <v>-48</v>
      </c>
      <c r="V109" s="33" t="str">
        <f t="shared" si="4"/>
        <v>Al dia</v>
      </c>
      <c r="W109" s="33" t="str">
        <f t="shared" si="25"/>
        <v>Si</v>
      </c>
      <c r="X109" s="36" t="str">
        <f t="shared" si="6"/>
        <v>Costo Ventas</v>
      </c>
      <c r="Y109" s="27" t="str">
        <f t="shared" si="26"/>
        <v>Si</v>
      </c>
      <c r="Z109" s="1"/>
      <c r="AA109" s="1"/>
    </row>
    <row r="110" spans="1:27" ht="15" customHeight="1" x14ac:dyDescent="0.3">
      <c r="A110" s="1" t="str">
        <f>VLOOKUP(E110,$B$168:$B$255,1,0)</f>
        <v>FERNEY MORENO CARDOZO</v>
      </c>
      <c r="B110" s="25">
        <v>46273</v>
      </c>
      <c r="C110" s="39">
        <v>46278</v>
      </c>
      <c r="D110" s="26" t="str">
        <f t="shared" si="0"/>
        <v>Saldo a favor</v>
      </c>
      <c r="E110" s="27" t="s">
        <v>852</v>
      </c>
      <c r="F110" s="28" t="s">
        <v>853</v>
      </c>
      <c r="G110" s="27" t="s">
        <v>24</v>
      </c>
      <c r="H110" s="36" t="str">
        <f t="array" ref="H110">_xlfn.XLOOKUP($G110,Data!$E:$E,Data!$F:$F,"Revisar",0)</f>
        <v>NA</v>
      </c>
      <c r="I110" s="36" t="str">
        <f t="array" ref="I110">_xlfn.XLOOKUP($G110,Data!$E:$E,Data!$G:$G,"Revisar",0)</f>
        <v>NA</v>
      </c>
      <c r="J110" s="27" t="s">
        <v>863</v>
      </c>
      <c r="K110" s="31">
        <v>2000000</v>
      </c>
      <c r="L110" s="31">
        <v>0</v>
      </c>
      <c r="M110" s="31">
        <v>0</v>
      </c>
      <c r="N110" s="31">
        <v>0</v>
      </c>
      <c r="O110" s="32">
        <f t="shared" si="1"/>
        <v>2000000</v>
      </c>
      <c r="P110" s="33">
        <f>IF($R110="","",-SUMIFS('Extractos bancarios - Manglar'!$C:$C,'Extractos bancarios - Manglar'!$M:$M,$R110))</f>
        <v>2150000</v>
      </c>
      <c r="Q110" s="32">
        <f t="shared" si="2"/>
        <v>-150000</v>
      </c>
      <c r="R110" s="28" t="s">
        <v>872</v>
      </c>
      <c r="S110" s="25">
        <v>46273</v>
      </c>
      <c r="T110" s="21" t="s">
        <v>877</v>
      </c>
      <c r="U110" s="35">
        <f t="shared" ca="1" si="3"/>
        <v>-50</v>
      </c>
      <c r="V110" s="33" t="str">
        <f t="shared" si="4"/>
        <v>Al dia</v>
      </c>
      <c r="W110" s="33" t="s">
        <v>30</v>
      </c>
      <c r="X110" s="36" t="str">
        <f t="shared" si="6"/>
        <v>Costos Operacionales</v>
      </c>
      <c r="Y110" s="27" t="str">
        <f t="shared" si="26"/>
        <v>Si</v>
      </c>
      <c r="Z110" s="1"/>
      <c r="AA110" s="1"/>
    </row>
    <row r="111" spans="1:27" ht="15" customHeight="1" x14ac:dyDescent="0.3">
      <c r="A111" s="1" t="str">
        <f>VLOOKUP(E111,$B$168:$B$255,1,0)</f>
        <v>ATELIER S2DIO FOTOGRAFIA PRODUCCION Y TURISMO SAS BIC</v>
      </c>
      <c r="B111" s="25">
        <v>46279</v>
      </c>
      <c r="C111" s="39">
        <v>46286</v>
      </c>
      <c r="D111" s="26" t="str">
        <f t="shared" si="0"/>
        <v>Pagada</v>
      </c>
      <c r="E111" s="27" t="s">
        <v>921</v>
      </c>
      <c r="F111" s="28" t="s">
        <v>922</v>
      </c>
      <c r="G111" s="27" t="s">
        <v>763</v>
      </c>
      <c r="H111" s="36" t="str">
        <f t="array" ref="H111">_xlfn.XLOOKUP($G111,Data!$E:$E,Data!$F:$F,"Revisar",0)</f>
        <v>Kaspersky</v>
      </c>
      <c r="I111" s="36" t="str">
        <f t="array" ref="I111">_xlfn.XLOOKUP($G111,Data!$E:$E,Data!$G:$G,"Revisar",0)</f>
        <v>Actividades Kaspersky Sep</v>
      </c>
      <c r="J111" s="27" t="s">
        <v>926</v>
      </c>
      <c r="K111" s="31">
        <v>735000</v>
      </c>
      <c r="L111" s="31">
        <v>139650</v>
      </c>
      <c r="M111" s="31">
        <v>0</v>
      </c>
      <c r="N111" s="31">
        <v>0</v>
      </c>
      <c r="O111" s="32">
        <f t="shared" si="1"/>
        <v>874650</v>
      </c>
      <c r="P111" s="33">
        <f>IF($R111="","",-SUMIFS('Extractos bancarios - Manglar'!$C:$C,'Extractos bancarios - Manglar'!$M:$M,$R111))</f>
        <v>874650</v>
      </c>
      <c r="Q111" s="32">
        <f t="shared" si="2"/>
        <v>0</v>
      </c>
      <c r="R111" s="28" t="s">
        <v>919</v>
      </c>
      <c r="S111" s="25">
        <v>46279</v>
      </c>
      <c r="T111" s="21" t="s">
        <v>930</v>
      </c>
      <c r="U111" s="35">
        <f t="shared" ca="1" si="3"/>
        <v>-44</v>
      </c>
      <c r="V111" s="33" t="str">
        <f t="shared" si="4"/>
        <v>Al dia</v>
      </c>
      <c r="W111" s="33" t="str">
        <f t="shared" si="25"/>
        <v>Si</v>
      </c>
      <c r="X111" s="36" t="str">
        <f t="shared" si="6"/>
        <v>Costo Ventas</v>
      </c>
      <c r="Y111" s="27" t="str">
        <f t="shared" si="26"/>
        <v>Si</v>
      </c>
      <c r="Z111" s="1"/>
      <c r="AA111" s="1"/>
    </row>
    <row r="112" spans="1:27" ht="15" customHeight="1" x14ac:dyDescent="0.3">
      <c r="A112" s="1" t="str">
        <f>VLOOKUP(E112,$B$168:$B$255,1,0)</f>
        <v>SMART DESIGN PUBLICIDAD SAS</v>
      </c>
      <c r="B112" s="25">
        <v>46283</v>
      </c>
      <c r="C112" s="39">
        <v>46287</v>
      </c>
      <c r="D112" s="26" t="str">
        <f t="shared" ref="D112:D113" si="36">IF($R112="","",IF(ABS(Q112)&lt;1,"Pagada",IF(Q112&lt;0,IF(O112&lt;0,"Nota credito","Saldo a favor"),IF(P112&lt;&gt;0,"Parcial","Pendiente"))))</f>
        <v>Pagada</v>
      </c>
      <c r="E112" s="27" t="s">
        <v>127</v>
      </c>
      <c r="F112" s="28" t="s">
        <v>129</v>
      </c>
      <c r="G112" s="27" t="s">
        <v>937</v>
      </c>
      <c r="H112" s="36" t="str">
        <f t="array" ref="H112">_xlfn.XLOOKUP($G112,Data!$E:$E,Data!$F:$F,"Revisar",0)</f>
        <v>INNOVAITORS</v>
      </c>
      <c r="I112" s="36" t="str">
        <f t="array" ref="I112">_xlfn.XLOOKUP($G112,Data!$E:$E,Data!$G:$G,"Revisar",0)</f>
        <v>Kits Octubre</v>
      </c>
      <c r="J112" s="27" t="s">
        <v>927</v>
      </c>
      <c r="K112" s="31">
        <v>700000</v>
      </c>
      <c r="L112" s="31">
        <v>133000</v>
      </c>
      <c r="M112" s="31">
        <v>0</v>
      </c>
      <c r="N112" s="31">
        <v>0</v>
      </c>
      <c r="O112" s="32">
        <f t="shared" ref="O112:O113" si="37">IF($R112="","",K112+L112+M112)</f>
        <v>833000</v>
      </c>
      <c r="P112" s="33">
        <f>IF($R112="","",-SUMIFS('Extractos bancarios - Manglar'!$C:$C,'Extractos bancarios - Manglar'!$M:$M,$R112))</f>
        <v>833000</v>
      </c>
      <c r="Q112" s="32">
        <f t="shared" ref="Q112:Q113" si="38">IF($R112="","",O112-N112-P112)</f>
        <v>0</v>
      </c>
      <c r="R112" s="28" t="s">
        <v>920</v>
      </c>
      <c r="S112" s="25">
        <v>46283</v>
      </c>
      <c r="T112" s="21"/>
      <c r="U112" s="35">
        <f t="shared" ca="1" si="3"/>
        <v>-40</v>
      </c>
      <c r="V112" s="33" t="str">
        <f t="shared" si="4"/>
        <v>Al dia</v>
      </c>
      <c r="W112" s="33" t="str">
        <f t="shared" si="25"/>
        <v>Si</v>
      </c>
      <c r="X112" s="36" t="str">
        <f t="shared" si="6"/>
        <v>Costo Ventas</v>
      </c>
      <c r="Y112" s="27" t="str">
        <f t="shared" si="26"/>
        <v>Si</v>
      </c>
      <c r="Z112" s="1"/>
      <c r="AA112" s="1"/>
    </row>
    <row r="113" spans="1:27" ht="15" customHeight="1" x14ac:dyDescent="0.3">
      <c r="A113" s="1" t="str">
        <f>VLOOKUP(E113,$B$168:$B$255,1,0)</f>
        <v>AEROVIAS DE INTEGRACION REGIONAL S.A. (LATAM)</v>
      </c>
      <c r="B113" s="46">
        <v>46283</v>
      </c>
      <c r="C113" s="46">
        <v>46294</v>
      </c>
      <c r="D113" s="47" t="str">
        <f t="shared" si="36"/>
        <v>Pagada</v>
      </c>
      <c r="E113" s="48" t="s">
        <v>948</v>
      </c>
      <c r="F113" s="49" t="s">
        <v>923</v>
      </c>
      <c r="G113" s="50" t="s">
        <v>882</v>
      </c>
      <c r="H113" s="51" t="str">
        <f t="array" ref="H113">_xlfn.XLOOKUP($G113,Data!$E:$E,Data!$F:$F,"Revisar",0)</f>
        <v>MOTOROLA</v>
      </c>
      <c r="I113" s="51" t="str">
        <f t="array" ref="I113">_xlfn.XLOOKUP($G113,Data!$E:$E,Data!$G:$G,"Revisar",0)</f>
        <v>Entrepartners CALI</v>
      </c>
      <c r="J113" s="48" t="s">
        <v>928</v>
      </c>
      <c r="K113" s="53">
        <f>336700/2</f>
        <v>168350</v>
      </c>
      <c r="L113" s="54">
        <f>63970/2</f>
        <v>31985</v>
      </c>
      <c r="M113" s="54">
        <v>11850</v>
      </c>
      <c r="N113" s="54">
        <v>0</v>
      </c>
      <c r="O113" s="55">
        <f t="shared" si="37"/>
        <v>212185</v>
      </c>
      <c r="P113" s="171">
        <f>IF($R113="","",-SUMIFS('Extractos bancarios - Manglar'!$C:$C,'Extractos bancarios - Manglar'!$M:$M,$R113))</f>
        <v>212185</v>
      </c>
      <c r="Q113" s="55">
        <f t="shared" si="38"/>
        <v>0</v>
      </c>
      <c r="R113" s="49" t="s">
        <v>950</v>
      </c>
      <c r="S113" s="46">
        <v>46283</v>
      </c>
      <c r="T113" s="56" t="s">
        <v>940</v>
      </c>
      <c r="U113" s="57">
        <f t="shared" ca="1" si="3"/>
        <v>-40</v>
      </c>
      <c r="V113" s="58" t="str">
        <f t="shared" si="4"/>
        <v>Al dia</v>
      </c>
      <c r="W113" s="58" t="str">
        <f t="shared" si="25"/>
        <v>Si</v>
      </c>
      <c r="X113" s="51" t="str">
        <f t="shared" si="6"/>
        <v>Costo Ventas</v>
      </c>
      <c r="Y113" s="27" t="str">
        <f t="shared" si="26"/>
        <v>Si</v>
      </c>
      <c r="Z113" s="1"/>
      <c r="AA113" s="1"/>
    </row>
    <row r="114" spans="1:27" ht="15" customHeight="1" x14ac:dyDescent="0.3">
      <c r="A114" s="1" t="str">
        <f>VLOOKUP(E114,$B$168:$B$255,1,0)</f>
        <v>AEROVIAS DE INTEGRACION REGIONAL S.A. (LATAM)</v>
      </c>
      <c r="B114" s="46">
        <v>46283</v>
      </c>
      <c r="C114" s="46">
        <v>46294</v>
      </c>
      <c r="D114" s="47" t="str">
        <f t="shared" ref="D114" si="39">IF($R114="","",IF(ABS(Q114)&lt;1,"Pagada",IF(Q114&lt;0,IF(O114&lt;0,"Nota credito","Saldo a favor"),IF(P114&lt;&gt;0,"Parcial","Pendiente"))))</f>
        <v>Pagada</v>
      </c>
      <c r="E114" s="48" t="s">
        <v>948</v>
      </c>
      <c r="F114" s="49" t="s">
        <v>923</v>
      </c>
      <c r="G114" s="50" t="s">
        <v>883</v>
      </c>
      <c r="H114" s="51" t="str">
        <f t="array" ref="H114">_xlfn.XLOOKUP($G114,Data!$E:$E,Data!$F:$F,"Revisar",0)</f>
        <v>MOTOROLA</v>
      </c>
      <c r="I114" s="51" t="str">
        <f t="array" ref="I114">_xlfn.XLOOKUP($G114,Data!$E:$E,Data!$G:$G,"Revisar",0)</f>
        <v>Entrepartners MEDELLIN</v>
      </c>
      <c r="J114" s="48" t="s">
        <v>928</v>
      </c>
      <c r="K114" s="53">
        <f>336700/2</f>
        <v>168350</v>
      </c>
      <c r="L114" s="54">
        <f>63970/2</f>
        <v>31985</v>
      </c>
      <c r="M114" s="54">
        <v>11850</v>
      </c>
      <c r="N114" s="54">
        <v>0</v>
      </c>
      <c r="O114" s="55">
        <f t="shared" ref="O114" si="40">IF($R114="","",K114+L114+M114)</f>
        <v>212185</v>
      </c>
      <c r="P114" s="171">
        <f>IF($R114="","",-SUMIFS('Extractos bancarios - Manglar'!$C:$C,'Extractos bancarios - Manglar'!$M:$M,$R114))</f>
        <v>212185</v>
      </c>
      <c r="Q114" s="55">
        <f t="shared" ref="Q114" si="41">IF($R114="","",O114-N114-P114)</f>
        <v>0</v>
      </c>
      <c r="R114" s="49" t="s">
        <v>951</v>
      </c>
      <c r="S114" s="46">
        <v>46283</v>
      </c>
      <c r="T114" s="56" t="s">
        <v>940</v>
      </c>
      <c r="U114" s="57">
        <f t="shared" ca="1" si="3"/>
        <v>-40</v>
      </c>
      <c r="V114" s="58" t="str">
        <f t="shared" si="4"/>
        <v>Al dia</v>
      </c>
      <c r="W114" s="58" t="str">
        <f t="shared" si="25"/>
        <v>Si</v>
      </c>
      <c r="X114" s="51" t="str">
        <f t="shared" si="6"/>
        <v>Costo Ventas</v>
      </c>
      <c r="Y114" s="27" t="str">
        <f t="shared" si="26"/>
        <v>Si</v>
      </c>
      <c r="Z114" s="1"/>
      <c r="AA114" s="1"/>
    </row>
    <row r="115" spans="1:27" ht="15" customHeight="1" x14ac:dyDescent="0.3">
      <c r="A115" s="1" t="str">
        <f>VLOOKUP(E115,$B$168:$B$255,1,0)</f>
        <v>JULIANA BERMUDEZ MOJICA</v>
      </c>
      <c r="B115" s="25">
        <v>46273</v>
      </c>
      <c r="C115" s="25">
        <v>46303</v>
      </c>
      <c r="D115" s="26" t="str">
        <f t="shared" ref="D115" si="42">IF($R115="","",IF(ABS(Q115)&lt;1,"Pagada",IF(Q115&lt;0,IF(O115&lt;0,"Nota credito","Saldo a favor"),IF(P115&lt;&gt;0,"Parcial","Pendiente"))))</f>
        <v>Pagada</v>
      </c>
      <c r="E115" s="27" t="s">
        <v>924</v>
      </c>
      <c r="F115" s="28" t="s">
        <v>925</v>
      </c>
      <c r="G115" s="27" t="s">
        <v>268</v>
      </c>
      <c r="H115" s="36" t="str">
        <f t="array" ref="H115">_xlfn.XLOOKUP($G115,Data!$E:$E,Data!$F:$F,"Revisar",0)</f>
        <v>ANIXTER</v>
      </c>
      <c r="I115" s="36" t="str">
        <f t="array" ref="I115">_xlfn.XLOOKUP($G115,Data!$E:$E,Data!$G:$G,"Revisar",0)</f>
        <v>Almuerzo Evento Corferias ESS+</v>
      </c>
      <c r="J115" s="27" t="s">
        <v>832</v>
      </c>
      <c r="K115" s="31">
        <v>150000</v>
      </c>
      <c r="L115" s="31">
        <v>0</v>
      </c>
      <c r="M115" s="31">
        <v>0</v>
      </c>
      <c r="N115" s="31">
        <v>0</v>
      </c>
      <c r="O115" s="32">
        <f t="shared" ref="O115" si="43">IF($R115="","",K115+L115+M115)</f>
        <v>150000</v>
      </c>
      <c r="P115" s="33">
        <f>IF($R115="","",-SUMIFS('Extractos bancarios - Manglar'!$C:$C,'Extractos bancarios - Manglar'!$M:$M,$R115))</f>
        <v>150000</v>
      </c>
      <c r="Q115" s="32">
        <f t="shared" ref="Q115" si="44">IF($R115="","",O115-N115-P115)</f>
        <v>0</v>
      </c>
      <c r="R115" s="28" t="s">
        <v>929</v>
      </c>
      <c r="S115" s="25">
        <v>46273</v>
      </c>
      <c r="T115" s="21" t="s">
        <v>931</v>
      </c>
      <c r="U115" s="35">
        <f t="shared" ca="1" si="3"/>
        <v>-50</v>
      </c>
      <c r="V115" s="33" t="str">
        <f t="shared" si="4"/>
        <v>Al dia</v>
      </c>
      <c r="W115" s="33" t="str">
        <f t="shared" si="25"/>
        <v>Si</v>
      </c>
      <c r="X115" s="36" t="str">
        <f t="shared" si="6"/>
        <v>Costo Ventas</v>
      </c>
      <c r="Y115" s="27" t="str">
        <f t="shared" si="26"/>
        <v>Si</v>
      </c>
      <c r="Z115" s="1"/>
      <c r="AA115" s="1"/>
    </row>
    <row r="116" spans="1:27" ht="15" customHeight="1" x14ac:dyDescent="0.3">
      <c r="A116" s="1" t="str">
        <f>VLOOKUP(E116,$B$168:$B$255,1,0)</f>
        <v>SMART DESIGN PUBLICIDAD SAS</v>
      </c>
      <c r="B116" s="25">
        <v>46287</v>
      </c>
      <c r="C116" s="25">
        <v>46287</v>
      </c>
      <c r="D116" s="26" t="str">
        <f t="shared" ref="D116:D117" si="45">IF($R116="","",IF(ABS(Q116)&lt;1,"Pagada",IF(Q116&lt;0,IF(O116&lt;0,"Nota credito","Saldo a favor"),IF(P116&lt;&gt;0,"Parcial","Pendiente"))))</f>
        <v>Pagada</v>
      </c>
      <c r="E116" s="27" t="s">
        <v>127</v>
      </c>
      <c r="F116" s="28" t="s">
        <v>129</v>
      </c>
      <c r="G116" s="27" t="s">
        <v>763</v>
      </c>
      <c r="H116" s="36" t="str">
        <f t="array" ref="H116">_xlfn.XLOOKUP($G116,Data!$E:$E,Data!$F:$F,"Revisar",0)</f>
        <v>Kaspersky</v>
      </c>
      <c r="I116" s="36" t="str">
        <f t="array" ref="I116">_xlfn.XLOOKUP($G116,Data!$E:$E,Data!$G:$G,"Revisar",0)</f>
        <v>Actividades Kaspersky Sep</v>
      </c>
      <c r="J116" s="27" t="s">
        <v>945</v>
      </c>
      <c r="K116" s="31">
        <v>63500</v>
      </c>
      <c r="L116" s="31">
        <v>12065</v>
      </c>
      <c r="M116" s="31">
        <v>0</v>
      </c>
      <c r="N116" s="31">
        <v>0</v>
      </c>
      <c r="O116" s="32">
        <f t="shared" ref="O116:O117" si="46">IF($R116="","",K116+L116+M116)</f>
        <v>75565</v>
      </c>
      <c r="P116" s="33">
        <f>IF($R116="","",-SUMIFS('Extractos bancarios - Manglar'!$C:$C,'Extractos bancarios - Manglar'!$M:$M,$R116))</f>
        <v>75565</v>
      </c>
      <c r="Q116" s="32">
        <f t="shared" ref="Q116:Q117" si="47">IF($R116="","",O116-N116-P116)</f>
        <v>0</v>
      </c>
      <c r="R116" s="28" t="s">
        <v>944</v>
      </c>
      <c r="S116" s="25">
        <v>46287</v>
      </c>
      <c r="T116" s="21" t="s">
        <v>946</v>
      </c>
      <c r="U116" s="35">
        <f t="shared" ca="1" si="3"/>
        <v>-36</v>
      </c>
      <c r="V116" s="33" t="str">
        <f t="shared" si="4"/>
        <v>Al dia</v>
      </c>
      <c r="W116" s="33" t="str">
        <f t="shared" si="25"/>
        <v>Si</v>
      </c>
      <c r="X116" s="36" t="str">
        <f t="shared" si="6"/>
        <v>Costo Ventas</v>
      </c>
      <c r="Y116" s="27" t="str">
        <f t="shared" si="26"/>
        <v>Si</v>
      </c>
      <c r="Z116" s="1"/>
      <c r="AA116" s="1"/>
    </row>
    <row r="117" spans="1:27" ht="15" customHeight="1" x14ac:dyDescent="0.3">
      <c r="A117" s="1" t="str">
        <f>VLOOKUP(E117,$B$168:$B$255,1,0)</f>
        <v>LINEMARKETING Y EVENTOS S.A.S.</v>
      </c>
      <c r="B117" s="46">
        <v>46286</v>
      </c>
      <c r="C117" s="46"/>
      <c r="D117" s="47" t="str">
        <f t="shared" si="45"/>
        <v>Pagada</v>
      </c>
      <c r="E117" s="48" t="s">
        <v>978</v>
      </c>
      <c r="F117" s="49" t="s">
        <v>111</v>
      </c>
      <c r="G117" s="50" t="s">
        <v>784</v>
      </c>
      <c r="H117" s="51" t="str">
        <f t="array" ref="H117">_xlfn.XLOOKUP($G117,Data!$E:$E,Data!$F:$F,"Revisar",0)</f>
        <v>MOTOROLA</v>
      </c>
      <c r="I117" s="51" t="str">
        <f t="array" ref="I117">_xlfn.XLOOKUP($G117,Data!$E:$E,Data!$G:$G,"Revisar",0)</f>
        <v>Entrepartners BOGOTA</v>
      </c>
      <c r="J117" s="48" t="s">
        <v>993</v>
      </c>
      <c r="K117" s="53">
        <f>5028000/3</f>
        <v>1676000</v>
      </c>
      <c r="L117" s="54">
        <f>955320/3</f>
        <v>318440</v>
      </c>
      <c r="M117" s="54">
        <v>0</v>
      </c>
      <c r="N117" s="54">
        <v>0</v>
      </c>
      <c r="O117" s="55">
        <f t="shared" si="46"/>
        <v>1994440</v>
      </c>
      <c r="P117" s="171">
        <f>IF($R117="","",-SUMIFS('Extractos bancarios - Manglar'!$C:$C,'Extractos bancarios - Manglar'!$M:$M,$R117))</f>
        <v>1994440</v>
      </c>
      <c r="Q117" s="55">
        <f t="shared" si="47"/>
        <v>0</v>
      </c>
      <c r="R117" s="49" t="s">
        <v>1034</v>
      </c>
      <c r="S117" s="46">
        <f>+B117+30</f>
        <v>46316</v>
      </c>
      <c r="T117" s="56" t="s">
        <v>1037</v>
      </c>
      <c r="U117" s="57">
        <f t="shared" ca="1" si="3"/>
        <v>-7</v>
      </c>
      <c r="V117" s="58" t="str">
        <f t="shared" si="4"/>
        <v>Al dia</v>
      </c>
      <c r="W117" s="58" t="str">
        <f t="shared" si="25"/>
        <v>Si</v>
      </c>
      <c r="X117" s="51" t="str">
        <f t="shared" si="6"/>
        <v>Costo Ventas</v>
      </c>
      <c r="Y117" s="27" t="str">
        <f t="shared" si="26"/>
        <v>Si</v>
      </c>
      <c r="Z117" s="1"/>
      <c r="AA117" s="1"/>
    </row>
    <row r="118" spans="1:27" ht="15" customHeight="1" x14ac:dyDescent="0.3">
      <c r="A118" s="1" t="str">
        <f>VLOOKUP(E118,$B$168:$B$255,1,0)</f>
        <v>LINEMARKETING Y EVENTOS S.A.S.</v>
      </c>
      <c r="B118" s="46">
        <v>46286</v>
      </c>
      <c r="C118" s="46"/>
      <c r="D118" s="47" t="str">
        <f t="shared" ref="D118" si="48">IF($R118="","",IF(ABS(Q118)&lt;1,"Pagada",IF(Q118&lt;0,IF(O118&lt;0,"Nota credito","Saldo a favor"),IF(P118&lt;&gt;0,"Parcial","Pendiente"))))</f>
        <v>Pagada</v>
      </c>
      <c r="E118" s="48" t="s">
        <v>978</v>
      </c>
      <c r="F118" s="49" t="s">
        <v>111</v>
      </c>
      <c r="G118" s="50" t="s">
        <v>882</v>
      </c>
      <c r="H118" s="51" t="str">
        <f t="array" ref="H118">_xlfn.XLOOKUP($G118,Data!$E:$E,Data!$F:$F,"Revisar",0)</f>
        <v>MOTOROLA</v>
      </c>
      <c r="I118" s="51" t="str">
        <f t="array" ref="I118">_xlfn.XLOOKUP($G118,Data!$E:$E,Data!$G:$G,"Revisar",0)</f>
        <v>Entrepartners CALI</v>
      </c>
      <c r="J118" s="48" t="s">
        <v>993</v>
      </c>
      <c r="K118" s="53">
        <f>5028000/3</f>
        <v>1676000</v>
      </c>
      <c r="L118" s="54">
        <f>955320/3</f>
        <v>318440</v>
      </c>
      <c r="M118" s="54">
        <v>0</v>
      </c>
      <c r="N118" s="54">
        <v>0</v>
      </c>
      <c r="O118" s="55">
        <f t="shared" ref="O118" si="49">IF($R118="","",K118+L118+M118)</f>
        <v>1994440</v>
      </c>
      <c r="P118" s="171">
        <f>IF($R118="","",-SUMIFS('Extractos bancarios - Manglar'!$C:$C,'Extractos bancarios - Manglar'!$M:$M,$R118))</f>
        <v>1994440</v>
      </c>
      <c r="Q118" s="55">
        <f t="shared" ref="Q118" si="50">IF($R118="","",O118-N118-P118)</f>
        <v>0</v>
      </c>
      <c r="R118" s="49" t="s">
        <v>1035</v>
      </c>
      <c r="S118" s="46">
        <f>+B118+30</f>
        <v>46316</v>
      </c>
      <c r="T118" s="56" t="s">
        <v>1037</v>
      </c>
      <c r="U118" s="57">
        <f t="shared" ca="1" si="3"/>
        <v>-7</v>
      </c>
      <c r="V118" s="58" t="str">
        <f t="shared" si="4"/>
        <v>Al dia</v>
      </c>
      <c r="W118" s="58" t="str">
        <f t="shared" si="25"/>
        <v>Si</v>
      </c>
      <c r="X118" s="51" t="str">
        <f t="shared" si="6"/>
        <v>Costo Ventas</v>
      </c>
      <c r="Y118" s="27" t="str">
        <f t="shared" si="26"/>
        <v>Si</v>
      </c>
      <c r="Z118" s="1"/>
      <c r="AA118" s="1"/>
    </row>
    <row r="119" spans="1:27" ht="15" customHeight="1" x14ac:dyDescent="0.3">
      <c r="A119" s="1" t="str">
        <f>VLOOKUP(E119,$B$168:$B$255,1,0)</f>
        <v>LINEMARKETING Y EVENTOS S.A.S.</v>
      </c>
      <c r="B119" s="46">
        <v>46286</v>
      </c>
      <c r="C119" s="46"/>
      <c r="D119" s="47" t="str">
        <f t="shared" ref="D119" si="51">IF($R119="","",IF(ABS(Q119)&lt;1,"Pagada",IF(Q119&lt;0,IF(O119&lt;0,"Nota credito","Saldo a favor"),IF(P119&lt;&gt;0,"Parcial","Pendiente"))))</f>
        <v>Pagada</v>
      </c>
      <c r="E119" s="48" t="s">
        <v>978</v>
      </c>
      <c r="F119" s="49" t="s">
        <v>111</v>
      </c>
      <c r="G119" s="50" t="s">
        <v>883</v>
      </c>
      <c r="H119" s="51" t="str">
        <f t="array" ref="H119">_xlfn.XLOOKUP($G119,Data!$E:$E,Data!$F:$F,"Revisar",0)</f>
        <v>MOTOROLA</v>
      </c>
      <c r="I119" s="51" t="str">
        <f t="array" ref="I119">_xlfn.XLOOKUP($G119,Data!$E:$E,Data!$G:$G,"Revisar",0)</f>
        <v>Entrepartners MEDELLIN</v>
      </c>
      <c r="J119" s="48" t="s">
        <v>993</v>
      </c>
      <c r="K119" s="53">
        <f>5028000/3</f>
        <v>1676000</v>
      </c>
      <c r="L119" s="54">
        <f>955320/3</f>
        <v>318440</v>
      </c>
      <c r="M119" s="54">
        <v>0</v>
      </c>
      <c r="N119" s="54">
        <v>0</v>
      </c>
      <c r="O119" s="55">
        <f t="shared" ref="O119" si="52">IF($R119="","",K119+L119+M119)</f>
        <v>1994440</v>
      </c>
      <c r="P119" s="171">
        <f>IF($R119="","",-SUMIFS('Extractos bancarios - Manglar'!$C:$C,'Extractos bancarios - Manglar'!$M:$M,$R119))</f>
        <v>1994440</v>
      </c>
      <c r="Q119" s="55">
        <f t="shared" ref="Q119" si="53">IF($R119="","",O119-N119-P119)</f>
        <v>0</v>
      </c>
      <c r="R119" s="49" t="s">
        <v>1036</v>
      </c>
      <c r="S119" s="46">
        <f>+B119+30</f>
        <v>46316</v>
      </c>
      <c r="T119" s="56" t="s">
        <v>1037</v>
      </c>
      <c r="U119" s="57">
        <f t="shared" ca="1" si="3"/>
        <v>-7</v>
      </c>
      <c r="V119" s="58" t="str">
        <f t="shared" si="4"/>
        <v>Al dia</v>
      </c>
      <c r="W119" s="58" t="str">
        <f t="shared" si="25"/>
        <v>Si</v>
      </c>
      <c r="X119" s="51" t="str">
        <f t="shared" si="6"/>
        <v>Costo Ventas</v>
      </c>
      <c r="Y119" s="27" t="str">
        <f t="shared" si="26"/>
        <v>Si</v>
      </c>
      <c r="Z119" s="1"/>
      <c r="AA119" s="1"/>
    </row>
    <row r="120" spans="1:27" ht="15" customHeight="1" x14ac:dyDescent="0.3">
      <c r="A120" s="1" t="str">
        <f>VLOOKUP(E120,$B$168:$B$255,1,0)</f>
        <v>HOTELES ESTELAR S.A.</v>
      </c>
      <c r="B120" s="25">
        <v>46287</v>
      </c>
      <c r="C120" s="25">
        <v>46287</v>
      </c>
      <c r="D120" s="26" t="str">
        <f t="shared" ref="D120" si="54">IF($R120="","",IF(ABS(Q120)&lt;1,"Pagada",IF(Q120&lt;0,IF(O120&lt;0,"Nota credito","Saldo a favor"),IF(P120&lt;&gt;0,"Parcial","Pendiente"))))</f>
        <v>Pagada</v>
      </c>
      <c r="E120" s="27" t="s">
        <v>979</v>
      </c>
      <c r="F120" s="28" t="s">
        <v>980</v>
      </c>
      <c r="G120" s="27" t="s">
        <v>882</v>
      </c>
      <c r="H120" s="36" t="str">
        <f t="array" ref="H120">_xlfn.XLOOKUP($G120,Data!$E:$E,Data!$F:$F,"Revisar",0)</f>
        <v>MOTOROLA</v>
      </c>
      <c r="I120" s="36" t="str">
        <f t="array" ref="I120">_xlfn.XLOOKUP($G120,Data!$E:$E,Data!$G:$G,"Revisar",0)</f>
        <v>Entrepartners CALI</v>
      </c>
      <c r="J120" s="27" t="s">
        <v>994</v>
      </c>
      <c r="K120" s="31">
        <v>3377000</v>
      </c>
      <c r="L120" s="31">
        <v>345230</v>
      </c>
      <c r="M120" s="31">
        <v>124800</v>
      </c>
      <c r="N120" s="31">
        <v>0</v>
      </c>
      <c r="O120" s="32">
        <f t="shared" ref="O120" si="55">IF($R120="","",K120+L120+M120)</f>
        <v>3847030</v>
      </c>
      <c r="P120" s="33">
        <f>IF($R120="","",-SUMIFS('Extractos bancarios - Manglar'!$C:$C,'Extractos bancarios - Manglar'!$M:$M,$R120))</f>
        <v>3847030</v>
      </c>
      <c r="Q120" s="32">
        <f t="shared" ref="Q120" si="56">IF($R120="","",O120-N120-P120)</f>
        <v>0</v>
      </c>
      <c r="R120" s="28" t="s">
        <v>976</v>
      </c>
      <c r="S120" s="25">
        <v>46287</v>
      </c>
      <c r="T120" s="21" t="s">
        <v>999</v>
      </c>
      <c r="U120" s="35">
        <f t="shared" ca="1" si="3"/>
        <v>-36</v>
      </c>
      <c r="V120" s="33" t="str">
        <f t="shared" si="4"/>
        <v>Al dia</v>
      </c>
      <c r="W120" s="33" t="str">
        <f t="shared" si="25"/>
        <v>Si</v>
      </c>
      <c r="X120" s="36" t="str">
        <f t="shared" si="6"/>
        <v>Costo Ventas</v>
      </c>
      <c r="Y120" s="27" t="str">
        <f t="shared" si="26"/>
        <v>Si</v>
      </c>
      <c r="Z120" s="1"/>
      <c r="AA120" s="1"/>
    </row>
    <row r="121" spans="1:27" ht="15" customHeight="1" x14ac:dyDescent="0.3">
      <c r="A121" s="1" t="str">
        <f>VLOOKUP(E121,$B$168:$B$255,1,0)</f>
        <v>ZX VENTURES COLOMBIA SAS</v>
      </c>
      <c r="B121" s="25">
        <v>46289</v>
      </c>
      <c r="C121" s="25">
        <v>46289</v>
      </c>
      <c r="D121" s="26" t="str">
        <f t="shared" ref="D121" si="57">IF($R121="","",IF(ABS(Q121)&lt;1,"Pagada",IF(Q121&lt;0,IF(O121&lt;0,"Nota credito","Saldo a favor"),IF(P121&lt;&gt;0,"Parcial","Pendiente"))))</f>
        <v>Pagada</v>
      </c>
      <c r="E121" s="27" t="s">
        <v>981</v>
      </c>
      <c r="F121" s="28" t="s">
        <v>982</v>
      </c>
      <c r="G121" s="27" t="s">
        <v>763</v>
      </c>
      <c r="H121" s="36" t="str">
        <f t="array" ref="H121">_xlfn.XLOOKUP($G121,Data!$E:$E,Data!$F:$F,"Revisar",0)</f>
        <v>Kaspersky</v>
      </c>
      <c r="I121" s="36" t="str">
        <f t="array" ref="I121">_xlfn.XLOOKUP($G121,Data!$E:$E,Data!$G:$G,"Revisar",0)</f>
        <v>Actividades Kaspersky Sep</v>
      </c>
      <c r="J121" s="27" t="s">
        <v>1018</v>
      </c>
      <c r="K121" s="31">
        <v>2129831</v>
      </c>
      <c r="L121" s="31">
        <v>404668</v>
      </c>
      <c r="M121" s="31">
        <v>212980</v>
      </c>
      <c r="N121" s="31">
        <v>0</v>
      </c>
      <c r="O121" s="32">
        <f t="shared" ref="O121" si="58">IF($R121="","",K121+L121+M121)</f>
        <v>2747479</v>
      </c>
      <c r="P121" s="33">
        <f>IF($R121="","",-SUMIFS('Extractos bancarios - Manglar'!$C:$C,'Extractos bancarios - Manglar'!$M:$M,$R121))</f>
        <v>2747479</v>
      </c>
      <c r="Q121" s="32">
        <f t="shared" ref="Q121" si="59">IF($R121="","",O121-N121-P121)</f>
        <v>0</v>
      </c>
      <c r="R121" s="28" t="s">
        <v>974</v>
      </c>
      <c r="S121" s="25">
        <v>46289</v>
      </c>
      <c r="T121" s="21" t="s">
        <v>1000</v>
      </c>
      <c r="U121" s="35">
        <f t="shared" ca="1" si="3"/>
        <v>-34</v>
      </c>
      <c r="V121" s="33" t="str">
        <f t="shared" si="4"/>
        <v>Al dia</v>
      </c>
      <c r="W121" s="33" t="str">
        <f t="shared" si="25"/>
        <v>Si</v>
      </c>
      <c r="X121" s="36" t="str">
        <f t="shared" si="6"/>
        <v>Costo Ventas</v>
      </c>
      <c r="Y121" s="27" t="str">
        <f t="shared" si="26"/>
        <v>Si</v>
      </c>
      <c r="Z121" s="1"/>
      <c r="AA121" s="1"/>
    </row>
    <row r="122" spans="1:27" ht="15" customHeight="1" x14ac:dyDescent="0.3">
      <c r="A122" s="1" t="str">
        <f>VLOOKUP(E122,$B$168:$B$255,1,0)</f>
        <v>MALOTO SAS (Restaurante La Fabbrica)</v>
      </c>
      <c r="B122" s="25">
        <v>46290</v>
      </c>
      <c r="C122" s="25">
        <v>46290</v>
      </c>
      <c r="D122" s="26" t="str">
        <f t="shared" ref="D122" si="60">IF($R122="","",IF(ABS(Q122)&lt;1,"Pagada",IF(Q122&lt;0,IF(O122&lt;0,"Nota credito","Saldo a favor"),IF(P122&lt;&gt;0,"Parcial","Pendiente"))))</f>
        <v>Pagada</v>
      </c>
      <c r="E122" s="27" t="s">
        <v>983</v>
      </c>
      <c r="F122" s="28" t="s">
        <v>984</v>
      </c>
      <c r="G122" s="27" t="s">
        <v>763</v>
      </c>
      <c r="H122" s="36" t="str">
        <f t="array" ref="H122">_xlfn.XLOOKUP($G122,Data!$E:$E,Data!$F:$F,"Revisar",0)</f>
        <v>Kaspersky</v>
      </c>
      <c r="I122" s="36" t="str">
        <f t="array" ref="I122">_xlfn.XLOOKUP($G122,Data!$E:$E,Data!$G:$G,"Revisar",0)</f>
        <v>Actividades Kaspersky Sep</v>
      </c>
      <c r="J122" s="27" t="s">
        <v>995</v>
      </c>
      <c r="K122" s="31">
        <v>1862361.52</v>
      </c>
      <c r="L122" s="31">
        <v>0</v>
      </c>
      <c r="M122" s="31">
        <v>135444.48000000001</v>
      </c>
      <c r="N122" s="31">
        <v>0</v>
      </c>
      <c r="O122" s="32">
        <f t="shared" ref="O122" si="61">IF($R122="","",K122+L122+M122)</f>
        <v>1997806</v>
      </c>
      <c r="P122" s="33">
        <f>IF($R122="","",-SUMIFS('Extractos bancarios - Manglar'!$C:$C,'Extractos bancarios - Manglar'!$M:$M,$R122))</f>
        <v>1997806</v>
      </c>
      <c r="Q122" s="32">
        <f t="shared" ref="Q122" si="62">IF($R122="","",O122-N122-P122)</f>
        <v>0</v>
      </c>
      <c r="R122" s="28" t="s">
        <v>977</v>
      </c>
      <c r="S122" s="25">
        <v>46290</v>
      </c>
      <c r="T122" s="21" t="s">
        <v>1001</v>
      </c>
      <c r="U122" s="35">
        <f t="shared" ca="1" si="3"/>
        <v>-33</v>
      </c>
      <c r="V122" s="33" t="str">
        <f t="shared" si="4"/>
        <v>Al dia</v>
      </c>
      <c r="W122" s="33" t="str">
        <f t="shared" si="25"/>
        <v>Si</v>
      </c>
      <c r="X122" s="36" t="str">
        <f t="shared" si="6"/>
        <v>Costo Ventas</v>
      </c>
      <c r="Y122" s="27" t="str">
        <f t="shared" si="26"/>
        <v>Si</v>
      </c>
      <c r="Z122" s="1"/>
      <c r="AA122" s="1"/>
    </row>
    <row r="123" spans="1:27" ht="15" customHeight="1" x14ac:dyDescent="0.3">
      <c r="A123" s="1" t="str">
        <f>VLOOKUP(E123,$B$168:$B$255,1,0)</f>
        <v>POLA Y TEJO S.A.S</v>
      </c>
      <c r="B123" s="25">
        <v>46290</v>
      </c>
      <c r="C123" s="25">
        <v>46290</v>
      </c>
      <c r="D123" s="26" t="str">
        <f t="shared" si="0"/>
        <v>Pagada</v>
      </c>
      <c r="E123" s="27" t="s">
        <v>985</v>
      </c>
      <c r="F123" s="28" t="s">
        <v>986</v>
      </c>
      <c r="G123" s="27" t="s">
        <v>763</v>
      </c>
      <c r="H123" s="36" t="str">
        <f t="array" ref="H123">_xlfn.XLOOKUP($G123,Data!$E:$E,Data!$F:$F,"Revisar",0)</f>
        <v>Kaspersky</v>
      </c>
      <c r="I123" s="36" t="str">
        <f t="array" ref="I123">_xlfn.XLOOKUP($G123,Data!$E:$E,Data!$G:$G,"Revisar",0)</f>
        <v>Actividades Kaspersky Sep</v>
      </c>
      <c r="J123" s="27" t="s">
        <v>996</v>
      </c>
      <c r="K123" s="31">
        <v>1765492.59</v>
      </c>
      <c r="L123" s="31">
        <v>0</v>
      </c>
      <c r="M123" s="31">
        <v>317788.40999999997</v>
      </c>
      <c r="N123" s="31">
        <v>0</v>
      </c>
      <c r="O123" s="32">
        <f t="shared" si="1"/>
        <v>2083281</v>
      </c>
      <c r="P123" s="33">
        <f>IF($R123="","",-SUMIFS('Extractos bancarios - Manglar'!$C:$C,'Extractos bancarios - Manglar'!$M:$M,$R123))</f>
        <v>2083281</v>
      </c>
      <c r="Q123" s="32">
        <f t="shared" si="2"/>
        <v>0</v>
      </c>
      <c r="R123" s="28" t="s">
        <v>975</v>
      </c>
      <c r="S123" s="25">
        <v>46290</v>
      </c>
      <c r="T123" s="21" t="s">
        <v>1002</v>
      </c>
      <c r="U123" s="35">
        <f t="shared" ca="1" si="3"/>
        <v>-33</v>
      </c>
      <c r="V123" s="33" t="str">
        <f t="shared" si="4"/>
        <v>Al dia</v>
      </c>
      <c r="W123" s="33" t="str">
        <f t="shared" si="25"/>
        <v>Si</v>
      </c>
      <c r="X123" s="36" t="str">
        <f t="shared" si="6"/>
        <v>Costo Ventas</v>
      </c>
      <c r="Y123" s="27" t="str">
        <f t="shared" si="26"/>
        <v>Si</v>
      </c>
      <c r="Z123" s="1"/>
      <c r="AA123" s="1"/>
    </row>
    <row r="124" spans="1:27" ht="15" customHeight="1" x14ac:dyDescent="0.3">
      <c r="A124" s="1" t="str">
        <f>VLOOKUP(E124,$B$168:$B$255,1,0)</f>
        <v>INFARTO SAS</v>
      </c>
      <c r="B124" s="25">
        <v>46291</v>
      </c>
      <c r="C124" s="25">
        <v>46291</v>
      </c>
      <c r="D124" s="26" t="str">
        <f t="shared" si="0"/>
        <v>Pagada</v>
      </c>
      <c r="E124" s="27" t="s">
        <v>987</v>
      </c>
      <c r="F124" s="28" t="s">
        <v>988</v>
      </c>
      <c r="G124" s="27" t="s">
        <v>763</v>
      </c>
      <c r="H124" s="36" t="str">
        <f t="array" ref="H124">_xlfn.XLOOKUP($G124,Data!$E:$E,Data!$F:$F,"Revisar",0)</f>
        <v>Kaspersky</v>
      </c>
      <c r="I124" s="36" t="str">
        <f t="array" ref="I124">_xlfn.XLOOKUP($G124,Data!$E:$E,Data!$G:$G,"Revisar",0)</f>
        <v>Actividades Kaspersky Sep</v>
      </c>
      <c r="J124" s="27" t="s">
        <v>995</v>
      </c>
      <c r="K124" s="31">
        <v>1873574</v>
      </c>
      <c r="L124" s="31">
        <v>0</v>
      </c>
      <c r="M124" s="31">
        <v>335026</v>
      </c>
      <c r="N124" s="31">
        <v>0</v>
      </c>
      <c r="O124" s="32">
        <f t="shared" si="1"/>
        <v>2208600</v>
      </c>
      <c r="P124" s="33">
        <f>IF($R124="","",-SUMIFS('Extractos bancarios - Manglar'!$C:$C,'Extractos bancarios - Manglar'!$M:$M,$R124))</f>
        <v>2208600</v>
      </c>
      <c r="Q124" s="32">
        <f t="shared" si="2"/>
        <v>0</v>
      </c>
      <c r="R124" s="28" t="s">
        <v>972</v>
      </c>
      <c r="S124" s="25">
        <v>46291</v>
      </c>
      <c r="T124" s="21" t="s">
        <v>1003</v>
      </c>
      <c r="U124" s="35">
        <f t="shared" ca="1" si="3"/>
        <v>-32</v>
      </c>
      <c r="V124" s="33" t="str">
        <f t="shared" si="4"/>
        <v>Al dia</v>
      </c>
      <c r="W124" s="33" t="str">
        <f t="shared" si="25"/>
        <v>Si</v>
      </c>
      <c r="X124" s="36" t="str">
        <f t="shared" si="6"/>
        <v>Costo Ventas</v>
      </c>
      <c r="Y124" s="27" t="str">
        <f t="shared" si="26"/>
        <v>Si</v>
      </c>
      <c r="Z124" s="1"/>
      <c r="AA124" s="1"/>
    </row>
    <row r="125" spans="1:27" ht="15" customHeight="1" x14ac:dyDescent="0.3">
      <c r="A125" s="1" t="str">
        <f>VLOOKUP(E125,$B$168:$B$255,1,0)</f>
        <v>ADMINISTRADORA MONSERRATE SAS</v>
      </c>
      <c r="B125" s="25">
        <v>46291</v>
      </c>
      <c r="C125" s="25">
        <v>46291</v>
      </c>
      <c r="D125" s="26" t="str">
        <f t="shared" si="0"/>
        <v>Pagada</v>
      </c>
      <c r="E125" s="27" t="s">
        <v>989</v>
      </c>
      <c r="F125" s="28" t="s">
        <v>990</v>
      </c>
      <c r="G125" s="27" t="s">
        <v>763</v>
      </c>
      <c r="H125" s="36" t="str">
        <f t="array" ref="H125">_xlfn.XLOOKUP($G125,Data!$E:$E,Data!$F:$F,"Revisar",0)</f>
        <v>Kaspersky</v>
      </c>
      <c r="I125" s="36" t="str">
        <f t="array" ref="I125">_xlfn.XLOOKUP($G125,Data!$E:$E,Data!$G:$G,"Revisar",0)</f>
        <v>Actividades Kaspersky Sep</v>
      </c>
      <c r="J125" s="27" t="s">
        <v>995</v>
      </c>
      <c r="K125" s="31">
        <v>293703.7</v>
      </c>
      <c r="L125" s="31">
        <v>0</v>
      </c>
      <c r="M125" s="31">
        <v>52866.68</v>
      </c>
      <c r="N125" s="31">
        <v>0</v>
      </c>
      <c r="O125" s="32">
        <f t="shared" si="1"/>
        <v>346570.38</v>
      </c>
      <c r="P125" s="33">
        <f>IF($R125="","",-SUMIFS('Extractos bancarios - Manglar'!$C:$C,'Extractos bancarios - Manglar'!$M:$M,$R125))</f>
        <v>346570</v>
      </c>
      <c r="Q125" s="32">
        <f t="shared" si="2"/>
        <v>0.38000000000465661</v>
      </c>
      <c r="R125" s="28" t="s">
        <v>973</v>
      </c>
      <c r="S125" s="25">
        <v>46306</v>
      </c>
      <c r="T125" s="21" t="s">
        <v>1004</v>
      </c>
      <c r="U125" s="35">
        <f t="shared" ca="1" si="3"/>
        <v>-17</v>
      </c>
      <c r="V125" s="33" t="str">
        <f t="shared" si="4"/>
        <v>Al dia</v>
      </c>
      <c r="W125" s="33" t="str">
        <f t="shared" si="25"/>
        <v>Si</v>
      </c>
      <c r="X125" s="36" t="str">
        <f t="shared" si="6"/>
        <v>Costo Ventas</v>
      </c>
      <c r="Y125" s="27" t="str">
        <f t="shared" si="26"/>
        <v>Si</v>
      </c>
      <c r="Z125" s="1"/>
      <c r="AA125" s="1"/>
    </row>
    <row r="126" spans="1:27" ht="15" customHeight="1" x14ac:dyDescent="0.3">
      <c r="A126" s="1" t="str">
        <f>VLOOKUP(E126,$B$168:$B$255,1,0)</f>
        <v>ADMINISTRADORA MONSERRATE SAS</v>
      </c>
      <c r="B126" s="25">
        <v>46291</v>
      </c>
      <c r="C126" s="25">
        <v>46286</v>
      </c>
      <c r="D126" s="26" t="str">
        <f t="shared" si="0"/>
        <v>Pagada</v>
      </c>
      <c r="E126" s="27" t="s">
        <v>989</v>
      </c>
      <c r="F126" s="28" t="s">
        <v>990</v>
      </c>
      <c r="G126" s="27" t="s">
        <v>763</v>
      </c>
      <c r="H126" s="36" t="str">
        <f t="array" ref="H126">_xlfn.XLOOKUP($G126,Data!$E:$E,Data!$F:$F,"Revisar",0)</f>
        <v>Kaspersky</v>
      </c>
      <c r="I126" s="36" t="str">
        <f t="array" ref="I126">_xlfn.XLOOKUP($G126,Data!$E:$E,Data!$G:$G,"Revisar",0)</f>
        <v>Actividades Kaspersky Sep</v>
      </c>
      <c r="J126" s="27" t="s">
        <v>997</v>
      </c>
      <c r="K126" s="31">
        <v>600000</v>
      </c>
      <c r="L126" s="31">
        <v>0</v>
      </c>
      <c r="M126" s="31">
        <v>0</v>
      </c>
      <c r="N126" s="31">
        <v>0</v>
      </c>
      <c r="O126" s="32">
        <f t="shared" si="1"/>
        <v>600000</v>
      </c>
      <c r="P126" s="33">
        <f>IF($R126="","",-SUMIFS('Extractos bancarios - Manglar'!$C:$C,'Extractos bancarios - Manglar'!$M:$M,$R126))</f>
        <v>600000</v>
      </c>
      <c r="Q126" s="32">
        <f t="shared" si="2"/>
        <v>0</v>
      </c>
      <c r="R126" s="28" t="s">
        <v>1005</v>
      </c>
      <c r="S126" s="25">
        <v>46306</v>
      </c>
      <c r="T126" s="21" t="s">
        <v>1006</v>
      </c>
      <c r="U126" s="35">
        <f t="shared" ca="1" si="3"/>
        <v>-17</v>
      </c>
      <c r="V126" s="33" t="str">
        <f t="shared" si="4"/>
        <v>Al dia</v>
      </c>
      <c r="W126" s="33" t="str">
        <f t="shared" si="25"/>
        <v>Si</v>
      </c>
      <c r="X126" s="36" t="str">
        <f t="shared" si="6"/>
        <v>Costo Ventas</v>
      </c>
      <c r="Y126" s="27" t="str">
        <f t="shared" si="26"/>
        <v>Si</v>
      </c>
      <c r="Z126" s="1"/>
      <c r="AA126" s="1"/>
    </row>
    <row r="127" spans="1:27" ht="15" customHeight="1" x14ac:dyDescent="0.3">
      <c r="A127" s="1" t="str">
        <f>VLOOKUP(E127,$B$168:$B$255,1,0)</f>
        <v>JUAN DAVID CRUZ GUZMAN</v>
      </c>
      <c r="B127" s="25">
        <v>46294</v>
      </c>
      <c r="C127" s="25">
        <v>46294</v>
      </c>
      <c r="D127" s="26" t="str">
        <f t="shared" si="0"/>
        <v>Pagada</v>
      </c>
      <c r="E127" s="27" t="s">
        <v>991</v>
      </c>
      <c r="F127" s="28" t="s">
        <v>992</v>
      </c>
      <c r="G127" s="27" t="s">
        <v>24</v>
      </c>
      <c r="H127" s="36" t="str">
        <f t="array" ref="H127">_xlfn.XLOOKUP($G127,Data!$E:$E,Data!$F:$F,"Revisar",0)</f>
        <v>NA</v>
      </c>
      <c r="I127" s="36" t="str">
        <f t="array" ref="I127">_xlfn.XLOOKUP($G127,Data!$E:$E,Data!$G:$G,"Revisar",0)</f>
        <v>NA</v>
      </c>
      <c r="J127" s="27" t="s">
        <v>998</v>
      </c>
      <c r="K127" s="31">
        <v>5500000</v>
      </c>
      <c r="L127" s="31">
        <v>0</v>
      </c>
      <c r="M127" s="31">
        <v>0</v>
      </c>
      <c r="N127" s="31">
        <v>0</v>
      </c>
      <c r="O127" s="32">
        <f t="shared" si="1"/>
        <v>5500000</v>
      </c>
      <c r="P127" s="33">
        <f>IF($R127="","",-SUMIFS('Extractos bancarios - Manglar'!$C:$C,'Extractos bancarios - Manglar'!$M:$M,$R127))</f>
        <v>5500000</v>
      </c>
      <c r="Q127" s="32">
        <f t="shared" si="2"/>
        <v>0</v>
      </c>
      <c r="R127" s="28" t="s">
        <v>1007</v>
      </c>
      <c r="S127" s="25">
        <v>46294</v>
      </c>
      <c r="T127" s="21" t="s">
        <v>1008</v>
      </c>
      <c r="U127" s="35">
        <f t="shared" ca="1" si="3"/>
        <v>-29</v>
      </c>
      <c r="V127" s="33" t="str">
        <f t="shared" si="4"/>
        <v>Al dia</v>
      </c>
      <c r="W127" s="33" t="str">
        <f t="shared" si="25"/>
        <v>Si</v>
      </c>
      <c r="X127" s="36" t="str">
        <f t="shared" si="6"/>
        <v>Costos Operacionales</v>
      </c>
      <c r="Y127" s="27" t="str">
        <f t="shared" si="26"/>
        <v>Si</v>
      </c>
      <c r="Z127" s="1"/>
      <c r="AA127" s="1"/>
    </row>
    <row r="128" spans="1:27" ht="15" customHeight="1" x14ac:dyDescent="0.3">
      <c r="A128" s="1" t="str">
        <f>VLOOKUP(E128,$B$168:$B$255,1,0)</f>
        <v>JUAN DAVID CRUZ GUZMAN</v>
      </c>
      <c r="B128" s="46">
        <v>46294</v>
      </c>
      <c r="C128" s="46">
        <v>46294</v>
      </c>
      <c r="D128" s="47" t="str">
        <f t="shared" ref="D128:D129" si="63">IF($R128="","",IF(ABS(Q128)&lt;1,"Pagada",IF(Q128&lt;0,IF(O128&lt;0,"Nota credito","Saldo a favor"),IF(P128&lt;&gt;0,"Parcial","Pendiente"))))</f>
        <v>Pagada</v>
      </c>
      <c r="E128" s="48" t="s">
        <v>991</v>
      </c>
      <c r="F128" s="49" t="s">
        <v>992</v>
      </c>
      <c r="G128" s="50" t="s">
        <v>952</v>
      </c>
      <c r="H128" s="51" t="str">
        <f t="array" ref="H128">_xlfn.XLOOKUP($G128,Data!$E:$E,Data!$F:$F,"Revisar",0)</f>
        <v>AXIS</v>
      </c>
      <c r="I128" s="51" t="str">
        <f t="array" ref="I128">_xlfn.XLOOKUP($G128,Data!$E:$E,Data!$G:$G,"Revisar",0)</f>
        <v>Bono Amazon</v>
      </c>
      <c r="J128" s="48" t="s">
        <v>1089</v>
      </c>
      <c r="K128" s="53">
        <v>319760</v>
      </c>
      <c r="L128" s="54">
        <v>0</v>
      </c>
      <c r="M128" s="54">
        <v>0</v>
      </c>
      <c r="N128" s="54">
        <v>0</v>
      </c>
      <c r="O128" s="55">
        <f t="shared" ref="O128:O129" si="64">IF($R128="","",K128+L128+M128)</f>
        <v>319760</v>
      </c>
      <c r="P128" s="171">
        <f>IF($R128="","",-SUMIFS('Extractos bancarios - Manglar'!$C:$C,'Extractos bancarios - Manglar'!$M:$M,$R128))</f>
        <v>319760</v>
      </c>
      <c r="Q128" s="55">
        <f t="shared" ref="Q128:Q129" si="65">IF($R128="","",O128-N128-P128)</f>
        <v>0</v>
      </c>
      <c r="R128" s="49" t="s">
        <v>1093</v>
      </c>
      <c r="S128" s="46">
        <v>46294</v>
      </c>
      <c r="T128" s="56" t="s">
        <v>1009</v>
      </c>
      <c r="U128" s="57">
        <f t="shared" ca="1" si="3"/>
        <v>-29</v>
      </c>
      <c r="V128" s="58" t="str">
        <f t="shared" si="4"/>
        <v>Al dia</v>
      </c>
      <c r="W128" s="58" t="str">
        <f t="shared" si="25"/>
        <v>Si</v>
      </c>
      <c r="X128" s="51" t="str">
        <f t="shared" si="6"/>
        <v>Costo Ventas</v>
      </c>
      <c r="Y128" s="27" t="str">
        <f t="shared" si="26"/>
        <v>Si</v>
      </c>
      <c r="Z128" s="1"/>
      <c r="AA128" s="1"/>
    </row>
    <row r="129" spans="1:27" ht="15" customHeight="1" x14ac:dyDescent="0.3">
      <c r="A129" s="1" t="str">
        <f>VLOOKUP(E129,$B$168:$B$255,1,0)</f>
        <v>JUAN DAVID CRUZ GUZMAN</v>
      </c>
      <c r="B129" s="46">
        <v>46294</v>
      </c>
      <c r="C129" s="46">
        <v>46294</v>
      </c>
      <c r="D129" s="47" t="str">
        <f t="shared" si="63"/>
        <v>Pagada</v>
      </c>
      <c r="E129" s="48" t="s">
        <v>991</v>
      </c>
      <c r="F129" s="49" t="s">
        <v>992</v>
      </c>
      <c r="G129" s="50" t="s">
        <v>1052</v>
      </c>
      <c r="H129" s="51" t="str">
        <f t="array" ref="H129">_xlfn.XLOOKUP($G129,Data!$E:$E,Data!$F:$F,"Revisar",0)</f>
        <v>AXIS</v>
      </c>
      <c r="I129" s="51" t="str">
        <f t="array" ref="I129">_xlfn.XLOOKUP($G129,Data!$E:$E,Data!$G:$G,"Revisar",0)</f>
        <v>Bono amazon 100 USD ARG</v>
      </c>
      <c r="J129" s="48" t="s">
        <v>1089</v>
      </c>
      <c r="K129" s="53">
        <v>336280</v>
      </c>
      <c r="L129" s="54">
        <v>0</v>
      </c>
      <c r="M129" s="54">
        <v>0</v>
      </c>
      <c r="N129" s="54">
        <v>0</v>
      </c>
      <c r="O129" s="55">
        <f t="shared" si="64"/>
        <v>336280</v>
      </c>
      <c r="P129" s="171">
        <f>IF($R129="","",-SUMIFS('Extractos bancarios - Manglar'!$C:$C,'Extractos bancarios - Manglar'!$M:$M,$R129))</f>
        <v>336280</v>
      </c>
      <c r="Q129" s="55">
        <f t="shared" si="65"/>
        <v>0</v>
      </c>
      <c r="R129" s="49" t="s">
        <v>1094</v>
      </c>
      <c r="S129" s="46">
        <v>46294</v>
      </c>
      <c r="T129" s="56" t="s">
        <v>1009</v>
      </c>
      <c r="U129" s="57">
        <f t="shared" ca="1" si="3"/>
        <v>-29</v>
      </c>
      <c r="V129" s="58" t="str">
        <f t="shared" si="4"/>
        <v>Al dia</v>
      </c>
      <c r="W129" s="58" t="str">
        <f t="shared" si="25"/>
        <v>Si</v>
      </c>
      <c r="X129" s="51" t="str">
        <f t="shared" si="6"/>
        <v>Costo Ventas</v>
      </c>
      <c r="Y129" s="27" t="str">
        <f t="shared" si="26"/>
        <v>Si</v>
      </c>
      <c r="Z129" s="1"/>
      <c r="AA129" s="1"/>
    </row>
    <row r="130" spans="1:27" ht="15" customHeight="1" x14ac:dyDescent="0.3">
      <c r="A130" s="1" t="str">
        <f>VLOOKUP(E130,$B$168:$B$255,1,0)</f>
        <v>JUAN DAVID CRUZ GUZMAN</v>
      </c>
      <c r="B130" s="46">
        <v>46294</v>
      </c>
      <c r="C130" s="46">
        <v>46294</v>
      </c>
      <c r="D130" s="47" t="str">
        <f t="shared" si="0"/>
        <v>Pagada</v>
      </c>
      <c r="E130" s="48" t="s">
        <v>991</v>
      </c>
      <c r="F130" s="49" t="s">
        <v>992</v>
      </c>
      <c r="G130" s="50" t="s">
        <v>161</v>
      </c>
      <c r="H130" s="51" t="str">
        <f t="array" ref="H130">_xlfn.XLOOKUP($G130,Data!$E:$E,Data!$F:$F,"Revisar",0)</f>
        <v>Kaspersky</v>
      </c>
      <c r="I130" s="51" t="str">
        <f t="array" ref="I130">_xlfn.XLOOKUP($G130,Data!$E:$E,Data!$G:$G,"Revisar",0)</f>
        <v>Bolsa Incentivos 2026</v>
      </c>
      <c r="J130" s="48" t="s">
        <v>1090</v>
      </c>
      <c r="K130" s="53">
        <v>151860</v>
      </c>
      <c r="L130" s="54">
        <v>0</v>
      </c>
      <c r="M130" s="54">
        <v>0</v>
      </c>
      <c r="N130" s="54">
        <v>0</v>
      </c>
      <c r="O130" s="55">
        <f t="shared" si="1"/>
        <v>151860</v>
      </c>
      <c r="P130" s="171">
        <f>IF($R130="","",-SUMIFS('Extractos bancarios - Manglar'!$C:$C,'Extractos bancarios - Manglar'!$M:$M,$R130))</f>
        <v>151860</v>
      </c>
      <c r="Q130" s="55">
        <f t="shared" si="2"/>
        <v>0</v>
      </c>
      <c r="R130" s="49" t="s">
        <v>1095</v>
      </c>
      <c r="S130" s="46">
        <v>46294</v>
      </c>
      <c r="T130" s="56" t="s">
        <v>1009</v>
      </c>
      <c r="U130" s="57">
        <f t="shared" ca="1" si="3"/>
        <v>-29</v>
      </c>
      <c r="V130" s="58" t="str">
        <f t="shared" si="4"/>
        <v>Al dia</v>
      </c>
      <c r="W130" s="58" t="str">
        <f t="shared" si="25"/>
        <v>Si</v>
      </c>
      <c r="X130" s="51" t="str">
        <f t="shared" si="6"/>
        <v>Costo Ventas</v>
      </c>
      <c r="Y130" s="27" t="str">
        <f t="shared" si="26"/>
        <v>Si</v>
      </c>
      <c r="Z130" s="1"/>
      <c r="AA130" s="1"/>
    </row>
    <row r="131" spans="1:27" ht="15" customHeight="1" x14ac:dyDescent="0.3">
      <c r="A131" s="1" t="str">
        <f>VLOOKUP(E131,$B$168:$B$255,1,0)</f>
        <v>JUAN DAVID CRUZ GUZMAN</v>
      </c>
      <c r="B131" s="46">
        <v>46294</v>
      </c>
      <c r="C131" s="46">
        <v>46294</v>
      </c>
      <c r="D131" s="47" t="str">
        <f t="shared" ref="D131" si="66">IF($R131="","",IF(ABS(Q131)&lt;1,"Pagada",IF(Q131&lt;0,IF(O131&lt;0,"Nota credito","Saldo a favor"),IF(P131&lt;&gt;0,"Parcial","Pendiente"))))</f>
        <v>Pagada</v>
      </c>
      <c r="E131" s="48" t="s">
        <v>991</v>
      </c>
      <c r="F131" s="49" t="s">
        <v>992</v>
      </c>
      <c r="G131" s="50" t="s">
        <v>882</v>
      </c>
      <c r="H131" s="51" t="str">
        <f t="array" ref="H131">_xlfn.XLOOKUP($G131,Data!$E:$E,Data!$F:$F,"Revisar",0)</f>
        <v>MOTOROLA</v>
      </c>
      <c r="I131" s="51" t="str">
        <f t="array" ref="I131">_xlfn.XLOOKUP($G131,Data!$E:$E,Data!$G:$G,"Revisar",0)</f>
        <v>Entrepartners CALI</v>
      </c>
      <c r="J131" s="48" t="s">
        <v>1091</v>
      </c>
      <c r="K131" s="53">
        <v>55072</v>
      </c>
      <c r="L131" s="54">
        <v>0</v>
      </c>
      <c r="M131" s="54">
        <v>0</v>
      </c>
      <c r="N131" s="54">
        <v>0</v>
      </c>
      <c r="O131" s="55">
        <f t="shared" ref="O131" si="67">IF($R131="","",K131+L131+M131)</f>
        <v>55072</v>
      </c>
      <c r="P131" s="171">
        <f>IF($R131="","",-SUMIFS('Extractos bancarios - Manglar'!$C:$C,'Extractos bancarios - Manglar'!$M:$M,$R131))</f>
        <v>55072</v>
      </c>
      <c r="Q131" s="55">
        <f t="shared" ref="Q131" si="68">IF($R131="","",O131-N131-P131)</f>
        <v>0</v>
      </c>
      <c r="R131" s="49" t="s">
        <v>1096</v>
      </c>
      <c r="S131" s="46">
        <v>46294</v>
      </c>
      <c r="T131" s="56" t="s">
        <v>1009</v>
      </c>
      <c r="U131" s="57">
        <f t="shared" ca="1" si="3"/>
        <v>-29</v>
      </c>
      <c r="V131" s="58" t="str">
        <f t="shared" si="4"/>
        <v>Al dia</v>
      </c>
      <c r="W131" s="58" t="str">
        <f t="shared" si="25"/>
        <v>Si</v>
      </c>
      <c r="X131" s="51" t="str">
        <f t="shared" si="6"/>
        <v>Costo Ventas</v>
      </c>
      <c r="Y131" s="27" t="str">
        <f t="shared" si="26"/>
        <v>Si</v>
      </c>
      <c r="Z131" s="1"/>
      <c r="AA131" s="1"/>
    </row>
    <row r="132" spans="1:27" ht="15" customHeight="1" x14ac:dyDescent="0.3">
      <c r="A132" s="1" t="str">
        <f>VLOOKUP(E132,$B$168:$B$255,1,0)</f>
        <v>JUAN DAVID CRUZ GUZMAN</v>
      </c>
      <c r="B132" s="46">
        <v>46294</v>
      </c>
      <c r="C132" s="46">
        <v>46294</v>
      </c>
      <c r="D132" s="47" t="str">
        <f t="shared" ref="D132" si="69">IF($R132="","",IF(ABS(Q132)&lt;1,"Pagada",IF(Q132&lt;0,IF(O132&lt;0,"Nota credito","Saldo a favor"),IF(P132&lt;&gt;0,"Parcial","Pendiente"))))</f>
        <v>Pagada</v>
      </c>
      <c r="E132" s="48" t="s">
        <v>991</v>
      </c>
      <c r="F132" s="49" t="s">
        <v>992</v>
      </c>
      <c r="G132" s="50" t="s">
        <v>882</v>
      </c>
      <c r="H132" s="51" t="str">
        <f t="array" ref="H132">_xlfn.XLOOKUP($G132,Data!$E:$E,Data!$F:$F,"Revisar",0)</f>
        <v>MOTOROLA</v>
      </c>
      <c r="I132" s="51" t="str">
        <f t="array" ref="I132">_xlfn.XLOOKUP($G132,Data!$E:$E,Data!$G:$G,"Revisar",0)</f>
        <v>Entrepartners CALI</v>
      </c>
      <c r="J132" s="48" t="s">
        <v>1092</v>
      </c>
      <c r="K132" s="53">
        <v>83154</v>
      </c>
      <c r="L132" s="54">
        <v>0</v>
      </c>
      <c r="M132" s="54">
        <v>0</v>
      </c>
      <c r="N132" s="54">
        <v>0</v>
      </c>
      <c r="O132" s="55">
        <f t="shared" ref="O132" si="70">IF($R132="","",K132+L132+M132)</f>
        <v>83154</v>
      </c>
      <c r="P132" s="171">
        <f>IF($R132="","",-SUMIFS('Extractos bancarios - Manglar'!$C:$C,'Extractos bancarios - Manglar'!$M:$M,$R132))</f>
        <v>83154</v>
      </c>
      <c r="Q132" s="55">
        <f t="shared" ref="Q132" si="71">IF($R132="","",O132-N132-P132)</f>
        <v>0</v>
      </c>
      <c r="R132" s="49" t="s">
        <v>1097</v>
      </c>
      <c r="S132" s="46">
        <v>46294</v>
      </c>
      <c r="T132" s="56" t="s">
        <v>1009</v>
      </c>
      <c r="U132" s="57">
        <f t="shared" ca="1" si="3"/>
        <v>-29</v>
      </c>
      <c r="V132" s="58" t="str">
        <f t="shared" si="4"/>
        <v>Al dia</v>
      </c>
      <c r="W132" s="58" t="str">
        <f t="shared" si="25"/>
        <v>Si</v>
      </c>
      <c r="X132" s="51" t="str">
        <f t="shared" si="6"/>
        <v>Costo Ventas</v>
      </c>
      <c r="Y132" s="27" t="str">
        <f t="shared" si="26"/>
        <v>Si</v>
      </c>
      <c r="Z132" s="1"/>
      <c r="AA132" s="1"/>
    </row>
    <row r="133" spans="1:27" ht="15" customHeight="1" x14ac:dyDescent="0.3">
      <c r="A133" s="1" t="str">
        <f>VLOOKUP(E133,$B$168:$B$255,1,0)</f>
        <v>JUAN DAVID CRUZ GUZMAN</v>
      </c>
      <c r="B133" s="46">
        <v>46294</v>
      </c>
      <c r="C133" s="46">
        <v>46294</v>
      </c>
      <c r="D133" s="47" t="str">
        <f t="shared" si="0"/>
        <v>Pagada</v>
      </c>
      <c r="E133" s="48" t="s">
        <v>991</v>
      </c>
      <c r="F133" s="49" t="s">
        <v>992</v>
      </c>
      <c r="G133" s="50" t="s">
        <v>883</v>
      </c>
      <c r="H133" s="51" t="str">
        <f t="array" ref="H133">_xlfn.XLOOKUP($G133,Data!$E:$E,Data!$F:$F,"Revisar",0)</f>
        <v>MOTOROLA</v>
      </c>
      <c r="I133" s="51" t="str">
        <f t="array" ref="I133">_xlfn.XLOOKUP($G133,Data!$E:$E,Data!$G:$G,"Revisar",0)</f>
        <v>Entrepartners MEDELLIN</v>
      </c>
      <c r="J133" s="48" t="s">
        <v>1092</v>
      </c>
      <c r="K133" s="53">
        <v>93996</v>
      </c>
      <c r="L133" s="54">
        <v>0</v>
      </c>
      <c r="M133" s="54">
        <v>0</v>
      </c>
      <c r="N133" s="54">
        <v>0</v>
      </c>
      <c r="O133" s="55">
        <f t="shared" si="1"/>
        <v>93996</v>
      </c>
      <c r="P133" s="171">
        <f>IF($R133="","",-SUMIFS('Extractos bancarios - Manglar'!$C:$C,'Extractos bancarios - Manglar'!$M:$M,$R133))</f>
        <v>93996</v>
      </c>
      <c r="Q133" s="55">
        <f t="shared" si="2"/>
        <v>0</v>
      </c>
      <c r="R133" s="49" t="s">
        <v>1098</v>
      </c>
      <c r="S133" s="46">
        <v>46294</v>
      </c>
      <c r="T133" s="56" t="s">
        <v>1009</v>
      </c>
      <c r="U133" s="57">
        <f t="shared" ca="1" si="3"/>
        <v>-29</v>
      </c>
      <c r="V133" s="58" t="str">
        <f t="shared" si="4"/>
        <v>Al dia</v>
      </c>
      <c r="W133" s="58" t="str">
        <f t="shared" si="25"/>
        <v>Si</v>
      </c>
      <c r="X133" s="51" t="str">
        <f t="shared" si="6"/>
        <v>Costo Ventas</v>
      </c>
      <c r="Y133" s="27" t="str">
        <f t="shared" si="26"/>
        <v>Si</v>
      </c>
      <c r="Z133" s="1"/>
      <c r="AA133" s="1"/>
    </row>
    <row r="134" spans="1:27" ht="15" customHeight="1" x14ac:dyDescent="0.3">
      <c r="A134" s="1" t="str">
        <f>VLOOKUP(E134,$B$168:$B$255,1,0)</f>
        <v>SUMAS COCINA SAS</v>
      </c>
      <c r="B134" s="25">
        <v>46295</v>
      </c>
      <c r="C134" s="25">
        <v>46289</v>
      </c>
      <c r="D134" s="26" t="str">
        <f t="shared" si="0"/>
        <v>Pagada</v>
      </c>
      <c r="E134" s="27" t="s">
        <v>1056</v>
      </c>
      <c r="F134" s="28" t="s">
        <v>1057</v>
      </c>
      <c r="G134" s="27" t="s">
        <v>883</v>
      </c>
      <c r="H134" s="36" t="str">
        <f t="array" ref="H134">_xlfn.XLOOKUP($G134,Data!$E:$E,Data!$F:$F,"Revisar",0)</f>
        <v>MOTOROLA</v>
      </c>
      <c r="I134" s="36" t="str">
        <f t="array" ref="I134">_xlfn.XLOOKUP($G134,Data!$E:$E,Data!$G:$G,"Revisar",0)</f>
        <v>Entrepartners MEDELLIN</v>
      </c>
      <c r="J134" s="27" t="s">
        <v>1062</v>
      </c>
      <c r="K134" s="31">
        <v>6197777.7800000003</v>
      </c>
      <c r="L134" s="31">
        <v>874000</v>
      </c>
      <c r="M134" s="31">
        <v>126222.22</v>
      </c>
      <c r="N134" s="31">
        <v>0</v>
      </c>
      <c r="O134" s="32">
        <f t="shared" ref="O134:O162" si="72">IF($R134="","",K134+L134+M134)</f>
        <v>7198000</v>
      </c>
      <c r="P134" s="33">
        <f>IF($R134="","",-SUMIFS('Extractos bancarios - Manglar'!$C:$C,'Extractos bancarios - Manglar'!$M:$M,$R134))</f>
        <v>7198000</v>
      </c>
      <c r="Q134" s="32">
        <f t="shared" ref="Q134:Q162" si="73">IF($R134="","",O134-N134-P134)</f>
        <v>0</v>
      </c>
      <c r="R134" s="28" t="s">
        <v>1049</v>
      </c>
      <c r="S134" s="25">
        <v>46296</v>
      </c>
      <c r="T134" s="21" t="s">
        <v>1064</v>
      </c>
      <c r="U134" s="35">
        <f t="shared" ca="1" si="3"/>
        <v>-27</v>
      </c>
      <c r="V134" s="33" t="str">
        <f t="shared" si="4"/>
        <v>Al dia</v>
      </c>
      <c r="W134" s="33" t="str">
        <f t="shared" si="25"/>
        <v>Si</v>
      </c>
      <c r="X134" s="36" t="str">
        <f t="shared" si="6"/>
        <v>Costo Ventas</v>
      </c>
      <c r="Y134" s="27" t="str">
        <f t="shared" si="26"/>
        <v>Si</v>
      </c>
      <c r="Z134" s="1"/>
      <c r="AA134" s="1"/>
    </row>
    <row r="135" spans="1:27" ht="15" customHeight="1" x14ac:dyDescent="0.3">
      <c r="A135" s="1" t="str">
        <f>VLOOKUP(E135,$B$168:$B$255,1,0)</f>
        <v>DONUCOL SA (Dunkin Donuts)</v>
      </c>
      <c r="B135" s="25">
        <v>46297</v>
      </c>
      <c r="C135" s="25">
        <v>46297</v>
      </c>
      <c r="D135" s="26" t="str">
        <f t="shared" ref="D135:D162" si="74">IF($R135="","",IF(ABS(Q135)&lt;1,"Pagada",IF(Q135&lt;0,IF(O135&lt;0,"Nota credito","Saldo a favor"),IF(P135&lt;&gt;0,"Parcial","Pendiente"))))</f>
        <v>Pagada</v>
      </c>
      <c r="E135" s="27" t="s">
        <v>1058</v>
      </c>
      <c r="F135" s="28" t="s">
        <v>1059</v>
      </c>
      <c r="G135" s="27" t="s">
        <v>24</v>
      </c>
      <c r="H135" s="36" t="str">
        <f t="array" ref="H135">_xlfn.XLOOKUP($G135,Data!$E:$E,Data!$F:$F,"Revisar",0)</f>
        <v>NA</v>
      </c>
      <c r="I135" s="36" t="str">
        <f t="array" ref="I135">_xlfn.XLOOKUP($G135,Data!$E:$E,Data!$G:$G,"Revisar",0)</f>
        <v>NA</v>
      </c>
      <c r="J135" s="27" t="s">
        <v>1063</v>
      </c>
      <c r="K135" s="31">
        <v>31932.78</v>
      </c>
      <c r="L135" s="31">
        <v>6067.22</v>
      </c>
      <c r="M135" s="31">
        <v>0</v>
      </c>
      <c r="N135" s="31">
        <v>0</v>
      </c>
      <c r="O135" s="32">
        <f t="shared" si="72"/>
        <v>38000</v>
      </c>
      <c r="P135" s="33">
        <f>IF($R135="","",-SUMIFS('Extractos bancarios - Manglar'!$C:$C,'Extractos bancarios - Manglar'!$M:$M,$R135))</f>
        <v>38000</v>
      </c>
      <c r="Q135" s="32">
        <f t="shared" si="73"/>
        <v>0</v>
      </c>
      <c r="R135" s="28" t="s">
        <v>1048</v>
      </c>
      <c r="S135" s="25">
        <v>46297</v>
      </c>
      <c r="T135" s="21" t="s">
        <v>1065</v>
      </c>
      <c r="U135" s="35">
        <f t="shared" ref="U135:U162" ca="1" si="75">IF($R135="","",IF($S135="","",$S135-TODAY()))</f>
        <v>-26</v>
      </c>
      <c r="V135" s="33" t="str">
        <f t="shared" ref="V135:V162" si="76">IF($R135="","",IF(ISNUMBER(SEARCH("Anula",$T135)),"Anulada",IF($Q135&lt;=1000,"Al dia",IF($S135="","Sin fecha",IF($U135&lt;0,"Vencida",IF($U135&lt;=15,"Por vencer","Vigente"))))))</f>
        <v>Al dia</v>
      </c>
      <c r="W135" s="33" t="str">
        <f t="shared" ref="W135:W162" si="77">IF($R135="","",IF($V135="Anulada","No","Si"))</f>
        <v>Si</v>
      </c>
      <c r="X135" s="36" t="str">
        <f t="shared" ref="X135:X162" si="78">IF($R135="","",IF($H135="NA","Costos Operacionales",IF(OR($H135="",$H135="Revisar",$H135="Por asignar"),"Por clasificar","Costo Ventas")))</f>
        <v>Costos Operacionales</v>
      </c>
      <c r="Y135" s="27" t="str">
        <f t="shared" si="26"/>
        <v>Si</v>
      </c>
      <c r="Z135" s="1"/>
      <c r="AA135" s="1"/>
    </row>
    <row r="136" spans="1:27" ht="15" customHeight="1" x14ac:dyDescent="0.3">
      <c r="A136" s="1" t="str">
        <f>VLOOKUP(E136,$B$168:$B$255,1,0)</f>
        <v>FRISBY S.A. BIC</v>
      </c>
      <c r="B136" s="25">
        <v>46297</v>
      </c>
      <c r="C136" s="25">
        <v>46297</v>
      </c>
      <c r="D136" s="26" t="str">
        <f t="shared" si="74"/>
        <v>Pagada</v>
      </c>
      <c r="E136" s="27" t="s">
        <v>1060</v>
      </c>
      <c r="F136" s="28" t="s">
        <v>1061</v>
      </c>
      <c r="G136" s="27" t="s">
        <v>24</v>
      </c>
      <c r="H136" s="36" t="str">
        <f t="array" ref="H136">_xlfn.XLOOKUP($G136,Data!$E:$E,Data!$F:$F,"Revisar",0)</f>
        <v>NA</v>
      </c>
      <c r="I136" s="36" t="str">
        <f t="array" ref="I136">_xlfn.XLOOKUP($G136,Data!$E:$E,Data!$G:$G,"Revisar",0)</f>
        <v>NA</v>
      </c>
      <c r="J136" s="27" t="s">
        <v>995</v>
      </c>
      <c r="K136" s="31">
        <v>135000</v>
      </c>
      <c r="L136" s="31">
        <v>0</v>
      </c>
      <c r="M136" s="31">
        <v>10800</v>
      </c>
      <c r="N136" s="31">
        <v>0</v>
      </c>
      <c r="O136" s="32">
        <f t="shared" si="72"/>
        <v>145800</v>
      </c>
      <c r="P136" s="33">
        <f>IF($R136="","",-SUMIFS('Extractos bancarios - Manglar'!$C:$C,'Extractos bancarios - Manglar'!$M:$M,$R136))</f>
        <v>145800</v>
      </c>
      <c r="Q136" s="32">
        <f t="shared" si="73"/>
        <v>0</v>
      </c>
      <c r="R136" s="28" t="s">
        <v>1047</v>
      </c>
      <c r="S136" s="25">
        <v>46297</v>
      </c>
      <c r="T136" s="21" t="s">
        <v>1066</v>
      </c>
      <c r="U136" s="35">
        <f t="shared" ca="1" si="75"/>
        <v>-26</v>
      </c>
      <c r="V136" s="33" t="str">
        <f t="shared" si="76"/>
        <v>Al dia</v>
      </c>
      <c r="W136" s="33" t="str">
        <f t="shared" si="77"/>
        <v>Si</v>
      </c>
      <c r="X136" s="36" t="str">
        <f t="shared" si="78"/>
        <v>Costos Operacionales</v>
      </c>
      <c r="Y136" s="27" t="str">
        <f t="shared" si="26"/>
        <v>Si</v>
      </c>
      <c r="Z136" s="1"/>
      <c r="AA136" s="1"/>
    </row>
    <row r="137" spans="1:27" ht="15" customHeight="1" x14ac:dyDescent="0.3">
      <c r="A137" s="1" t="str">
        <f>VLOOKUP(E137,$B$168:$B$255,1,0)</f>
        <v>MASSER S A S</v>
      </c>
      <c r="B137" s="25">
        <v>46300</v>
      </c>
      <c r="C137" s="25">
        <v>46300</v>
      </c>
      <c r="D137" s="26" t="str">
        <f t="shared" si="74"/>
        <v>Pagada</v>
      </c>
      <c r="E137" s="27" t="s">
        <v>525</v>
      </c>
      <c r="F137" s="28" t="s">
        <v>1125</v>
      </c>
      <c r="G137" s="27" t="s">
        <v>24</v>
      </c>
      <c r="H137" s="36" t="str">
        <f t="array" ref="H137">_xlfn.XLOOKUP($G137,Data!$E:$E,Data!$F:$F,"Revisar",0)</f>
        <v>NA</v>
      </c>
      <c r="I137" s="36" t="str">
        <f t="array" ref="I137">_xlfn.XLOOKUP($G137,Data!$E:$E,Data!$G:$G,"Revisar",0)</f>
        <v>NA</v>
      </c>
      <c r="J137" s="27" t="s">
        <v>1126</v>
      </c>
      <c r="K137" s="31">
        <v>235503</v>
      </c>
      <c r="L137" s="31">
        <v>0</v>
      </c>
      <c r="M137" s="31">
        <v>0</v>
      </c>
      <c r="N137" s="31"/>
      <c r="O137" s="32">
        <f t="shared" si="72"/>
        <v>235503</v>
      </c>
      <c r="P137" s="33">
        <f>IF($R137="","",-SUMIFS('Extractos bancarios - Manglar'!$C:$C,'Extractos bancarios - Manglar'!$M:$M,$R137))</f>
        <v>235503</v>
      </c>
      <c r="Q137" s="32">
        <f t="shared" si="73"/>
        <v>0</v>
      </c>
      <c r="R137" s="28" t="s">
        <v>1111</v>
      </c>
      <c r="S137" s="25">
        <v>46300</v>
      </c>
      <c r="T137" s="21" t="s">
        <v>1129</v>
      </c>
      <c r="U137" s="35">
        <f t="shared" ca="1" si="75"/>
        <v>-23</v>
      </c>
      <c r="V137" s="33" t="str">
        <f t="shared" si="76"/>
        <v>Al dia</v>
      </c>
      <c r="W137" s="33" t="str">
        <f t="shared" si="77"/>
        <v>Si</v>
      </c>
      <c r="X137" s="36" t="str">
        <f t="shared" si="78"/>
        <v>Costos Operacionales</v>
      </c>
      <c r="Y137" s="27" t="str">
        <f t="shared" si="26"/>
        <v>Si</v>
      </c>
      <c r="Z137" s="1"/>
      <c r="AA137" s="1"/>
    </row>
    <row r="138" spans="1:27" ht="15" customHeight="1" x14ac:dyDescent="0.3">
      <c r="A138" s="1" t="str">
        <f>VLOOKUP(E138,$B$168:$B$255,1,0)</f>
        <v>AEROVIAS DE INTEGRACION REGIONAL S.A. (LATAM)</v>
      </c>
      <c r="B138" s="25">
        <v>46304</v>
      </c>
      <c r="C138" s="25"/>
      <c r="D138" s="26" t="str">
        <f t="shared" si="74"/>
        <v>Pendiente</v>
      </c>
      <c r="E138" s="27" t="s">
        <v>948</v>
      </c>
      <c r="F138" s="28" t="s">
        <v>923</v>
      </c>
      <c r="G138" s="27" t="s">
        <v>1143</v>
      </c>
      <c r="H138" s="36" t="str">
        <f t="array" ref="H138">_xlfn.XLOOKUP($G138,Data!$E:$E,Data!$F:$F,"Revisar",0)</f>
        <v>ANIXTER</v>
      </c>
      <c r="I138" s="36" t="str">
        <f t="array" ref="I138">_xlfn.XLOOKUP($G138,Data!$E:$E,Data!$G:$G,"Revisar",0)</f>
        <v>Link Partner Summit</v>
      </c>
      <c r="J138" s="27" t="s">
        <v>1127</v>
      </c>
      <c r="K138" s="31">
        <v>517600</v>
      </c>
      <c r="L138" s="31">
        <v>98340</v>
      </c>
      <c r="M138" s="31">
        <v>48400</v>
      </c>
      <c r="N138" s="31"/>
      <c r="O138" s="32">
        <f t="shared" si="72"/>
        <v>664340</v>
      </c>
      <c r="P138" s="33">
        <f>IF($R138="","",-SUMIFS('Extractos bancarios - Manglar'!$C:$C,'Extractos bancarios - Manglar'!$M:$M,$R138))</f>
        <v>0</v>
      </c>
      <c r="Q138" s="32">
        <f t="shared" si="73"/>
        <v>664340</v>
      </c>
      <c r="R138" s="28" t="s">
        <v>1128</v>
      </c>
      <c r="S138" s="25">
        <v>46304</v>
      </c>
      <c r="T138" s="21" t="s">
        <v>1130</v>
      </c>
      <c r="U138" s="35">
        <f t="shared" ca="1" si="75"/>
        <v>-19</v>
      </c>
      <c r="V138" s="33" t="str">
        <f t="shared" ca="1" si="76"/>
        <v>Vencida</v>
      </c>
      <c r="W138" s="33" t="str">
        <f t="shared" ca="1" si="77"/>
        <v>Si</v>
      </c>
      <c r="X138" s="36" t="str">
        <f t="shared" si="78"/>
        <v>Costo Ventas</v>
      </c>
      <c r="Y138" s="27" t="str">
        <f t="shared" si="26"/>
        <v>Si</v>
      </c>
      <c r="Z138" s="1"/>
      <c r="AA138" s="1"/>
    </row>
    <row r="139" spans="1:27" ht="15" customHeight="1" x14ac:dyDescent="0.3">
      <c r="A139" s="1" t="str">
        <f>VLOOKUP(E139,$B$168:$B$255,1,0)</f>
        <v>VENUES SNACKS SAS</v>
      </c>
      <c r="B139" s="25">
        <v>46291</v>
      </c>
      <c r="C139" s="25">
        <v>46291</v>
      </c>
      <c r="D139" s="26" t="str">
        <f t="shared" si="74"/>
        <v>Pagada</v>
      </c>
      <c r="E139" s="27" t="s">
        <v>1151</v>
      </c>
      <c r="F139" s="28" t="s">
        <v>1152</v>
      </c>
      <c r="G139" s="27" t="s">
        <v>161</v>
      </c>
      <c r="H139" s="36" t="str">
        <f t="array" ref="H139">_xlfn.XLOOKUP($G139,Data!$E:$E,Data!$F:$F,"Revisar",0)</f>
        <v>Kaspersky</v>
      </c>
      <c r="I139" s="36" t="str">
        <f t="array" ref="I139">_xlfn.XLOOKUP($G139,Data!$E:$E,Data!$G:$G,"Revisar",0)</f>
        <v>Bolsa Incentivos 2026</v>
      </c>
      <c r="J139" s="27" t="s">
        <v>1157</v>
      </c>
      <c r="K139" s="31">
        <v>44444.44</v>
      </c>
      <c r="L139" s="31">
        <v>0</v>
      </c>
      <c r="M139" s="31">
        <v>3555.56</v>
      </c>
      <c r="N139" s="31"/>
      <c r="O139" s="32">
        <f t="shared" si="72"/>
        <v>48000</v>
      </c>
      <c r="P139" s="33">
        <f>IF($R139="","",-SUMIFS('Extractos bancarios - Manglar'!$C:$C,'Extractos bancarios - Manglar'!$M:$M,$R139))</f>
        <v>48000</v>
      </c>
      <c r="Q139" s="32">
        <f t="shared" si="73"/>
        <v>0</v>
      </c>
      <c r="R139" s="28" t="s">
        <v>1161</v>
      </c>
      <c r="S139" s="25">
        <v>46291</v>
      </c>
      <c r="T139" s="21" t="s">
        <v>1162</v>
      </c>
      <c r="U139" s="35">
        <f t="shared" ca="1" si="75"/>
        <v>-32</v>
      </c>
      <c r="V139" s="33" t="str">
        <f t="shared" si="76"/>
        <v>Al dia</v>
      </c>
      <c r="W139" s="33" t="str">
        <f t="shared" si="77"/>
        <v>Si</v>
      </c>
      <c r="X139" s="36" t="str">
        <f t="shared" si="78"/>
        <v>Costo Ventas</v>
      </c>
      <c r="Y139" s="27" t="str">
        <f t="shared" si="26"/>
        <v>Si</v>
      </c>
      <c r="Z139" s="1"/>
      <c r="AA139" s="1"/>
    </row>
    <row r="140" spans="1:27" ht="15" customHeight="1" x14ac:dyDescent="0.3">
      <c r="A140" s="1" t="str">
        <f>VLOOKUP(E140,$B$168:$B$255,1,0)</f>
        <v>VENUES SNACKS SAS</v>
      </c>
      <c r="B140" s="25">
        <v>46291</v>
      </c>
      <c r="C140" s="25">
        <v>46291</v>
      </c>
      <c r="D140" s="26" t="str">
        <f t="shared" si="74"/>
        <v>Pagada</v>
      </c>
      <c r="E140" s="27" t="s">
        <v>1151</v>
      </c>
      <c r="F140" s="28" t="s">
        <v>1152</v>
      </c>
      <c r="G140" s="27" t="s">
        <v>161</v>
      </c>
      <c r="H140" s="36" t="str">
        <f t="array" ref="H140">_xlfn.XLOOKUP($G140,Data!$E:$E,Data!$F:$F,"Revisar",0)</f>
        <v>Kaspersky</v>
      </c>
      <c r="I140" s="36" t="str">
        <f t="array" ref="I140">_xlfn.XLOOKUP($G140,Data!$E:$E,Data!$G:$G,"Revisar",0)</f>
        <v>Bolsa Incentivos 2026</v>
      </c>
      <c r="J140" s="27" t="s">
        <v>1158</v>
      </c>
      <c r="K140" s="31">
        <v>2601851.85</v>
      </c>
      <c r="L140" s="31">
        <v>0</v>
      </c>
      <c r="M140" s="31">
        <v>468333.15</v>
      </c>
      <c r="N140" s="31"/>
      <c r="O140" s="32">
        <f t="shared" si="72"/>
        <v>3070185</v>
      </c>
      <c r="P140" s="33">
        <f>IF($R140="","",-SUMIFS('Extractos bancarios - Manglar'!$C:$C,'Extractos bancarios - Manglar'!$M:$M,$R140))</f>
        <v>3070185</v>
      </c>
      <c r="Q140" s="32">
        <f t="shared" si="73"/>
        <v>0</v>
      </c>
      <c r="R140" s="28" t="s">
        <v>1163</v>
      </c>
      <c r="S140" s="25">
        <v>46291</v>
      </c>
      <c r="T140" s="21" t="s">
        <v>1164</v>
      </c>
      <c r="U140" s="35">
        <f t="shared" ca="1" si="75"/>
        <v>-32</v>
      </c>
      <c r="V140" s="33" t="str">
        <f t="shared" si="76"/>
        <v>Al dia</v>
      </c>
      <c r="W140" s="33" t="str">
        <f t="shared" si="77"/>
        <v>Si</v>
      </c>
      <c r="X140" s="36" t="str">
        <f t="shared" si="78"/>
        <v>Costo Ventas</v>
      </c>
      <c r="Y140" s="27" t="str">
        <f t="shared" si="26"/>
        <v>Si</v>
      </c>
      <c r="Z140" s="1"/>
      <c r="AA140" s="1"/>
    </row>
    <row r="141" spans="1:27" ht="15" customHeight="1" x14ac:dyDescent="0.3">
      <c r="A141" s="1" t="str">
        <f>VLOOKUP(E141,$B$168:$B$255,1,0)</f>
        <v>SAMARIAN CO. SAS</v>
      </c>
      <c r="B141" s="25">
        <v>46309</v>
      </c>
      <c r="C141" s="25">
        <v>46309</v>
      </c>
      <c r="D141" s="26" t="str">
        <f t="shared" si="74"/>
        <v>Pagada</v>
      </c>
      <c r="E141" s="27" t="s">
        <v>1153</v>
      </c>
      <c r="F141" s="28" t="s">
        <v>1154</v>
      </c>
      <c r="G141" s="27" t="s">
        <v>1143</v>
      </c>
      <c r="H141" s="36" t="str">
        <f t="array" ref="H141">_xlfn.XLOOKUP($G141,Data!$E:$E,Data!$F:$F,"Revisar",0)</f>
        <v>ANIXTER</v>
      </c>
      <c r="I141" s="36" t="str">
        <f t="array" ref="I141">_xlfn.XLOOKUP($G141,Data!$E:$E,Data!$G:$G,"Revisar",0)</f>
        <v>Link Partner Summit</v>
      </c>
      <c r="J141" s="27" t="s">
        <v>1159</v>
      </c>
      <c r="K141" s="31">
        <v>59259.26</v>
      </c>
      <c r="L141" s="31">
        <v>0</v>
      </c>
      <c r="M141" s="31">
        <v>10666.67</v>
      </c>
      <c r="N141" s="31"/>
      <c r="O141" s="32">
        <f t="shared" si="72"/>
        <v>69925.930000000008</v>
      </c>
      <c r="P141" s="33">
        <f>IF($R141="","",-SUMIFS('Extractos bancarios - Manglar'!$C:$C,'Extractos bancarios - Manglar'!$M:$M,$R141))</f>
        <v>69926</v>
      </c>
      <c r="Q141" s="32">
        <f t="shared" si="73"/>
        <v>-6.9999999992433004E-2</v>
      </c>
      <c r="R141" s="28" t="s">
        <v>1165</v>
      </c>
      <c r="S141" s="25">
        <v>46309</v>
      </c>
      <c r="T141" s="21" t="s">
        <v>1166</v>
      </c>
      <c r="U141" s="35">
        <f t="shared" ca="1" si="75"/>
        <v>-14</v>
      </c>
      <c r="V141" s="33" t="str">
        <f t="shared" si="76"/>
        <v>Al dia</v>
      </c>
      <c r="W141" s="33" t="str">
        <f t="shared" si="77"/>
        <v>Si</v>
      </c>
      <c r="X141" s="36" t="str">
        <f t="shared" si="78"/>
        <v>Costo Ventas</v>
      </c>
      <c r="Y141" s="27" t="str">
        <f t="shared" si="26"/>
        <v>Si</v>
      </c>
      <c r="Z141" s="1"/>
      <c r="AA141" s="1"/>
    </row>
    <row r="142" spans="1:27" ht="15" customHeight="1" x14ac:dyDescent="0.3">
      <c r="A142" s="1" t="str">
        <f>VLOOKUP(E142,$B$168:$B$255,1,0)</f>
        <v>CURCUMA S.A.S</v>
      </c>
      <c r="B142" s="25">
        <v>46308</v>
      </c>
      <c r="C142" s="25"/>
      <c r="D142" s="26" t="str">
        <f t="shared" si="74"/>
        <v>Pendiente</v>
      </c>
      <c r="E142" s="27" t="s">
        <v>1155</v>
      </c>
      <c r="F142" s="28" t="s">
        <v>1156</v>
      </c>
      <c r="G142" s="192" t="s">
        <v>918</v>
      </c>
      <c r="H142" s="36" t="str">
        <f t="array" ref="H142">_xlfn.XLOOKUP($G142,Data!$E:$E,Data!$F:$F,"Revisar",0)</f>
        <v>Revisar</v>
      </c>
      <c r="I142" s="36" t="str">
        <f t="array" ref="I142">_xlfn.XLOOKUP($G142,Data!$E:$E,Data!$G:$G,"Revisar",0)</f>
        <v>Revisar</v>
      </c>
      <c r="J142" s="27" t="s">
        <v>1160</v>
      </c>
      <c r="K142" s="31">
        <v>62037.03</v>
      </c>
      <c r="L142" s="31">
        <v>0</v>
      </c>
      <c r="M142" s="31">
        <v>11166.96</v>
      </c>
      <c r="N142" s="31"/>
      <c r="O142" s="32">
        <f t="shared" si="72"/>
        <v>73203.989999999991</v>
      </c>
      <c r="P142" s="33">
        <f>IF($R142="","",-SUMIFS('Extractos bancarios - Manglar'!$C:$C,'Extractos bancarios - Manglar'!$M:$M,$R142))</f>
        <v>0</v>
      </c>
      <c r="Q142" s="32">
        <f t="shared" si="73"/>
        <v>73203.989999999991</v>
      </c>
      <c r="R142" s="28" t="s">
        <v>1167</v>
      </c>
      <c r="S142" s="25">
        <v>46308</v>
      </c>
      <c r="T142" s="21" t="s">
        <v>1168</v>
      </c>
      <c r="U142" s="35">
        <f t="shared" ca="1" si="75"/>
        <v>-15</v>
      </c>
      <c r="V142" s="33" t="str">
        <f t="shared" ca="1" si="76"/>
        <v>Vencida</v>
      </c>
      <c r="W142" s="33" t="str">
        <f t="shared" ca="1" si="77"/>
        <v>Si</v>
      </c>
      <c r="X142" s="36" t="str">
        <f t="shared" si="78"/>
        <v>Por clasificar</v>
      </c>
      <c r="Y142" s="27" t="str">
        <f t="shared" si="26"/>
        <v>Si</v>
      </c>
      <c r="Z142" s="1"/>
      <c r="AA142" s="1"/>
    </row>
    <row r="143" spans="1:27" ht="15" customHeight="1" x14ac:dyDescent="0.3">
      <c r="A143" s="1" t="str">
        <f>VLOOKUP(E143,$B$168:$B$255,1,0)</f>
        <v>PARALELO 108</v>
      </c>
      <c r="B143" s="25">
        <v>46315</v>
      </c>
      <c r="C143" s="25">
        <v>46315</v>
      </c>
      <c r="D143" s="26" t="str">
        <f t="shared" ref="D143" si="79">IF($R143="","",IF(ABS(Q143)&lt;1,"Pagada",IF(Q143&lt;0,IF(O143&lt;0,"Nota credito","Saldo a favor"),IF(P143&lt;&gt;0,"Parcial","Pendiente"))))</f>
        <v>Pagada</v>
      </c>
      <c r="E143" s="27" t="s">
        <v>1184</v>
      </c>
      <c r="F143" s="28" t="s">
        <v>1185</v>
      </c>
      <c r="G143" s="192" t="s">
        <v>918</v>
      </c>
      <c r="H143" s="36" t="str">
        <f t="array" ref="H143">_xlfn.XLOOKUP($G143,Data!$E:$E,Data!$F:$F,"Revisar",0)</f>
        <v>Revisar</v>
      </c>
      <c r="I143" s="36" t="str">
        <f t="array" ref="I143">_xlfn.XLOOKUP($G143,Data!$E:$E,Data!$G:$G,"Revisar",0)</f>
        <v>Revisar</v>
      </c>
      <c r="J143" s="27" t="s">
        <v>1188</v>
      </c>
      <c r="K143" s="31">
        <v>5294.12</v>
      </c>
      <c r="L143" s="31">
        <v>1005.88</v>
      </c>
      <c r="M143" s="31">
        <v>0</v>
      </c>
      <c r="N143" s="31"/>
      <c r="O143" s="32">
        <f t="shared" ref="O143" si="80">IF($R143="","",K143+L143+M143)</f>
        <v>6300</v>
      </c>
      <c r="P143" s="33">
        <f>IF($R143="","",-SUMIFS('Extractos bancarios - Manglar'!$C:$C,'Extractos bancarios - Manglar'!$M:$M,$R143))</f>
        <v>6300</v>
      </c>
      <c r="Q143" s="32">
        <f t="shared" ref="Q143" si="81">IF($R143="","",O143-N143-P143)</f>
        <v>0</v>
      </c>
      <c r="R143" s="28" t="s">
        <v>1176</v>
      </c>
      <c r="S143" s="25">
        <v>46315</v>
      </c>
      <c r="T143" s="21" t="s">
        <v>1190</v>
      </c>
      <c r="U143" s="35">
        <f t="shared" ca="1" si="75"/>
        <v>-8</v>
      </c>
      <c r="V143" s="33" t="str">
        <f t="shared" si="76"/>
        <v>Al dia</v>
      </c>
      <c r="W143" s="33" t="str">
        <f t="shared" si="77"/>
        <v>Si</v>
      </c>
      <c r="X143" s="36" t="str">
        <f t="shared" si="78"/>
        <v>Por clasificar</v>
      </c>
      <c r="Y143" s="27" t="str">
        <f t="shared" si="26"/>
        <v>Si</v>
      </c>
      <c r="Z143" s="1"/>
      <c r="AA143" s="1"/>
    </row>
    <row r="144" spans="1:27" ht="15" customHeight="1" x14ac:dyDescent="0.3">
      <c r="A144" s="1" t="str">
        <f>VLOOKUP(E144,$B$168:$B$255,1,0)</f>
        <v>HOTELES ROYAL S.A.</v>
      </c>
      <c r="B144" s="25">
        <v>46318</v>
      </c>
      <c r="C144" s="25"/>
      <c r="D144" s="26" t="str">
        <f t="shared" ref="D144" si="82">IF($R144="","",IF(ABS(Q144)&lt;1,"Pagada",IF(Q144&lt;0,IF(O144&lt;0,"Nota credito","Saldo a favor"),IF(P144&lt;&gt;0,"Parcial","Pendiente"))))</f>
        <v>Pendiente</v>
      </c>
      <c r="E144" s="27" t="s">
        <v>1186</v>
      </c>
      <c r="F144" s="28" t="s">
        <v>1187</v>
      </c>
      <c r="G144" s="192" t="s">
        <v>918</v>
      </c>
      <c r="H144" s="36" t="str">
        <f t="array" ref="H144">_xlfn.XLOOKUP($G144,Data!$E:$E,Data!$F:$F,"Revisar",0)</f>
        <v>Revisar</v>
      </c>
      <c r="I144" s="36" t="str">
        <f t="array" ref="I144">_xlfn.XLOOKUP($G144,Data!$E:$E,Data!$G:$G,"Revisar",0)</f>
        <v>Revisar</v>
      </c>
      <c r="J144" s="27" t="s">
        <v>1189</v>
      </c>
      <c r="K144" s="31">
        <v>8845655</v>
      </c>
      <c r="L144" s="31">
        <v>1680674</v>
      </c>
      <c r="M144" s="31">
        <v>0</v>
      </c>
      <c r="N144" s="31"/>
      <c r="O144" s="32">
        <f t="shared" ref="O144" si="83">IF($R144="","",K144+L144+M144)</f>
        <v>10526329</v>
      </c>
      <c r="P144" s="33">
        <f>IF($R144="","",-SUMIFS('Extractos bancarios - Manglar'!$C:$C,'Extractos bancarios - Manglar'!$M:$M,$R144))</f>
        <v>0</v>
      </c>
      <c r="Q144" s="32">
        <f t="shared" ref="Q144" si="84">IF($R144="","",O144-N144-P144)</f>
        <v>10526329</v>
      </c>
      <c r="R144" s="28" t="s">
        <v>1191</v>
      </c>
      <c r="S144" s="25">
        <v>46318</v>
      </c>
      <c r="T144" s="21" t="s">
        <v>1192</v>
      </c>
      <c r="U144" s="35">
        <f t="shared" ca="1" si="75"/>
        <v>-5</v>
      </c>
      <c r="V144" s="33" t="str">
        <f t="shared" ca="1" si="76"/>
        <v>Vencida</v>
      </c>
      <c r="W144" s="33" t="str">
        <f t="shared" ca="1" si="77"/>
        <v>Si</v>
      </c>
      <c r="X144" s="36" t="str">
        <f t="shared" si="78"/>
        <v>Por clasificar</v>
      </c>
      <c r="Y144" s="27" t="str">
        <f t="shared" si="26"/>
        <v>Si</v>
      </c>
      <c r="Z144" s="1"/>
      <c r="AA144" s="1"/>
    </row>
    <row r="145" spans="1:27" ht="15" customHeight="1" x14ac:dyDescent="0.3">
      <c r="A145" s="1" t="str">
        <f>VLOOKUP(E145,$B$168:$B$255,1,0)</f>
        <v>INFARTO SAS</v>
      </c>
      <c r="B145" s="25">
        <v>46319</v>
      </c>
      <c r="C145" s="25">
        <v>46319</v>
      </c>
      <c r="D145" s="26" t="str">
        <f t="shared" ref="D145" si="85">IF($R145="","",IF(ABS(Q145)&lt;1,"Pagada",IF(Q145&lt;0,IF(O145&lt;0,"Nota credito","Saldo a favor"),IF(P145&lt;&gt;0,"Parcial","Pendiente"))))</f>
        <v>Pagada</v>
      </c>
      <c r="E145" s="27" t="s">
        <v>987</v>
      </c>
      <c r="F145" s="28" t="s">
        <v>988</v>
      </c>
      <c r="G145" s="192" t="s">
        <v>918</v>
      </c>
      <c r="H145" s="36" t="str">
        <f t="array" ref="H145">_xlfn.XLOOKUP($G145,Data!$E:$E,Data!$F:$F,"Revisar",0)</f>
        <v>Revisar</v>
      </c>
      <c r="I145" s="36" t="str">
        <f t="array" ref="I145">_xlfn.XLOOKUP($G145,Data!$E:$E,Data!$G:$G,"Revisar",0)</f>
        <v>Revisar</v>
      </c>
      <c r="J145" s="27" t="s">
        <v>995</v>
      </c>
      <c r="K145" s="31">
        <v>149722</v>
      </c>
      <c r="L145" s="31">
        <v>0</v>
      </c>
      <c r="M145" s="31">
        <v>26878</v>
      </c>
      <c r="N145" s="31"/>
      <c r="O145" s="32">
        <f t="shared" ref="O145" si="86">IF($R145="","",K145+L145+M145)</f>
        <v>176600</v>
      </c>
      <c r="P145" s="33">
        <f>IF($R145="","",-SUMIFS('Extractos bancarios - Manglar'!$C:$C,'Extractos bancarios - Manglar'!$M:$M,$R145))</f>
        <v>176600</v>
      </c>
      <c r="Q145" s="32">
        <f t="shared" ref="Q145" si="87">IF($R145="","",O145-N145-P145)</f>
        <v>0</v>
      </c>
      <c r="R145" s="28" t="s">
        <v>1179</v>
      </c>
      <c r="S145" s="25">
        <v>46319</v>
      </c>
      <c r="T145" s="21" t="s">
        <v>1193</v>
      </c>
      <c r="U145" s="35">
        <f t="shared" ca="1" si="75"/>
        <v>-4</v>
      </c>
      <c r="V145" s="33" t="str">
        <f t="shared" si="76"/>
        <v>Al dia</v>
      </c>
      <c r="W145" s="33" t="str">
        <f t="shared" si="77"/>
        <v>Si</v>
      </c>
      <c r="X145" s="36" t="str">
        <f t="shared" si="78"/>
        <v>Por clasificar</v>
      </c>
      <c r="Y145" s="27" t="str">
        <f t="shared" si="26"/>
        <v>Si</v>
      </c>
      <c r="Z145" s="1"/>
      <c r="AA145" s="1"/>
    </row>
    <row r="146" spans="1:27" ht="15" customHeight="1" x14ac:dyDescent="0.3">
      <c r="A146" s="1" t="e">
        <f>VLOOKUP(E146,$B$168:$B$255,1,0)</f>
        <v>#N/A</v>
      </c>
      <c r="B146" s="25"/>
      <c r="C146" s="25"/>
      <c r="D146" s="26" t="str">
        <f t="shared" ref="D146" si="88">IF($R146="","",IF(ABS(Q146)&lt;1,"Pagada",IF(Q146&lt;0,IF(O146&lt;0,"Nota credito","Saldo a favor"),IF(P146&lt;&gt;0,"Parcial","Pendiente"))))</f>
        <v/>
      </c>
      <c r="E146" s="27"/>
      <c r="F146" s="28"/>
      <c r="G146" s="27"/>
      <c r="H146" s="36">
        <f t="array" ref="H146">_xlfn.XLOOKUP($G146,Data!$E:$E,Data!$F:$F,"Revisar",0)</f>
        <v>0</v>
      </c>
      <c r="I146" s="36">
        <f t="array" ref="I146">_xlfn.XLOOKUP($G146,Data!$E:$E,Data!$G:$G,"Revisar",0)</f>
        <v>0</v>
      </c>
      <c r="J146" s="27"/>
      <c r="K146" s="31"/>
      <c r="L146" s="31"/>
      <c r="M146" s="31"/>
      <c r="N146" s="31"/>
      <c r="O146" s="32" t="str">
        <f t="shared" ref="O146" si="89">IF($R146="","",K146+L146+M146)</f>
        <v/>
      </c>
      <c r="P146" s="33" t="str">
        <f>IF($R146="","",-SUMIFS('Extractos bancarios - Manglar'!$C:$C,'Extractos bancarios - Manglar'!$M:$M,$R146))</f>
        <v/>
      </c>
      <c r="Q146" s="32" t="str">
        <f t="shared" ref="Q146" si="90">IF($R146="","",O146-N146-P146)</f>
        <v/>
      </c>
      <c r="R146" s="28"/>
      <c r="S146" s="25"/>
      <c r="T146" s="21"/>
      <c r="U146" s="35" t="str">
        <f t="shared" ca="1" si="75"/>
        <v/>
      </c>
      <c r="V146" s="33" t="str">
        <f t="shared" si="76"/>
        <v/>
      </c>
      <c r="W146" s="33" t="str">
        <f t="shared" si="77"/>
        <v/>
      </c>
      <c r="X146" s="36" t="str">
        <f t="shared" si="78"/>
        <v/>
      </c>
      <c r="Y146" s="27" t="str">
        <f t="shared" si="26"/>
        <v/>
      </c>
      <c r="Z146" s="1"/>
      <c r="AA146" s="1"/>
    </row>
    <row r="147" spans="1:27" ht="15" customHeight="1" x14ac:dyDescent="0.3">
      <c r="A147" s="1" t="e">
        <f>VLOOKUP(E147,$B$168:$B$255,1,0)</f>
        <v>#N/A</v>
      </c>
      <c r="B147" s="25"/>
      <c r="C147" s="25"/>
      <c r="D147" s="26" t="str">
        <f t="shared" ref="D147" si="91">IF($R147="","",IF(ABS(Q147)&lt;1,"Pagada",IF(Q147&lt;0,IF(O147&lt;0,"Nota credito","Saldo a favor"),IF(P147&lt;&gt;0,"Parcial","Pendiente"))))</f>
        <v/>
      </c>
      <c r="E147" s="27"/>
      <c r="F147" s="28"/>
      <c r="G147" s="27"/>
      <c r="H147" s="36">
        <f t="array" ref="H147">_xlfn.XLOOKUP($G147,Data!$E:$E,Data!$F:$F,"Revisar",0)</f>
        <v>0</v>
      </c>
      <c r="I147" s="36">
        <f t="array" ref="I147">_xlfn.XLOOKUP($G147,Data!$E:$E,Data!$G:$G,"Revisar",0)</f>
        <v>0</v>
      </c>
      <c r="J147" s="27"/>
      <c r="K147" s="31"/>
      <c r="L147" s="31"/>
      <c r="M147" s="31"/>
      <c r="N147" s="31"/>
      <c r="O147" s="32" t="str">
        <f t="shared" ref="O147" si="92">IF($R147="","",K147+L147+M147)</f>
        <v/>
      </c>
      <c r="P147" s="33" t="str">
        <f>IF($R147="","",-SUMIFS('Extractos bancarios - Manglar'!$C:$C,'Extractos bancarios - Manglar'!$M:$M,$R147))</f>
        <v/>
      </c>
      <c r="Q147" s="32" t="str">
        <f t="shared" ref="Q147" si="93">IF($R147="","",O147-N147-P147)</f>
        <v/>
      </c>
      <c r="R147" s="28"/>
      <c r="S147" s="25"/>
      <c r="T147" s="21"/>
      <c r="U147" s="35" t="str">
        <f t="shared" ca="1" si="75"/>
        <v/>
      </c>
      <c r="V147" s="33" t="str">
        <f t="shared" si="76"/>
        <v/>
      </c>
      <c r="W147" s="33" t="str">
        <f t="shared" si="77"/>
        <v/>
      </c>
      <c r="X147" s="36" t="str">
        <f t="shared" si="78"/>
        <v/>
      </c>
      <c r="Y147" s="27" t="str">
        <f t="shared" si="26"/>
        <v/>
      </c>
      <c r="Z147" s="1"/>
      <c r="AA147" s="1"/>
    </row>
    <row r="148" spans="1:27" ht="15" customHeight="1" x14ac:dyDescent="0.3">
      <c r="A148" s="1" t="e">
        <f>VLOOKUP(E148,$B$168:$B$255,1,0)</f>
        <v>#N/A</v>
      </c>
      <c r="B148" s="25"/>
      <c r="C148" s="25"/>
      <c r="D148" s="26" t="str">
        <f t="shared" ref="D148" si="94">IF($R148="","",IF(ABS(Q148)&lt;1,"Pagada",IF(Q148&lt;0,IF(O148&lt;0,"Nota credito","Saldo a favor"),IF(P148&lt;&gt;0,"Parcial","Pendiente"))))</f>
        <v/>
      </c>
      <c r="E148" s="27"/>
      <c r="F148" s="28"/>
      <c r="G148" s="27"/>
      <c r="H148" s="36">
        <f t="array" ref="H148">_xlfn.XLOOKUP($G148,Data!$E:$E,Data!$F:$F,"Revisar",0)</f>
        <v>0</v>
      </c>
      <c r="I148" s="36">
        <f t="array" ref="I148">_xlfn.XLOOKUP($G148,Data!$E:$E,Data!$G:$G,"Revisar",0)</f>
        <v>0</v>
      </c>
      <c r="J148" s="27"/>
      <c r="K148" s="31"/>
      <c r="L148" s="31"/>
      <c r="M148" s="31"/>
      <c r="N148" s="31"/>
      <c r="O148" s="32" t="str">
        <f t="shared" ref="O148" si="95">IF($R148="","",K148+L148+M148)</f>
        <v/>
      </c>
      <c r="P148" s="33" t="str">
        <f>IF($R148="","",-SUMIFS('Extractos bancarios - Manglar'!$C:$C,'Extractos bancarios - Manglar'!$M:$M,$R148))</f>
        <v/>
      </c>
      <c r="Q148" s="32" t="str">
        <f t="shared" ref="Q148" si="96">IF($R148="","",O148-N148-P148)</f>
        <v/>
      </c>
      <c r="R148" s="28"/>
      <c r="S148" s="25"/>
      <c r="T148" s="21"/>
      <c r="U148" s="35" t="str">
        <f t="shared" ca="1" si="75"/>
        <v/>
      </c>
      <c r="V148" s="33" t="str">
        <f t="shared" si="76"/>
        <v/>
      </c>
      <c r="W148" s="33" t="str">
        <f t="shared" si="77"/>
        <v/>
      </c>
      <c r="X148" s="36" t="str">
        <f t="shared" si="78"/>
        <v/>
      </c>
      <c r="Y148" s="27" t="str">
        <f t="shared" si="26"/>
        <v/>
      </c>
      <c r="Z148" s="1"/>
      <c r="AA148" s="1"/>
    </row>
    <row r="149" spans="1:27" ht="15" customHeight="1" x14ac:dyDescent="0.3">
      <c r="A149" s="1" t="e">
        <f>VLOOKUP(E149,$B$168:$B$255,1,0)</f>
        <v>#N/A</v>
      </c>
      <c r="B149" s="25"/>
      <c r="C149" s="25"/>
      <c r="D149" s="26" t="str">
        <f t="shared" ref="D149" si="97">IF($R149="","",IF(ABS(Q149)&lt;1,"Pagada",IF(Q149&lt;0,IF(O149&lt;0,"Nota credito","Saldo a favor"),IF(P149&lt;&gt;0,"Parcial","Pendiente"))))</f>
        <v/>
      </c>
      <c r="E149" s="27"/>
      <c r="F149" s="28"/>
      <c r="G149" s="27"/>
      <c r="H149" s="36">
        <f t="array" ref="H149">_xlfn.XLOOKUP($G149,Data!$E:$E,Data!$F:$F,"Revisar",0)</f>
        <v>0</v>
      </c>
      <c r="I149" s="36">
        <f t="array" ref="I149">_xlfn.XLOOKUP($G149,Data!$E:$E,Data!$G:$G,"Revisar",0)</f>
        <v>0</v>
      </c>
      <c r="J149" s="27"/>
      <c r="K149" s="31"/>
      <c r="L149" s="31"/>
      <c r="M149" s="31"/>
      <c r="N149" s="31"/>
      <c r="O149" s="32" t="str">
        <f t="shared" ref="O149" si="98">IF($R149="","",K149+L149+M149)</f>
        <v/>
      </c>
      <c r="P149" s="33" t="str">
        <f>IF($R149="","",-SUMIFS('Extractos bancarios - Manglar'!$C:$C,'Extractos bancarios - Manglar'!$M:$M,$R149))</f>
        <v/>
      </c>
      <c r="Q149" s="32" t="str">
        <f t="shared" ref="Q149" si="99">IF($R149="","",O149-N149-P149)</f>
        <v/>
      </c>
      <c r="R149" s="28"/>
      <c r="S149" s="25"/>
      <c r="T149" s="21"/>
      <c r="U149" s="35" t="str">
        <f t="shared" ca="1" si="75"/>
        <v/>
      </c>
      <c r="V149" s="33" t="str">
        <f t="shared" si="76"/>
        <v/>
      </c>
      <c r="W149" s="33" t="str">
        <f t="shared" si="77"/>
        <v/>
      </c>
      <c r="X149" s="36" t="str">
        <f t="shared" si="78"/>
        <v/>
      </c>
      <c r="Y149" s="27" t="str">
        <f t="shared" si="26"/>
        <v/>
      </c>
      <c r="Z149" s="1"/>
      <c r="AA149" s="1"/>
    </row>
    <row r="150" spans="1:27" ht="15" customHeight="1" x14ac:dyDescent="0.3">
      <c r="A150" s="1" t="e">
        <f>VLOOKUP(E150,$B$168:$B$255,1,0)</f>
        <v>#N/A</v>
      </c>
      <c r="B150" s="25"/>
      <c r="C150" s="25"/>
      <c r="D150" s="26" t="str">
        <f t="shared" ref="D150" si="100">IF($R150="","",IF(ABS(Q150)&lt;1,"Pagada",IF(Q150&lt;0,IF(O150&lt;0,"Nota credito","Saldo a favor"),IF(P150&lt;&gt;0,"Parcial","Pendiente"))))</f>
        <v/>
      </c>
      <c r="E150" s="27"/>
      <c r="F150" s="28"/>
      <c r="G150" s="27"/>
      <c r="H150" s="36">
        <f t="array" ref="H150">_xlfn.XLOOKUP($G150,Data!$E:$E,Data!$F:$F,"Revisar",0)</f>
        <v>0</v>
      </c>
      <c r="I150" s="36">
        <f t="array" ref="I150">_xlfn.XLOOKUP($G150,Data!$E:$E,Data!$G:$G,"Revisar",0)</f>
        <v>0</v>
      </c>
      <c r="J150" s="27"/>
      <c r="K150" s="31"/>
      <c r="L150" s="31"/>
      <c r="M150" s="31"/>
      <c r="N150" s="31"/>
      <c r="O150" s="32" t="str">
        <f t="shared" ref="O150" si="101">IF($R150="","",K150+L150+M150)</f>
        <v/>
      </c>
      <c r="P150" s="33" t="str">
        <f>IF($R150="","",-SUMIFS('Extractos bancarios - Manglar'!$C:$C,'Extractos bancarios - Manglar'!$M:$M,$R150))</f>
        <v/>
      </c>
      <c r="Q150" s="32" t="str">
        <f t="shared" ref="Q150" si="102">IF($R150="","",O150-N150-P150)</f>
        <v/>
      </c>
      <c r="R150" s="28"/>
      <c r="S150" s="25"/>
      <c r="T150" s="21"/>
      <c r="U150" s="35" t="str">
        <f t="shared" ca="1" si="75"/>
        <v/>
      </c>
      <c r="V150" s="33" t="str">
        <f t="shared" si="76"/>
        <v/>
      </c>
      <c r="W150" s="33" t="str">
        <f t="shared" si="77"/>
        <v/>
      </c>
      <c r="X150" s="36" t="str">
        <f t="shared" si="78"/>
        <v/>
      </c>
      <c r="Y150" s="27" t="str">
        <f t="shared" si="26"/>
        <v/>
      </c>
      <c r="Z150" s="1"/>
      <c r="AA150" s="1"/>
    </row>
    <row r="151" spans="1:27" ht="15" customHeight="1" x14ac:dyDescent="0.3">
      <c r="A151" s="1" t="e">
        <f>VLOOKUP(E151,$B$168:$B$255,1,0)</f>
        <v>#N/A</v>
      </c>
      <c r="B151" s="25"/>
      <c r="C151" s="25"/>
      <c r="D151" s="26" t="str">
        <f t="shared" ref="D151" si="103">IF($R151="","",IF(ABS(Q151)&lt;1,"Pagada",IF(Q151&lt;0,IF(O151&lt;0,"Nota credito","Saldo a favor"),IF(P151&lt;&gt;0,"Parcial","Pendiente"))))</f>
        <v/>
      </c>
      <c r="E151" s="27"/>
      <c r="F151" s="28"/>
      <c r="G151" s="27"/>
      <c r="H151" s="36">
        <f t="array" ref="H151">_xlfn.XLOOKUP($G151,Data!$E:$E,Data!$F:$F,"Revisar",0)</f>
        <v>0</v>
      </c>
      <c r="I151" s="36">
        <f t="array" ref="I151">_xlfn.XLOOKUP($G151,Data!$E:$E,Data!$G:$G,"Revisar",0)</f>
        <v>0</v>
      </c>
      <c r="J151" s="27"/>
      <c r="K151" s="31"/>
      <c r="L151" s="31"/>
      <c r="M151" s="31"/>
      <c r="N151" s="31"/>
      <c r="O151" s="32" t="str">
        <f t="shared" ref="O151" si="104">IF($R151="","",K151+L151+M151)</f>
        <v/>
      </c>
      <c r="P151" s="33" t="str">
        <f>IF($R151="","",-SUMIFS('Extractos bancarios - Manglar'!$C:$C,'Extractos bancarios - Manglar'!$M:$M,$R151))</f>
        <v/>
      </c>
      <c r="Q151" s="32" t="str">
        <f t="shared" ref="Q151" si="105">IF($R151="","",O151-N151-P151)</f>
        <v/>
      </c>
      <c r="R151" s="28"/>
      <c r="S151" s="25"/>
      <c r="T151" s="21"/>
      <c r="U151" s="35" t="str">
        <f t="shared" ca="1" si="75"/>
        <v/>
      </c>
      <c r="V151" s="33" t="str">
        <f t="shared" si="76"/>
        <v/>
      </c>
      <c r="W151" s="33" t="str">
        <f t="shared" si="77"/>
        <v/>
      </c>
      <c r="X151" s="36" t="str">
        <f t="shared" si="78"/>
        <v/>
      </c>
      <c r="Y151" s="27" t="str">
        <f t="shared" si="26"/>
        <v/>
      </c>
      <c r="Z151" s="1"/>
      <c r="AA151" s="1"/>
    </row>
    <row r="152" spans="1:27" ht="15" customHeight="1" x14ac:dyDescent="0.3">
      <c r="A152" s="1" t="e">
        <f>VLOOKUP(E152,$B$168:$B$255,1,0)</f>
        <v>#N/A</v>
      </c>
      <c r="B152" s="25"/>
      <c r="C152" s="25"/>
      <c r="D152" s="26" t="str">
        <f t="shared" ref="D152" si="106">IF($R152="","",IF(ABS(Q152)&lt;1,"Pagada",IF(Q152&lt;0,IF(O152&lt;0,"Nota credito","Saldo a favor"),IF(P152&lt;&gt;0,"Parcial","Pendiente"))))</f>
        <v/>
      </c>
      <c r="E152" s="27"/>
      <c r="F152" s="28"/>
      <c r="G152" s="27"/>
      <c r="H152" s="36">
        <f t="array" ref="H152">_xlfn.XLOOKUP($G152,Data!$E:$E,Data!$F:$F,"Revisar",0)</f>
        <v>0</v>
      </c>
      <c r="I152" s="36">
        <f t="array" ref="I152">_xlfn.XLOOKUP($G152,Data!$E:$E,Data!$G:$G,"Revisar",0)</f>
        <v>0</v>
      </c>
      <c r="J152" s="27"/>
      <c r="K152" s="31"/>
      <c r="L152" s="31"/>
      <c r="M152" s="31"/>
      <c r="N152" s="31"/>
      <c r="O152" s="32" t="str">
        <f t="shared" ref="O152" si="107">IF($R152="","",K152+L152+M152)</f>
        <v/>
      </c>
      <c r="P152" s="33" t="str">
        <f>IF($R152="","",-SUMIFS('Extractos bancarios - Manglar'!$C:$C,'Extractos bancarios - Manglar'!$M:$M,$R152))</f>
        <v/>
      </c>
      <c r="Q152" s="32" t="str">
        <f t="shared" ref="Q152" si="108">IF($R152="","",O152-N152-P152)</f>
        <v/>
      </c>
      <c r="R152" s="28"/>
      <c r="S152" s="25"/>
      <c r="T152" s="21"/>
      <c r="U152" s="35" t="str">
        <f t="shared" ca="1" si="75"/>
        <v/>
      </c>
      <c r="V152" s="33" t="str">
        <f t="shared" si="76"/>
        <v/>
      </c>
      <c r="W152" s="33" t="str">
        <f t="shared" si="77"/>
        <v/>
      </c>
      <c r="X152" s="36" t="str">
        <f t="shared" si="78"/>
        <v/>
      </c>
      <c r="Y152" s="27" t="str">
        <f t="shared" si="26"/>
        <v/>
      </c>
      <c r="Z152" s="1"/>
      <c r="AA152" s="1"/>
    </row>
    <row r="153" spans="1:27" ht="15" customHeight="1" x14ac:dyDescent="0.3">
      <c r="A153" s="1" t="e">
        <f>VLOOKUP(E153,$B$168:$B$255,1,0)</f>
        <v>#N/A</v>
      </c>
      <c r="B153" s="25"/>
      <c r="C153" s="25"/>
      <c r="D153" s="26" t="str">
        <f t="shared" ref="D153" si="109">IF($R153="","",IF(ABS(Q153)&lt;1,"Pagada",IF(Q153&lt;0,IF(O153&lt;0,"Nota credito","Saldo a favor"),IF(P153&lt;&gt;0,"Parcial","Pendiente"))))</f>
        <v/>
      </c>
      <c r="E153" s="27"/>
      <c r="F153" s="28"/>
      <c r="G153" s="27"/>
      <c r="H153" s="36">
        <f t="array" ref="H153">_xlfn.XLOOKUP($G153,Data!$E:$E,Data!$F:$F,"Revisar",0)</f>
        <v>0</v>
      </c>
      <c r="I153" s="36">
        <f t="array" ref="I153">_xlfn.XLOOKUP($G153,Data!$E:$E,Data!$G:$G,"Revisar",0)</f>
        <v>0</v>
      </c>
      <c r="J153" s="27"/>
      <c r="K153" s="31"/>
      <c r="L153" s="31"/>
      <c r="M153" s="31"/>
      <c r="N153" s="31"/>
      <c r="O153" s="32" t="str">
        <f t="shared" ref="O153" si="110">IF($R153="","",K153+L153+M153)</f>
        <v/>
      </c>
      <c r="P153" s="33" t="str">
        <f>IF($R153="","",-SUMIFS('Extractos bancarios - Manglar'!$C:$C,'Extractos bancarios - Manglar'!$M:$M,$R153))</f>
        <v/>
      </c>
      <c r="Q153" s="32" t="str">
        <f t="shared" ref="Q153" si="111">IF($R153="","",O153-N153-P153)</f>
        <v/>
      </c>
      <c r="R153" s="28"/>
      <c r="S153" s="25"/>
      <c r="T153" s="21"/>
      <c r="U153" s="35" t="str">
        <f t="shared" ca="1" si="75"/>
        <v/>
      </c>
      <c r="V153" s="33" t="str">
        <f t="shared" si="76"/>
        <v/>
      </c>
      <c r="W153" s="33" t="str">
        <f t="shared" si="77"/>
        <v/>
      </c>
      <c r="X153" s="36" t="str">
        <f t="shared" si="78"/>
        <v/>
      </c>
      <c r="Y153" s="27" t="str">
        <f t="shared" si="26"/>
        <v/>
      </c>
      <c r="Z153" s="1"/>
      <c r="AA153" s="1"/>
    </row>
    <row r="154" spans="1:27" ht="15" customHeight="1" x14ac:dyDescent="0.3">
      <c r="A154" s="1" t="e">
        <f>VLOOKUP(E154,$B$168:$B$255,1,0)</f>
        <v>#N/A</v>
      </c>
      <c r="B154" s="25"/>
      <c r="C154" s="25"/>
      <c r="D154" s="26" t="str">
        <f t="shared" ref="D154" si="112">IF($R154="","",IF(ABS(Q154)&lt;1,"Pagada",IF(Q154&lt;0,IF(O154&lt;0,"Nota credito","Saldo a favor"),IF(P154&lt;&gt;0,"Parcial","Pendiente"))))</f>
        <v/>
      </c>
      <c r="E154" s="27"/>
      <c r="F154" s="28"/>
      <c r="G154" s="27"/>
      <c r="H154" s="36">
        <f t="array" ref="H154">_xlfn.XLOOKUP($G154,Data!$E:$E,Data!$F:$F,"Revisar",0)</f>
        <v>0</v>
      </c>
      <c r="I154" s="36">
        <f t="array" ref="I154">_xlfn.XLOOKUP($G154,Data!$E:$E,Data!$G:$G,"Revisar",0)</f>
        <v>0</v>
      </c>
      <c r="J154" s="27"/>
      <c r="K154" s="31"/>
      <c r="L154" s="31"/>
      <c r="M154" s="31"/>
      <c r="N154" s="31"/>
      <c r="O154" s="32" t="str">
        <f t="shared" ref="O154" si="113">IF($R154="","",K154+L154+M154)</f>
        <v/>
      </c>
      <c r="P154" s="33" t="str">
        <f>IF($R154="","",-SUMIFS('Extractos bancarios - Manglar'!$C:$C,'Extractos bancarios - Manglar'!$M:$M,$R154))</f>
        <v/>
      </c>
      <c r="Q154" s="32" t="str">
        <f t="shared" ref="Q154" si="114">IF($R154="","",O154-N154-P154)</f>
        <v/>
      </c>
      <c r="R154" s="28"/>
      <c r="S154" s="25"/>
      <c r="T154" s="21"/>
      <c r="U154" s="35" t="str">
        <f t="shared" ca="1" si="75"/>
        <v/>
      </c>
      <c r="V154" s="33" t="str">
        <f t="shared" si="76"/>
        <v/>
      </c>
      <c r="W154" s="33" t="str">
        <f t="shared" si="77"/>
        <v/>
      </c>
      <c r="X154" s="36" t="str">
        <f t="shared" si="78"/>
        <v/>
      </c>
      <c r="Y154" s="27" t="str">
        <f t="shared" si="26"/>
        <v/>
      </c>
      <c r="Z154" s="1"/>
      <c r="AA154" s="1"/>
    </row>
    <row r="155" spans="1:27" ht="15" customHeight="1" x14ac:dyDescent="0.3">
      <c r="A155" s="1" t="e">
        <f>VLOOKUP(E155,$B$168:$B$255,1,0)</f>
        <v>#N/A</v>
      </c>
      <c r="B155" s="25"/>
      <c r="C155" s="25"/>
      <c r="D155" s="26" t="str">
        <f t="shared" ref="D155" si="115">IF($R155="","",IF(ABS(Q155)&lt;1,"Pagada",IF(Q155&lt;0,IF(O155&lt;0,"Nota credito","Saldo a favor"),IF(P155&lt;&gt;0,"Parcial","Pendiente"))))</f>
        <v/>
      </c>
      <c r="E155" s="27"/>
      <c r="F155" s="28"/>
      <c r="G155" s="27"/>
      <c r="H155" s="36">
        <f t="array" ref="H155">_xlfn.XLOOKUP($G155,Data!$E:$E,Data!$F:$F,"Revisar",0)</f>
        <v>0</v>
      </c>
      <c r="I155" s="36">
        <f t="array" ref="I155">_xlfn.XLOOKUP($G155,Data!$E:$E,Data!$G:$G,"Revisar",0)</f>
        <v>0</v>
      </c>
      <c r="J155" s="27"/>
      <c r="K155" s="31"/>
      <c r="L155" s="31"/>
      <c r="M155" s="31"/>
      <c r="N155" s="31"/>
      <c r="O155" s="32" t="str">
        <f t="shared" ref="O155" si="116">IF($R155="","",K155+L155+M155)</f>
        <v/>
      </c>
      <c r="P155" s="33" t="str">
        <f>IF($R155="","",-SUMIFS('Extractos bancarios - Manglar'!$C:$C,'Extractos bancarios - Manglar'!$M:$M,$R155))</f>
        <v/>
      </c>
      <c r="Q155" s="32" t="str">
        <f t="shared" ref="Q155" si="117">IF($R155="","",O155-N155-P155)</f>
        <v/>
      </c>
      <c r="R155" s="28"/>
      <c r="S155" s="25"/>
      <c r="T155" s="21"/>
      <c r="U155" s="35" t="str">
        <f t="shared" ca="1" si="75"/>
        <v/>
      </c>
      <c r="V155" s="33" t="str">
        <f t="shared" si="76"/>
        <v/>
      </c>
      <c r="W155" s="33" t="str">
        <f t="shared" si="77"/>
        <v/>
      </c>
      <c r="X155" s="36" t="str">
        <f t="shared" si="78"/>
        <v/>
      </c>
      <c r="Y155" s="27" t="str">
        <f t="shared" si="26"/>
        <v/>
      </c>
      <c r="Z155" s="1"/>
      <c r="AA155" s="1"/>
    </row>
    <row r="156" spans="1:27" ht="15" customHeight="1" x14ac:dyDescent="0.3">
      <c r="A156" s="1" t="e">
        <f>VLOOKUP(E156,$B$168:$B$255,1,0)</f>
        <v>#N/A</v>
      </c>
      <c r="B156" s="25"/>
      <c r="C156" s="25"/>
      <c r="D156" s="26" t="str">
        <f t="shared" ref="D156" si="118">IF($R156="","",IF(ABS(Q156)&lt;1,"Pagada",IF(Q156&lt;0,IF(O156&lt;0,"Nota credito","Saldo a favor"),IF(P156&lt;&gt;0,"Parcial","Pendiente"))))</f>
        <v/>
      </c>
      <c r="E156" s="27"/>
      <c r="F156" s="28"/>
      <c r="G156" s="27"/>
      <c r="H156" s="36">
        <f t="array" ref="H156">_xlfn.XLOOKUP($G156,Data!$E:$E,Data!$F:$F,"Revisar",0)</f>
        <v>0</v>
      </c>
      <c r="I156" s="36">
        <f t="array" ref="I156">_xlfn.XLOOKUP($G156,Data!$E:$E,Data!$G:$G,"Revisar",0)</f>
        <v>0</v>
      </c>
      <c r="J156" s="27"/>
      <c r="K156" s="31"/>
      <c r="L156" s="31"/>
      <c r="M156" s="31"/>
      <c r="N156" s="31"/>
      <c r="O156" s="32" t="str">
        <f t="shared" ref="O156" si="119">IF($R156="","",K156+L156+M156)</f>
        <v/>
      </c>
      <c r="P156" s="33" t="str">
        <f>IF($R156="","",-SUMIFS('Extractos bancarios - Manglar'!$C:$C,'Extractos bancarios - Manglar'!$M:$M,$R156))</f>
        <v/>
      </c>
      <c r="Q156" s="32" t="str">
        <f t="shared" ref="Q156" si="120">IF($R156="","",O156-N156-P156)</f>
        <v/>
      </c>
      <c r="R156" s="28"/>
      <c r="S156" s="25"/>
      <c r="T156" s="21"/>
      <c r="U156" s="35" t="str">
        <f t="shared" ca="1" si="75"/>
        <v/>
      </c>
      <c r="V156" s="33" t="str">
        <f t="shared" si="76"/>
        <v/>
      </c>
      <c r="W156" s="33" t="str">
        <f t="shared" si="77"/>
        <v/>
      </c>
      <c r="X156" s="36" t="str">
        <f t="shared" si="78"/>
        <v/>
      </c>
      <c r="Y156" s="27" t="str">
        <f t="shared" si="26"/>
        <v/>
      </c>
      <c r="Z156" s="1"/>
      <c r="AA156" s="1"/>
    </row>
    <row r="157" spans="1:27" ht="15" customHeight="1" x14ac:dyDescent="0.3">
      <c r="A157" s="1" t="e">
        <f>VLOOKUP(E157,$B$168:$B$255,1,0)</f>
        <v>#N/A</v>
      </c>
      <c r="B157" s="25"/>
      <c r="C157" s="25"/>
      <c r="D157" s="26" t="str">
        <f t="shared" ref="D157" si="121">IF($R157="","",IF(ABS(Q157)&lt;1,"Pagada",IF(Q157&lt;0,IF(O157&lt;0,"Nota credito","Saldo a favor"),IF(P157&lt;&gt;0,"Parcial","Pendiente"))))</f>
        <v/>
      </c>
      <c r="E157" s="27"/>
      <c r="F157" s="28"/>
      <c r="G157" s="27"/>
      <c r="H157" s="36">
        <f t="array" ref="H157">_xlfn.XLOOKUP($G157,Data!$E:$E,Data!$F:$F,"Revisar",0)</f>
        <v>0</v>
      </c>
      <c r="I157" s="36">
        <f t="array" ref="I157">_xlfn.XLOOKUP($G157,Data!$E:$E,Data!$G:$G,"Revisar",0)</f>
        <v>0</v>
      </c>
      <c r="J157" s="27"/>
      <c r="K157" s="31"/>
      <c r="L157" s="31"/>
      <c r="M157" s="31"/>
      <c r="N157" s="31"/>
      <c r="O157" s="32" t="str">
        <f t="shared" ref="O157" si="122">IF($R157="","",K157+L157+M157)</f>
        <v/>
      </c>
      <c r="P157" s="33" t="str">
        <f>IF($R157="","",-SUMIFS('Extractos bancarios - Manglar'!$C:$C,'Extractos bancarios - Manglar'!$M:$M,$R157))</f>
        <v/>
      </c>
      <c r="Q157" s="32" t="str">
        <f t="shared" ref="Q157" si="123">IF($R157="","",O157-N157-P157)</f>
        <v/>
      </c>
      <c r="R157" s="28"/>
      <c r="S157" s="25"/>
      <c r="T157" s="21"/>
      <c r="U157" s="35" t="str">
        <f t="shared" ca="1" si="75"/>
        <v/>
      </c>
      <c r="V157" s="33" t="str">
        <f t="shared" si="76"/>
        <v/>
      </c>
      <c r="W157" s="33" t="str">
        <f t="shared" si="77"/>
        <v/>
      </c>
      <c r="X157" s="36" t="str">
        <f t="shared" si="78"/>
        <v/>
      </c>
      <c r="Y157" s="27" t="str">
        <f t="shared" si="26"/>
        <v/>
      </c>
      <c r="Z157" s="1"/>
      <c r="AA157" s="1"/>
    </row>
    <row r="158" spans="1:27" ht="15" customHeight="1" x14ac:dyDescent="0.3">
      <c r="A158" s="1" t="e">
        <f>VLOOKUP(E158,$B$168:$B$255,1,0)</f>
        <v>#N/A</v>
      </c>
      <c r="B158" s="25"/>
      <c r="C158" s="25"/>
      <c r="D158" s="26" t="str">
        <f t="shared" ref="D158" si="124">IF($R158="","",IF(ABS(Q158)&lt;1,"Pagada",IF(Q158&lt;0,IF(O158&lt;0,"Nota credito","Saldo a favor"),IF(P158&lt;&gt;0,"Parcial","Pendiente"))))</f>
        <v/>
      </c>
      <c r="E158" s="27"/>
      <c r="F158" s="28"/>
      <c r="G158" s="27"/>
      <c r="H158" s="36">
        <f t="array" ref="H158">_xlfn.XLOOKUP($G158,Data!$E:$E,Data!$F:$F,"Revisar",0)</f>
        <v>0</v>
      </c>
      <c r="I158" s="36">
        <f t="array" ref="I158">_xlfn.XLOOKUP($G158,Data!$E:$E,Data!$G:$G,"Revisar",0)</f>
        <v>0</v>
      </c>
      <c r="J158" s="27"/>
      <c r="K158" s="31"/>
      <c r="L158" s="31"/>
      <c r="M158" s="31"/>
      <c r="N158" s="31"/>
      <c r="O158" s="32" t="str">
        <f t="shared" ref="O158" si="125">IF($R158="","",K158+L158+M158)</f>
        <v/>
      </c>
      <c r="P158" s="33" t="str">
        <f>IF($R158="","",-SUMIFS('Extractos bancarios - Manglar'!$C:$C,'Extractos bancarios - Manglar'!$M:$M,$R158))</f>
        <v/>
      </c>
      <c r="Q158" s="32" t="str">
        <f t="shared" ref="Q158" si="126">IF($R158="","",O158-N158-P158)</f>
        <v/>
      </c>
      <c r="R158" s="28"/>
      <c r="S158" s="25"/>
      <c r="T158" s="21"/>
      <c r="U158" s="35" t="str">
        <f t="shared" ca="1" si="75"/>
        <v/>
      </c>
      <c r="V158" s="33" t="str">
        <f t="shared" si="76"/>
        <v/>
      </c>
      <c r="W158" s="33" t="str">
        <f t="shared" si="77"/>
        <v/>
      </c>
      <c r="X158" s="36" t="str">
        <f t="shared" si="78"/>
        <v/>
      </c>
      <c r="Y158" s="27" t="str">
        <f t="shared" si="26"/>
        <v/>
      </c>
      <c r="Z158" s="1"/>
      <c r="AA158" s="1"/>
    </row>
    <row r="159" spans="1:27" ht="15" customHeight="1" x14ac:dyDescent="0.3">
      <c r="A159" s="1" t="e">
        <f>VLOOKUP(E159,$B$168:$B$255,1,0)</f>
        <v>#N/A</v>
      </c>
      <c r="B159" s="25"/>
      <c r="C159" s="25"/>
      <c r="D159" s="26" t="str">
        <f t="shared" si="74"/>
        <v/>
      </c>
      <c r="E159" s="27"/>
      <c r="F159" s="28"/>
      <c r="G159" s="27"/>
      <c r="H159" s="36">
        <f t="array" ref="H159">_xlfn.XLOOKUP($G159,Data!$E:$E,Data!$F:$F,"Revisar",0)</f>
        <v>0</v>
      </c>
      <c r="I159" s="36">
        <f t="array" ref="I159">_xlfn.XLOOKUP($G159,Data!$E:$E,Data!$G:$G,"Revisar",0)</f>
        <v>0</v>
      </c>
      <c r="J159" s="27"/>
      <c r="K159" s="31"/>
      <c r="L159" s="31"/>
      <c r="M159" s="31"/>
      <c r="N159" s="31"/>
      <c r="O159" s="32" t="str">
        <f t="shared" si="72"/>
        <v/>
      </c>
      <c r="P159" s="33" t="str">
        <f>IF($R159="","",-SUMIFS('Extractos bancarios - Manglar'!$C:$C,'Extractos bancarios - Manglar'!$M:$M,$R159))</f>
        <v/>
      </c>
      <c r="Q159" s="32" t="str">
        <f t="shared" si="73"/>
        <v/>
      </c>
      <c r="R159" s="28"/>
      <c r="S159" s="25"/>
      <c r="T159" s="21"/>
      <c r="U159" s="35" t="str">
        <f t="shared" ca="1" si="75"/>
        <v/>
      </c>
      <c r="V159" s="33" t="str">
        <f t="shared" si="76"/>
        <v/>
      </c>
      <c r="W159" s="33" t="str">
        <f t="shared" si="77"/>
        <v/>
      </c>
      <c r="X159" s="36" t="str">
        <f t="shared" si="78"/>
        <v/>
      </c>
      <c r="Y159" s="27" t="str">
        <f t="shared" si="26"/>
        <v/>
      </c>
      <c r="Z159" s="1"/>
      <c r="AA159" s="1"/>
    </row>
    <row r="160" spans="1:27" ht="15" customHeight="1" x14ac:dyDescent="0.3">
      <c r="A160" s="1" t="e">
        <f>VLOOKUP(E160,$B$168:$B$255,1,0)</f>
        <v>#N/A</v>
      </c>
      <c r="B160" s="25"/>
      <c r="C160" s="25"/>
      <c r="D160" s="26" t="str">
        <f t="shared" si="74"/>
        <v/>
      </c>
      <c r="E160" s="27"/>
      <c r="F160" s="28"/>
      <c r="G160" s="27"/>
      <c r="H160" s="36">
        <f t="array" ref="H160">_xlfn.XLOOKUP($G160,Data!$E:$E,Data!$F:$F,"Revisar",0)</f>
        <v>0</v>
      </c>
      <c r="I160" s="36">
        <f t="array" ref="I160">_xlfn.XLOOKUP($G160,Data!$E:$E,Data!$G:$G,"Revisar",0)</f>
        <v>0</v>
      </c>
      <c r="J160" s="27"/>
      <c r="K160" s="31"/>
      <c r="L160" s="31"/>
      <c r="M160" s="31"/>
      <c r="N160" s="31"/>
      <c r="O160" s="32" t="str">
        <f t="shared" si="72"/>
        <v/>
      </c>
      <c r="P160" s="33" t="str">
        <f>IF($R160="","",-SUMIFS('Extractos bancarios - Manglar'!$C:$C,'Extractos bancarios - Manglar'!$M:$M,$R160))</f>
        <v/>
      </c>
      <c r="Q160" s="32" t="str">
        <f t="shared" si="73"/>
        <v/>
      </c>
      <c r="R160" s="28"/>
      <c r="S160" s="25"/>
      <c r="T160" s="21"/>
      <c r="U160" s="35" t="str">
        <f t="shared" ca="1" si="75"/>
        <v/>
      </c>
      <c r="V160" s="33" t="str">
        <f t="shared" si="76"/>
        <v/>
      </c>
      <c r="W160" s="33" t="str">
        <f t="shared" si="77"/>
        <v/>
      </c>
      <c r="X160" s="36" t="str">
        <f t="shared" si="78"/>
        <v/>
      </c>
      <c r="Y160" s="27" t="str">
        <f t="shared" si="26"/>
        <v/>
      </c>
      <c r="Z160" s="1"/>
      <c r="AA160" s="1"/>
    </row>
    <row r="161" spans="1:27" ht="15" customHeight="1" x14ac:dyDescent="0.3">
      <c r="A161" s="1" t="e">
        <f>VLOOKUP(E161,$B$168:$B$255,1,0)</f>
        <v>#N/A</v>
      </c>
      <c r="B161" s="25"/>
      <c r="C161" s="25"/>
      <c r="D161" s="26" t="str">
        <f t="shared" si="74"/>
        <v/>
      </c>
      <c r="E161" s="27"/>
      <c r="F161" s="28"/>
      <c r="G161" s="27"/>
      <c r="H161" s="36">
        <f t="array" ref="H161">_xlfn.XLOOKUP($G161,Data!$E:$E,Data!$F:$F,"Revisar",0)</f>
        <v>0</v>
      </c>
      <c r="I161" s="36">
        <f t="array" ref="I161">_xlfn.XLOOKUP($G161,Data!$E:$E,Data!$G:$G,"Revisar",0)</f>
        <v>0</v>
      </c>
      <c r="J161" s="27"/>
      <c r="K161" s="31"/>
      <c r="L161" s="31"/>
      <c r="M161" s="31"/>
      <c r="N161" s="31"/>
      <c r="O161" s="32" t="str">
        <f t="shared" si="72"/>
        <v/>
      </c>
      <c r="P161" s="33" t="str">
        <f>IF($R161="","",-SUMIFS('Extractos bancarios - Manglar'!$C:$C,'Extractos bancarios - Manglar'!$M:$M,$R161))</f>
        <v/>
      </c>
      <c r="Q161" s="32" t="str">
        <f t="shared" si="73"/>
        <v/>
      </c>
      <c r="R161" s="28"/>
      <c r="S161" s="25"/>
      <c r="T161" s="21"/>
      <c r="U161" s="35" t="str">
        <f t="shared" ca="1" si="75"/>
        <v/>
      </c>
      <c r="V161" s="33" t="str">
        <f t="shared" si="76"/>
        <v/>
      </c>
      <c r="W161" s="33" t="str">
        <f t="shared" si="77"/>
        <v/>
      </c>
      <c r="X161" s="36" t="str">
        <f t="shared" si="78"/>
        <v/>
      </c>
      <c r="Y161" s="27" t="str">
        <f t="shared" si="26"/>
        <v/>
      </c>
      <c r="Z161" s="1"/>
      <c r="AA161" s="1"/>
    </row>
    <row r="162" spans="1:27" ht="15" customHeight="1" x14ac:dyDescent="0.3">
      <c r="A162" s="1" t="e">
        <f>VLOOKUP(E162,$B$168:$B$255,1,0)</f>
        <v>#N/A</v>
      </c>
      <c r="B162" s="25"/>
      <c r="C162" s="25"/>
      <c r="D162" s="26" t="str">
        <f t="shared" si="74"/>
        <v/>
      </c>
      <c r="E162" s="27"/>
      <c r="F162" s="28"/>
      <c r="G162" s="27"/>
      <c r="H162" s="36">
        <f t="array" ref="H162">_xlfn.XLOOKUP($G162,Data!$E:$E,Data!$F:$F,"Revisar",0)</f>
        <v>0</v>
      </c>
      <c r="I162" s="36">
        <f t="array" ref="I162">_xlfn.XLOOKUP($G162,Data!$E:$E,Data!$G:$G,"Revisar",0)</f>
        <v>0</v>
      </c>
      <c r="J162" s="27"/>
      <c r="K162" s="31"/>
      <c r="L162" s="31"/>
      <c r="M162" s="31"/>
      <c r="N162" s="31"/>
      <c r="O162" s="32" t="str">
        <f t="shared" si="72"/>
        <v/>
      </c>
      <c r="P162" s="33" t="str">
        <f>IF($R162="","",-SUMIFS('Extractos bancarios - Manglar'!$C:$C,'Extractos bancarios - Manglar'!$M:$M,$R162))</f>
        <v/>
      </c>
      <c r="Q162" s="32" t="str">
        <f t="shared" si="73"/>
        <v/>
      </c>
      <c r="R162" s="28"/>
      <c r="S162" s="25"/>
      <c r="T162" s="21"/>
      <c r="U162" s="35" t="str">
        <f t="shared" ca="1" si="75"/>
        <v/>
      </c>
      <c r="V162" s="33" t="str">
        <f t="shared" si="76"/>
        <v/>
      </c>
      <c r="W162" s="33" t="str">
        <f t="shared" si="77"/>
        <v/>
      </c>
      <c r="X162" s="36" t="str">
        <f t="shared" si="78"/>
        <v/>
      </c>
      <c r="Y162" s="27" t="str">
        <f t="shared" si="26"/>
        <v/>
      </c>
      <c r="Z162" s="1"/>
      <c r="AA162" s="1"/>
    </row>
    <row r="163" spans="1:27" ht="7.5" customHeight="1" x14ac:dyDescent="0.3">
      <c r="A163" s="1"/>
      <c r="B163" s="39"/>
      <c r="C163" s="25"/>
      <c r="D163" s="26"/>
      <c r="E163" s="1"/>
      <c r="F163" s="1"/>
      <c r="G163" s="1"/>
      <c r="H163" s="29"/>
      <c r="I163" s="29"/>
      <c r="J163" s="1"/>
      <c r="K163" s="75"/>
      <c r="L163" s="75"/>
      <c r="M163" s="31"/>
      <c r="N163" s="31"/>
      <c r="O163" s="75"/>
      <c r="P163" s="75"/>
      <c r="Q163" s="75"/>
      <c r="R163" s="142"/>
      <c r="S163" s="25"/>
      <c r="T163" s="1"/>
      <c r="U163" s="114"/>
      <c r="V163" s="75"/>
      <c r="W163" s="75"/>
      <c r="X163" s="1"/>
      <c r="Y163" s="27" t="str">
        <f t="shared" si="26"/>
        <v/>
      </c>
      <c r="Z163" s="1"/>
      <c r="AA163" s="1"/>
    </row>
    <row r="164" spans="1:27" ht="15" customHeight="1" x14ac:dyDescent="0.3">
      <c r="A164" s="1"/>
      <c r="B164" s="5" t="s">
        <v>352</v>
      </c>
      <c r="C164" s="36"/>
      <c r="D164" s="36"/>
      <c r="E164" s="36"/>
      <c r="F164" s="36"/>
      <c r="G164" s="36"/>
      <c r="H164" s="36"/>
      <c r="I164" s="36"/>
      <c r="J164" s="36"/>
      <c r="K164" s="32">
        <f t="shared" ref="K164:Q164" si="127">SUM(K6:K163)</f>
        <v>360288975.83941162</v>
      </c>
      <c r="L164" s="32">
        <f t="shared" si="127"/>
        <v>46606096.770588227</v>
      </c>
      <c r="M164" s="32">
        <f t="shared" si="127"/>
        <v>2456051.5099999998</v>
      </c>
      <c r="N164" s="32">
        <f t="shared" si="127"/>
        <v>73501</v>
      </c>
      <c r="O164" s="32">
        <f t="shared" si="127"/>
        <v>409351124.12</v>
      </c>
      <c r="P164" s="32">
        <f t="shared" si="127"/>
        <v>398185490.34000003</v>
      </c>
      <c r="Q164" s="32">
        <f t="shared" si="127"/>
        <v>11092132.780000001</v>
      </c>
      <c r="R164" s="173"/>
      <c r="S164" s="5"/>
      <c r="T164" s="36"/>
      <c r="U164" s="33" t="str">
        <f ca="1">IF($R164="","",IF($S164="","",$S164-TODAY()))</f>
        <v/>
      </c>
      <c r="V164" s="33" t="str">
        <f>IF($R164="","",IF(ISNUMBER(SEARCH("Anula",$T164)),"Anulada",IF($Q164&lt;=1000,"Al dia",IF($S164="","Sin fecha",IF($U164&lt;0,"Vencida",IF($U164&lt;=15,"Por vencer","Vigente"))))))</f>
        <v/>
      </c>
      <c r="W164" s="1"/>
      <c r="X164" s="1"/>
      <c r="Y164" s="1"/>
      <c r="Z164" s="1"/>
      <c r="AA164" s="1"/>
    </row>
    <row r="165" spans="1:27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42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 customHeight="1" x14ac:dyDescent="0.3">
      <c r="A166" s="1"/>
      <c r="B166" s="5" t="s">
        <v>636</v>
      </c>
      <c r="C166" s="5"/>
      <c r="D166" s="5"/>
      <c r="E166" s="5"/>
      <c r="F166" s="5"/>
      <c r="G166" s="5"/>
      <c r="H166" s="5"/>
      <c r="I166" s="5"/>
      <c r="J166" s="5"/>
      <c r="K166" s="31"/>
      <c r="L166" s="31"/>
      <c r="M166" s="5"/>
      <c r="N166" s="5"/>
      <c r="O166" s="5"/>
      <c r="P166" s="5"/>
      <c r="Q166" s="5"/>
      <c r="R166" s="174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customHeight="1" x14ac:dyDescent="0.3">
      <c r="A167" s="1"/>
      <c r="B167" s="6" t="s">
        <v>36</v>
      </c>
      <c r="C167" s="6" t="s">
        <v>637</v>
      </c>
      <c r="D167" s="6" t="s">
        <v>39</v>
      </c>
      <c r="E167" s="6" t="s">
        <v>41</v>
      </c>
      <c r="F167" s="6" t="s">
        <v>44</v>
      </c>
      <c r="G167" s="6"/>
      <c r="H167" s="6" t="s">
        <v>28</v>
      </c>
      <c r="I167" s="6" t="s">
        <v>29</v>
      </c>
      <c r="J167" s="1"/>
      <c r="K167" s="1"/>
      <c r="L167" s="1"/>
      <c r="M167" s="75"/>
      <c r="N167" s="1"/>
      <c r="O167" s="75"/>
      <c r="P167" s="1"/>
      <c r="Q167" s="1"/>
      <c r="R167" s="142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customHeight="1" x14ac:dyDescent="0.3">
      <c r="A168" s="1"/>
      <c r="B168" s="36" t="s">
        <v>82</v>
      </c>
      <c r="C168" s="26">
        <f>COUNTIFS($E$6:$E$163,$B168)</f>
        <v>10</v>
      </c>
      <c r="D168" s="33">
        <f>SUMIFS($K$6:$K$163,$E$6:$E$163,$B168)</f>
        <v>4855840.21</v>
      </c>
      <c r="E168" s="33">
        <f>SUMIFS($L$6:$L$163,$E$6:$E$163,$B168)</f>
        <v>922609.64</v>
      </c>
      <c r="F168" s="32">
        <f>SUMIFS($O$6:$O$163,$E$6:$E$163,$B168)</f>
        <v>5778449.8499999996</v>
      </c>
      <c r="G168" s="33"/>
      <c r="H168" s="33">
        <f>SUMIFS($P$6:$P$163,$E$6:$E$163,$B168)</f>
        <v>6158400</v>
      </c>
      <c r="I168" s="32">
        <f>SUMIFS($Q$6:$Q$163,$E$6:$E$163,$B168)</f>
        <v>-379950.15000000014</v>
      </c>
      <c r="J168" s="1"/>
      <c r="K168" s="1"/>
      <c r="L168" s="1"/>
      <c r="M168" s="75"/>
      <c r="N168" s="1"/>
      <c r="O168" s="75"/>
      <c r="P168" s="1"/>
      <c r="Q168" s="1"/>
      <c r="R168" s="142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customHeight="1" x14ac:dyDescent="0.3">
      <c r="A169" s="1"/>
      <c r="B169" s="36" t="s">
        <v>135</v>
      </c>
      <c r="C169" s="26">
        <f>COUNTIFS($E$6:$E$163,$B169)</f>
        <v>1</v>
      </c>
      <c r="D169" s="33">
        <f>SUMIFS($K$6:$K$163,$E$6:$E$163,$B169)</f>
        <v>200000</v>
      </c>
      <c r="E169" s="33">
        <f>SUMIFS($L$6:$L$163,$E$6:$E$163,$B169)</f>
        <v>38000</v>
      </c>
      <c r="F169" s="32">
        <f>SUMIFS($O$6:$O$163,$E$6:$E$163,$B169)</f>
        <v>238000</v>
      </c>
      <c r="G169" s="33"/>
      <c r="H169" s="33">
        <f>SUMIFS($P$6:$P$163,$E$6:$E$163,$B169)</f>
        <v>238000</v>
      </c>
      <c r="I169" s="32">
        <f>SUMIFS($Q$6:$Q$163,$E$6:$E$163,$B169)</f>
        <v>0</v>
      </c>
      <c r="J169" s="1"/>
      <c r="K169" s="1"/>
      <c r="L169" s="1"/>
      <c r="M169" s="75"/>
      <c r="N169" s="1"/>
      <c r="O169" s="75">
        <f>+O126</f>
        <v>600000</v>
      </c>
      <c r="P169" s="1"/>
      <c r="Q169" s="1"/>
      <c r="R169" s="142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 customHeight="1" x14ac:dyDescent="0.3">
      <c r="A170" s="1"/>
      <c r="B170" s="36" t="s">
        <v>91</v>
      </c>
      <c r="C170" s="26">
        <f>COUNTIFS($E$6:$E$163,$B170)</f>
        <v>1</v>
      </c>
      <c r="D170" s="33">
        <f>SUMIFS($K$6:$K$163,$E$6:$E$163,$B170)</f>
        <v>20799.990000000002</v>
      </c>
      <c r="E170" s="33">
        <f>SUMIFS($L$6:$L$163,$E$6:$E$163,$B170)</f>
        <v>0</v>
      </c>
      <c r="F170" s="32">
        <f>SUMIFS($O$6:$O$163,$E$6:$E$163,$B170)</f>
        <v>20799.990000000002</v>
      </c>
      <c r="G170" s="33"/>
      <c r="H170" s="33">
        <f>SUMIFS($P$6:$P$163,$E$6:$E$163,$B170)</f>
        <v>20799.990000000002</v>
      </c>
      <c r="I170" s="32">
        <f>SUMIFS($Q$6:$Q$163,$E$6:$E$163,$B170)</f>
        <v>0</v>
      </c>
      <c r="J170" s="1"/>
      <c r="K170" s="1"/>
      <c r="L170" s="1"/>
      <c r="M170" s="1"/>
      <c r="N170" s="1"/>
      <c r="O170" s="75">
        <f>+O125-P125</f>
        <v>0.38000000000465661</v>
      </c>
      <c r="P170" s="1"/>
      <c r="Q170" s="1"/>
      <c r="R170" s="142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 customHeight="1" x14ac:dyDescent="0.3">
      <c r="A171" s="1"/>
      <c r="B171" s="36" t="s">
        <v>373</v>
      </c>
      <c r="C171" s="26">
        <f>COUNTIFS($E$6:$E$163,$B171)</f>
        <v>1</v>
      </c>
      <c r="D171" s="33">
        <f>SUMIFS($K$6:$K$163,$E$6:$E$163,$B171)</f>
        <v>7521.01</v>
      </c>
      <c r="E171" s="33">
        <f>SUMIFS($L$6:$L$163,$E$6:$E$163,$B171)</f>
        <v>1428.99</v>
      </c>
      <c r="F171" s="32">
        <f>SUMIFS($O$6:$O$163,$E$6:$E$163,$B171)</f>
        <v>8950</v>
      </c>
      <c r="G171" s="33"/>
      <c r="H171" s="33">
        <f>SUMIFS($P$6:$P$163,$E$6:$E$163,$B171)</f>
        <v>8950</v>
      </c>
      <c r="I171" s="32">
        <f>SUMIFS($Q$6:$Q$163,$E$6:$E$163,$B171)</f>
        <v>0</v>
      </c>
      <c r="J171" s="1"/>
      <c r="K171" s="1"/>
      <c r="L171" s="1"/>
      <c r="M171" s="1"/>
      <c r="N171" s="1"/>
      <c r="O171" s="75">
        <f>+P125</f>
        <v>346570</v>
      </c>
      <c r="P171" s="1"/>
      <c r="Q171" s="1"/>
      <c r="R171" s="142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 customHeight="1" x14ac:dyDescent="0.3">
      <c r="A172" s="1"/>
      <c r="B172" s="36" t="s">
        <v>142</v>
      </c>
      <c r="C172" s="26">
        <f>COUNTIFS($E$6:$E$163,$B172)</f>
        <v>4</v>
      </c>
      <c r="D172" s="33">
        <f>SUMIFS($K$6:$K$163,$E$6:$E$163,$B172)</f>
        <v>3973697.6400000006</v>
      </c>
      <c r="E172" s="33">
        <f>SUMIFS($L$6:$L$163,$E$6:$E$163,$B172)</f>
        <v>755002.3600000001</v>
      </c>
      <c r="F172" s="32">
        <f>SUMIFS($O$6:$O$163,$E$6:$E$163,$B172)</f>
        <v>4728700</v>
      </c>
      <c r="G172" s="33"/>
      <c r="H172" s="33">
        <f>SUMIFS($P$6:$P$163,$E$6:$E$163,$B172)</f>
        <v>4728700</v>
      </c>
      <c r="I172" s="32">
        <f>SUMIFS($Q$6:$Q$163,$E$6:$E$163,$B172)</f>
        <v>0</v>
      </c>
      <c r="J172" s="1"/>
      <c r="K172" s="1"/>
      <c r="L172" s="1"/>
      <c r="M172" s="1"/>
      <c r="N172" s="1"/>
      <c r="O172" s="1"/>
      <c r="P172" s="1"/>
      <c r="Q172" s="1"/>
      <c r="R172" s="142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 customHeight="1" x14ac:dyDescent="0.3">
      <c r="A173" s="1"/>
      <c r="B173" s="36" t="s">
        <v>425</v>
      </c>
      <c r="C173" s="26">
        <f>COUNTIFS($E$6:$E$163,$B173)</f>
        <v>1</v>
      </c>
      <c r="D173" s="33">
        <f>SUMIFS($K$6:$K$163,$E$6:$E$163,$B173)</f>
        <v>232959</v>
      </c>
      <c r="E173" s="33">
        <f>SUMIFS($L$6:$L$163,$E$6:$E$163,$B173)</f>
        <v>0</v>
      </c>
      <c r="F173" s="32">
        <f>SUMIFS($O$6:$O$163,$E$6:$E$163,$B173)</f>
        <v>232959</v>
      </c>
      <c r="G173" s="33"/>
      <c r="H173" s="33">
        <f>SUMIFS($P$6:$P$163,$E$6:$E$163,$B173)</f>
        <v>232959</v>
      </c>
      <c r="I173" s="32">
        <f>SUMIFS($Q$6:$Q$163,$E$6:$E$163,$B173)</f>
        <v>0</v>
      </c>
      <c r="J173" s="1"/>
      <c r="K173" s="1"/>
      <c r="L173" s="1"/>
      <c r="M173" s="1"/>
      <c r="N173" s="1"/>
      <c r="O173" s="1"/>
      <c r="P173" s="1"/>
      <c r="Q173" s="1"/>
      <c r="R173" s="142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customHeight="1" x14ac:dyDescent="0.3">
      <c r="A174" s="1"/>
      <c r="B174" s="36" t="s">
        <v>394</v>
      </c>
      <c r="C174" s="26">
        <f>COUNTIFS($E$6:$E$163,$B174)</f>
        <v>1</v>
      </c>
      <c r="D174" s="33">
        <f>SUMIFS($K$6:$K$163,$E$6:$E$163,$B174)</f>
        <v>235904</v>
      </c>
      <c r="E174" s="33">
        <f>SUMIFS($L$6:$L$163,$E$6:$E$163,$B174)</f>
        <v>0</v>
      </c>
      <c r="F174" s="32">
        <f>SUMIFS($O$6:$O$163,$E$6:$E$163,$B174)</f>
        <v>235904</v>
      </c>
      <c r="G174" s="33"/>
      <c r="H174" s="33">
        <f>SUMIFS($P$6:$P$163,$E$6:$E$163,$B174)</f>
        <v>235904</v>
      </c>
      <c r="I174" s="32">
        <f>SUMIFS($Q$6:$Q$163,$E$6:$E$163,$B174)</f>
        <v>0</v>
      </c>
      <c r="J174" s="1"/>
      <c r="K174" s="1"/>
      <c r="L174" s="1"/>
      <c r="M174" s="1"/>
      <c r="N174" s="1"/>
      <c r="O174" s="1"/>
      <c r="P174" s="1"/>
      <c r="Q174" s="1"/>
      <c r="R174" s="142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 customHeight="1" x14ac:dyDescent="0.3">
      <c r="A175" s="1"/>
      <c r="B175" s="36" t="s">
        <v>254</v>
      </c>
      <c r="C175" s="26">
        <f>COUNTIFS($E$6:$E$163,$B175)</f>
        <v>2</v>
      </c>
      <c r="D175" s="33">
        <f>SUMIFS($K$6:$K$163,$E$6:$E$163,$B175)</f>
        <v>100714</v>
      </c>
      <c r="E175" s="33">
        <f>SUMIFS($L$6:$L$163,$E$6:$E$163,$B175)</f>
        <v>19136</v>
      </c>
      <c r="F175" s="32">
        <f>SUMIFS($O$6:$O$163,$E$6:$E$163,$B175)</f>
        <v>119850</v>
      </c>
      <c r="G175" s="33"/>
      <c r="H175" s="33">
        <f>SUMIFS($P$6:$P$163,$E$6:$E$163,$B175)</f>
        <v>119850</v>
      </c>
      <c r="I175" s="32">
        <f>SUMIFS($Q$6:$Q$163,$E$6:$E$163,$B175)</f>
        <v>0</v>
      </c>
      <c r="J175" s="1"/>
      <c r="K175" s="1"/>
      <c r="L175" s="1"/>
      <c r="M175" s="1"/>
      <c r="N175" s="1"/>
      <c r="O175" s="1"/>
      <c r="P175" s="1"/>
      <c r="Q175" s="1"/>
      <c r="R175" s="142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 customHeight="1" x14ac:dyDescent="0.3">
      <c r="A176" s="1"/>
      <c r="B176" s="36" t="s">
        <v>209</v>
      </c>
      <c r="C176" s="26">
        <f>COUNTIFS($E$6:$E$163,$B176)</f>
        <v>1</v>
      </c>
      <c r="D176" s="33">
        <f>SUMIFS($K$6:$K$163,$E$6:$E$163,$B176)</f>
        <v>237214</v>
      </c>
      <c r="E176" s="33">
        <f>SUMIFS($L$6:$L$163,$E$6:$E$163,$B176)</f>
        <v>0</v>
      </c>
      <c r="F176" s="32">
        <f>SUMIFS($O$6:$O$163,$E$6:$E$163,$B176)</f>
        <v>237214</v>
      </c>
      <c r="G176" s="33"/>
      <c r="H176" s="33">
        <f>SUMIFS($P$6:$P$163,$E$6:$E$163,$B176)</f>
        <v>237214</v>
      </c>
      <c r="I176" s="32">
        <f>SUMIFS($Q$6:$Q$163,$E$6:$E$163,$B176)</f>
        <v>0</v>
      </c>
      <c r="J176" s="1"/>
      <c r="K176" s="1"/>
      <c r="L176" s="1"/>
      <c r="M176" s="1"/>
      <c r="N176" s="1"/>
      <c r="O176" s="1"/>
      <c r="P176" s="1"/>
      <c r="Q176" s="1"/>
      <c r="R176" s="142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 customHeight="1" x14ac:dyDescent="0.3">
      <c r="A177" s="1"/>
      <c r="B177" s="36" t="s">
        <v>478</v>
      </c>
      <c r="C177" s="26">
        <f>COUNTIFS($E$6:$E$163,$B177)</f>
        <v>1</v>
      </c>
      <c r="D177" s="33">
        <f>SUMIFS($K$6:$K$163,$E$6:$E$163,$B177)</f>
        <v>5882</v>
      </c>
      <c r="E177" s="33">
        <f>SUMIFS($L$6:$L$163,$E$6:$E$163,$B177)</f>
        <v>1118</v>
      </c>
      <c r="F177" s="32">
        <f>SUMIFS($O$6:$O$163,$E$6:$E$163,$B177)</f>
        <v>7000</v>
      </c>
      <c r="G177" s="33"/>
      <c r="H177" s="33">
        <f>SUMIFS($P$6:$P$163,$E$6:$E$163,$B177)</f>
        <v>7000</v>
      </c>
      <c r="I177" s="32">
        <f>SUMIFS($Q$6:$Q$163,$E$6:$E$163,$B177)</f>
        <v>0</v>
      </c>
      <c r="J177" s="1"/>
      <c r="K177" s="1"/>
      <c r="L177" s="1"/>
      <c r="M177" s="1"/>
      <c r="N177" s="1"/>
      <c r="O177" s="1"/>
      <c r="P177" s="1"/>
      <c r="Q177" s="1"/>
      <c r="R177" s="142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 customHeight="1" x14ac:dyDescent="0.3">
      <c r="A178" s="1"/>
      <c r="B178" s="36" t="s">
        <v>281</v>
      </c>
      <c r="C178" s="26">
        <f>COUNTIFS($E$6:$E$163,$B178)</f>
        <v>3</v>
      </c>
      <c r="D178" s="33">
        <f>SUMIFS($K$6:$K$163,$E$6:$E$163,$B178)</f>
        <v>3227000</v>
      </c>
      <c r="E178" s="33">
        <f>SUMIFS($L$6:$L$163,$E$6:$E$163,$B178)</f>
        <v>613130</v>
      </c>
      <c r="F178" s="32">
        <f>SUMIFS($O$6:$O$163,$E$6:$E$163,$B178)</f>
        <v>3840130</v>
      </c>
      <c r="G178" s="33"/>
      <c r="H178" s="33">
        <f>SUMIFS($P$6:$P$163,$E$6:$E$163,$B178)</f>
        <v>3840130</v>
      </c>
      <c r="I178" s="32">
        <f>SUMIFS($Q$6:$Q$163,$E$6:$E$163,$B178)</f>
        <v>0</v>
      </c>
      <c r="J178" s="1"/>
      <c r="K178" s="1"/>
      <c r="L178" s="1"/>
      <c r="M178" s="1"/>
      <c r="N178" s="1"/>
      <c r="O178" s="1"/>
      <c r="P178" s="1"/>
      <c r="Q178" s="1"/>
      <c r="R178" s="142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 customHeight="1" x14ac:dyDescent="0.3">
      <c r="A179" s="1"/>
      <c r="B179" s="36" t="s">
        <v>74</v>
      </c>
      <c r="C179" s="26">
        <f>COUNTIFS($E$6:$E$163,$B179)</f>
        <v>2</v>
      </c>
      <c r="D179" s="33">
        <f>SUMIFS($K$6:$K$163,$E$6:$E$163,$B179)</f>
        <v>1156301.73</v>
      </c>
      <c r="E179" s="33">
        <f>SUMIFS($L$6:$L$163,$E$6:$E$163,$B179)</f>
        <v>219697.91</v>
      </c>
      <c r="F179" s="32">
        <f>SUMIFS($O$6:$O$163,$E$6:$E$163,$B179)</f>
        <v>1375999.64</v>
      </c>
      <c r="G179" s="33"/>
      <c r="H179" s="33">
        <f>SUMIFS($P$6:$P$163,$E$6:$E$163,$B179)</f>
        <v>1376000</v>
      </c>
      <c r="I179" s="32">
        <f>SUMIFS($Q$6:$Q$163,$E$6:$E$163,$B179)</f>
        <v>-0.36000000010244548</v>
      </c>
      <c r="J179" s="1"/>
      <c r="K179" s="1"/>
      <c r="L179" s="1"/>
      <c r="M179" s="1"/>
      <c r="N179" s="1"/>
      <c r="O179" s="1"/>
      <c r="P179" s="1"/>
      <c r="Q179" s="1"/>
      <c r="R179" s="142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 customHeight="1" x14ac:dyDescent="0.3">
      <c r="A180" s="1"/>
      <c r="B180" s="36" t="s">
        <v>309</v>
      </c>
      <c r="C180" s="26">
        <f>COUNTIFS($E$6:$E$163,$B180)</f>
        <v>1</v>
      </c>
      <c r="D180" s="33">
        <f>SUMIFS($K$6:$K$163,$E$6:$E$163,$B180)</f>
        <v>453361.11</v>
      </c>
      <c r="E180" s="33">
        <f>SUMIFS($L$6:$L$163,$E$6:$E$163,$B180)</f>
        <v>75240</v>
      </c>
      <c r="F180" s="32">
        <f>SUMIFS($O$6:$O$163,$E$6:$E$163,$B180)</f>
        <v>528601.11</v>
      </c>
      <c r="G180" s="33"/>
      <c r="H180" s="33">
        <f>SUMIFS($P$6:$P$163,$E$6:$E$163,$B180)</f>
        <v>528601.11</v>
      </c>
      <c r="I180" s="32">
        <f>SUMIFS($Q$6:$Q$163,$E$6:$E$163,$B180)</f>
        <v>0</v>
      </c>
      <c r="J180" s="1"/>
      <c r="K180" s="1"/>
      <c r="L180" s="1"/>
      <c r="M180" s="1"/>
      <c r="N180" s="1"/>
      <c r="O180" s="1"/>
      <c r="P180" s="1"/>
      <c r="Q180" s="1"/>
      <c r="R180" s="142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 customHeight="1" x14ac:dyDescent="0.3">
      <c r="A181" s="1"/>
      <c r="B181" s="36" t="s">
        <v>97</v>
      </c>
      <c r="C181" s="26">
        <f>COUNTIFS($E$6:$E$163,$B181)</f>
        <v>4</v>
      </c>
      <c r="D181" s="33">
        <f>SUMIFS($K$6:$K$163,$E$6:$E$163,$B181)</f>
        <v>1856613.44</v>
      </c>
      <c r="E181" s="33">
        <f>SUMIFS($L$6:$L$163,$E$6:$E$163,$B181)</f>
        <v>352756.56</v>
      </c>
      <c r="F181" s="32">
        <f>SUMIFS($O$6:$O$163,$E$6:$E$163,$B181)</f>
        <v>2209370</v>
      </c>
      <c r="G181" s="33"/>
      <c r="H181" s="33">
        <f>SUMIFS($P$6:$P$163,$E$6:$E$163,$B181)</f>
        <v>2209370</v>
      </c>
      <c r="I181" s="32">
        <f>SUMIFS($Q$6:$Q$163,$E$6:$E$163,$B181)</f>
        <v>0</v>
      </c>
      <c r="J181" s="1"/>
      <c r="K181" s="1"/>
      <c r="L181" s="1"/>
      <c r="M181" s="1"/>
      <c r="N181" s="1"/>
      <c r="O181" s="1"/>
      <c r="P181" s="1"/>
      <c r="Q181" s="1"/>
      <c r="R181" s="142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 customHeight="1" x14ac:dyDescent="0.3">
      <c r="A182" s="1"/>
      <c r="B182" s="36" t="s">
        <v>399</v>
      </c>
      <c r="C182" s="26">
        <f>COUNTIFS($E$6:$E$163,$B182)</f>
        <v>1</v>
      </c>
      <c r="D182" s="33">
        <f>SUMIFS($K$6:$K$163,$E$6:$E$163,$B182)</f>
        <v>3280760</v>
      </c>
      <c r="E182" s="33">
        <f>SUMIFS($L$6:$L$163,$E$6:$E$163,$B182)</f>
        <v>29347.4</v>
      </c>
      <c r="F182" s="32">
        <f>SUMIFS($O$6:$O$163,$E$6:$E$163,$B182)</f>
        <v>3310107.4</v>
      </c>
      <c r="G182" s="33"/>
      <c r="H182" s="33">
        <f>SUMIFS($P$6:$P$163,$E$6:$E$163,$B182)</f>
        <v>3310107</v>
      </c>
      <c r="I182" s="32">
        <f>SUMIFS($Q$6:$Q$163,$E$6:$E$163,$B182)</f>
        <v>0.39999999990686774</v>
      </c>
      <c r="J182" s="1"/>
      <c r="K182" s="1"/>
      <c r="L182" s="1"/>
      <c r="M182" s="1"/>
      <c r="N182" s="1"/>
      <c r="O182" s="1"/>
      <c r="P182" s="1"/>
      <c r="Q182" s="1"/>
      <c r="R182" s="142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 customHeight="1" x14ac:dyDescent="0.3">
      <c r="A183" s="1"/>
      <c r="B183" s="36" t="s">
        <v>431</v>
      </c>
      <c r="C183" s="26">
        <f>COUNTIFS($E$6:$E$163,$B183)</f>
        <v>2</v>
      </c>
      <c r="D183" s="33">
        <f>SUMIFS($K$6:$K$163,$E$6:$E$163,$B183)</f>
        <v>974789.91</v>
      </c>
      <c r="E183" s="33">
        <f>SUMIFS($L$6:$L$163,$E$6:$E$163,$B183)</f>
        <v>185210.09</v>
      </c>
      <c r="F183" s="32">
        <f>SUMIFS($O$6:$O$163,$E$6:$E$163,$B183)</f>
        <v>1160000</v>
      </c>
      <c r="G183" s="33"/>
      <c r="H183" s="33">
        <f>SUMIFS($P$6:$P$163,$E$6:$E$163,$B183)</f>
        <v>1160000</v>
      </c>
      <c r="I183" s="32">
        <f>SUMIFS($Q$6:$Q$163,$E$6:$E$163,$B183)</f>
        <v>0</v>
      </c>
      <c r="J183" s="1"/>
      <c r="K183" s="1"/>
      <c r="L183" s="1"/>
      <c r="M183" s="1"/>
      <c r="N183" s="1"/>
      <c r="O183" s="1"/>
      <c r="P183" s="1"/>
      <c r="Q183" s="1"/>
      <c r="R183" s="142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 customHeight="1" x14ac:dyDescent="0.3">
      <c r="A184" s="1"/>
      <c r="B184" s="36" t="s">
        <v>452</v>
      </c>
      <c r="C184" s="26">
        <f>COUNTIFS($E$6:$E$163,$B184)</f>
        <v>2</v>
      </c>
      <c r="D184" s="33">
        <f>SUMIFS($K$6:$K$163,$E$6:$E$163,$B184)</f>
        <v>4550000</v>
      </c>
      <c r="E184" s="33">
        <f>SUMIFS($L$6:$L$163,$E$6:$E$163,$B184)</f>
        <v>864500</v>
      </c>
      <c r="F184" s="32">
        <f>SUMIFS($O$6:$O$163,$E$6:$E$163,$B184)</f>
        <v>5414500</v>
      </c>
      <c r="G184" s="33"/>
      <c r="H184" s="33">
        <f>SUMIFS($P$6:$P$163,$E$6:$E$163,$B184)</f>
        <v>5414500</v>
      </c>
      <c r="I184" s="32">
        <f>SUMIFS($Q$6:$Q$163,$E$6:$E$163,$B184)</f>
        <v>0</v>
      </c>
      <c r="J184" s="1"/>
      <c r="K184" s="1"/>
      <c r="L184" s="1"/>
      <c r="M184" s="1"/>
      <c r="N184" s="1"/>
      <c r="O184" s="1"/>
      <c r="P184" s="1"/>
      <c r="Q184" s="1"/>
      <c r="R184" s="142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customHeight="1" x14ac:dyDescent="0.3">
      <c r="A185" s="1"/>
      <c r="B185" s="36" t="s">
        <v>52</v>
      </c>
      <c r="C185" s="26">
        <f>COUNTIFS($E$6:$E$163,$B185)</f>
        <v>3</v>
      </c>
      <c r="D185" s="33">
        <f>SUMIFS($K$6:$K$163,$E$6:$E$163,$B185)</f>
        <v>1467854</v>
      </c>
      <c r="E185" s="33">
        <f>SUMIFS($L$6:$L$163,$E$6:$E$163,$B185)</f>
        <v>247000</v>
      </c>
      <c r="F185" s="32">
        <f>SUMIFS($O$6:$O$163,$E$6:$E$163,$B185)</f>
        <v>1714854</v>
      </c>
      <c r="G185" s="33"/>
      <c r="H185" s="33">
        <f>SUMIFS($P$6:$P$163,$E$6:$E$163,$B185)</f>
        <v>1683504</v>
      </c>
      <c r="I185" s="32">
        <f>SUMIFS($Q$6:$Q$163,$E$6:$E$163,$B185)</f>
        <v>0</v>
      </c>
      <c r="J185" s="1"/>
      <c r="K185" s="1"/>
      <c r="L185" s="1"/>
      <c r="M185" s="1"/>
      <c r="N185" s="1"/>
      <c r="O185" s="1"/>
      <c r="P185" s="1"/>
      <c r="Q185" s="1"/>
      <c r="R185" s="142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 customHeight="1" x14ac:dyDescent="0.3">
      <c r="A186" s="1"/>
      <c r="B186" s="36" t="s">
        <v>228</v>
      </c>
      <c r="C186" s="26">
        <f>COUNTIFS($E$6:$E$163,$B186)</f>
        <v>4</v>
      </c>
      <c r="D186" s="33">
        <f>SUMIFS($K$6:$K$163,$E$6:$E$163,$B186)</f>
        <v>8129076.5599999996</v>
      </c>
      <c r="E186" s="33">
        <f>SUMIFS($L$6:$L$163,$E$6:$E$163,$B186)</f>
        <v>1405840.3299999998</v>
      </c>
      <c r="F186" s="32">
        <f>SUMIFS($O$6:$O$163,$E$6:$E$163,$B186)</f>
        <v>9534916.8900000006</v>
      </c>
      <c r="G186" s="33"/>
      <c r="H186" s="33">
        <f>SUMIFS($P$6:$P$163,$E$6:$E$163,$B186)</f>
        <v>9569866</v>
      </c>
      <c r="I186" s="32">
        <f>SUMIFS($Q$6:$Q$163,$E$6:$E$163,$B186)</f>
        <v>-34949.109999999404</v>
      </c>
      <c r="J186" s="1"/>
      <c r="K186" s="1"/>
      <c r="L186" s="1"/>
      <c r="M186" s="1"/>
      <c r="N186" s="1"/>
      <c r="O186" s="1"/>
      <c r="P186" s="1"/>
      <c r="Q186" s="1"/>
      <c r="R186" s="142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 customHeight="1" x14ac:dyDescent="0.3">
      <c r="A187" s="1"/>
      <c r="B187" s="36" t="s">
        <v>317</v>
      </c>
      <c r="C187" s="26">
        <f>COUNTIFS($E$6:$E$163,$B187)</f>
        <v>2</v>
      </c>
      <c r="D187" s="33">
        <f>SUMIFS($K$6:$K$163,$E$6:$E$163,$B187)</f>
        <v>105652500</v>
      </c>
      <c r="E187" s="33">
        <f>SUMIFS($L$6:$L$163,$E$6:$E$163,$B187)</f>
        <v>20073975</v>
      </c>
      <c r="F187" s="32">
        <f>SUMIFS($O$6:$O$163,$E$6:$E$163,$B187)</f>
        <v>125726475</v>
      </c>
      <c r="G187" s="33"/>
      <c r="H187" s="33">
        <f>SUMIFS($P$6:$P$163,$E$6:$E$163,$B187)</f>
        <v>125726475</v>
      </c>
      <c r="I187" s="32">
        <f>SUMIFS($Q$6:$Q$163,$E$6:$E$163,$B187)</f>
        <v>0</v>
      </c>
      <c r="J187" s="1"/>
      <c r="K187" s="1"/>
      <c r="L187" s="1"/>
      <c r="M187" s="1"/>
      <c r="N187" s="1"/>
      <c r="O187" s="1"/>
      <c r="P187" s="1"/>
      <c r="Q187" s="1"/>
      <c r="R187" s="142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 customHeight="1" x14ac:dyDescent="0.3">
      <c r="A188" s="1"/>
      <c r="B188" s="36" t="s">
        <v>110</v>
      </c>
      <c r="C188" s="26">
        <f>COUNTIFS($E$6:$E$163,$B188)</f>
        <v>2</v>
      </c>
      <c r="D188" s="33">
        <f>SUMIFS($K$6:$K$163,$E$6:$E$163,$B188)</f>
        <v>24620000</v>
      </c>
      <c r="E188" s="33">
        <f>SUMIFS($L$6:$L$163,$E$6:$E$163,$B188)</f>
        <v>4677800</v>
      </c>
      <c r="F188" s="32">
        <f>SUMIFS($O$6:$O$163,$E$6:$E$163,$B188)</f>
        <v>29297800</v>
      </c>
      <c r="G188" s="33"/>
      <c r="H188" s="33">
        <f>SUMIFS($P$6:$P$163,$E$6:$E$163,$B188)</f>
        <v>29297800</v>
      </c>
      <c r="I188" s="32">
        <f>SUMIFS($Q$6:$Q$163,$E$6:$E$163,$B188)</f>
        <v>0</v>
      </c>
      <c r="J188" s="1"/>
      <c r="K188" s="1"/>
      <c r="L188" s="1"/>
      <c r="M188" s="1"/>
      <c r="N188" s="1"/>
      <c r="O188" s="1"/>
      <c r="P188" s="1"/>
      <c r="Q188" s="1"/>
      <c r="R188" s="142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customHeight="1" x14ac:dyDescent="0.3">
      <c r="A189" s="1"/>
      <c r="B189" s="36" t="s">
        <v>219</v>
      </c>
      <c r="C189" s="26">
        <f>COUNTIFS($E$6:$E$163,$B189)</f>
        <v>1</v>
      </c>
      <c r="D189" s="33">
        <f>SUMIFS($K$6:$K$163,$E$6:$E$163,$B189)</f>
        <v>328998.24</v>
      </c>
      <c r="E189" s="33">
        <f>SUMIFS($L$6:$L$163,$E$6:$E$163,$B189)</f>
        <v>0</v>
      </c>
      <c r="F189" s="32">
        <f>SUMIFS($O$6:$O$163,$E$6:$E$163,$B189)</f>
        <v>328998.24</v>
      </c>
      <c r="G189" s="33"/>
      <c r="H189" s="33">
        <f>SUMIFS($P$6:$P$163,$E$6:$E$163,$B189)</f>
        <v>328998.24</v>
      </c>
      <c r="I189" s="32">
        <f>SUMIFS($Q$6:$Q$163,$E$6:$E$163,$B189)</f>
        <v>0</v>
      </c>
      <c r="J189" s="1"/>
      <c r="K189" s="1"/>
      <c r="L189" s="1"/>
      <c r="M189" s="1"/>
      <c r="N189" s="1"/>
      <c r="O189" s="1"/>
      <c r="P189" s="1"/>
      <c r="Q189" s="1"/>
      <c r="R189" s="142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customHeight="1" x14ac:dyDescent="0.3">
      <c r="A190" s="1"/>
      <c r="B190" s="36" t="s">
        <v>323</v>
      </c>
      <c r="C190" s="26">
        <f>COUNTIFS($E$6:$E$163,$B190)</f>
        <v>2</v>
      </c>
      <c r="D190" s="33">
        <f>SUMIFS($K$6:$K$163,$E$6:$E$163,$B190)</f>
        <v>65083076</v>
      </c>
      <c r="E190" s="33">
        <f>SUMIFS($L$6:$L$163,$E$6:$E$163,$B190)</f>
        <v>0</v>
      </c>
      <c r="F190" s="32">
        <f>SUMIFS($O$6:$O$163,$E$6:$E$163,$B190)</f>
        <v>65083076</v>
      </c>
      <c r="G190" s="33"/>
      <c r="H190" s="33">
        <f>SUMIFS($P$6:$P$163,$E$6:$E$163,$B190)</f>
        <v>65083076</v>
      </c>
      <c r="I190" s="32">
        <f>SUMIFS($Q$6:$Q$163,$E$6:$E$163,$B190)</f>
        <v>0</v>
      </c>
      <c r="J190" s="1"/>
      <c r="K190" s="1"/>
      <c r="L190" s="1"/>
      <c r="M190" s="1"/>
      <c r="N190" s="1"/>
      <c r="O190" s="1"/>
      <c r="P190" s="1"/>
      <c r="Q190" s="1"/>
      <c r="R190" s="142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customHeight="1" x14ac:dyDescent="0.3">
      <c r="A191" s="1"/>
      <c r="B191" s="36" t="s">
        <v>300</v>
      </c>
      <c r="C191" s="26">
        <f>COUNTIFS($E$6:$E$163,$B191)</f>
        <v>1</v>
      </c>
      <c r="D191" s="33">
        <f>SUMIFS($K$6:$K$163,$E$6:$E$163,$B191)</f>
        <v>1901000</v>
      </c>
      <c r="E191" s="33">
        <f>SUMIFS($L$6:$L$163,$E$6:$E$163,$B191)</f>
        <v>203490</v>
      </c>
      <c r="F191" s="32">
        <f>SUMIFS($O$6:$O$163,$E$6:$E$163,$B191)</f>
        <v>2104490</v>
      </c>
      <c r="G191" s="33"/>
      <c r="H191" s="33">
        <f>SUMIFS($P$6:$P$163,$E$6:$E$163,$B191)</f>
        <v>2104490</v>
      </c>
      <c r="I191" s="32">
        <f>SUMIFS($Q$6:$Q$163,$E$6:$E$163,$B191)</f>
        <v>0</v>
      </c>
      <c r="J191" s="1"/>
      <c r="K191" s="1"/>
      <c r="L191" s="1"/>
      <c r="M191" s="1"/>
      <c r="N191" s="1"/>
      <c r="O191" s="1"/>
      <c r="P191" s="1"/>
      <c r="Q191" s="1"/>
      <c r="R191" s="142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 customHeight="1" x14ac:dyDescent="0.3">
      <c r="A192" s="1"/>
      <c r="B192" s="36" t="s">
        <v>435</v>
      </c>
      <c r="C192" s="26">
        <f>COUNTIFS($E$6:$E$163,$B192)</f>
        <v>1</v>
      </c>
      <c r="D192" s="33">
        <f>SUMIFS($K$6:$K$163,$E$6:$E$163,$B192)</f>
        <v>87407</v>
      </c>
      <c r="E192" s="33">
        <f>SUMIFS($L$6:$L$163,$E$6:$E$163,$B192)</f>
        <v>0</v>
      </c>
      <c r="F192" s="32">
        <f>SUMIFS($O$6:$O$163,$E$6:$E$163,$B192)</f>
        <v>87407</v>
      </c>
      <c r="G192" s="33"/>
      <c r="H192" s="33">
        <f>SUMIFS($P$6:$P$163,$E$6:$E$163,$B192)</f>
        <v>0</v>
      </c>
      <c r="I192" s="32">
        <f>SUMIFS($Q$6:$Q$163,$E$6:$E$163,$B192)</f>
        <v>87407</v>
      </c>
      <c r="J192" s="1"/>
      <c r="K192" s="1"/>
      <c r="L192" s="1"/>
      <c r="M192" s="1"/>
      <c r="N192" s="1"/>
      <c r="O192" s="1"/>
      <c r="P192" s="1"/>
      <c r="Q192" s="1"/>
      <c r="R192" s="142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 customHeight="1" x14ac:dyDescent="0.3">
      <c r="A193" s="1"/>
      <c r="B193" s="36" t="s">
        <v>67</v>
      </c>
      <c r="C193" s="26">
        <f>COUNTIFS($E$6:$E$163,$B193)</f>
        <v>1</v>
      </c>
      <c r="D193" s="33">
        <f>SUMIFS($K$6:$K$163,$E$6:$E$163,$B193)</f>
        <v>222529</v>
      </c>
      <c r="E193" s="33">
        <f>SUMIFS($L$6:$L$163,$E$6:$E$163,$B193)</f>
        <v>0</v>
      </c>
      <c r="F193" s="32">
        <f>SUMIFS($O$6:$O$163,$E$6:$E$163,$B193)</f>
        <v>222529</v>
      </c>
      <c r="G193" s="33"/>
      <c r="H193" s="33">
        <f>SUMIFS($P$6:$P$163,$E$6:$E$163,$B193)</f>
        <v>222529</v>
      </c>
      <c r="I193" s="32">
        <f>SUMIFS($Q$6:$Q$163,$E$6:$E$163,$B193)</f>
        <v>0</v>
      </c>
      <c r="J193" s="1"/>
      <c r="K193" s="1"/>
      <c r="L193" s="1"/>
      <c r="M193" s="1"/>
      <c r="N193" s="1"/>
      <c r="O193" s="1"/>
      <c r="P193" s="1"/>
      <c r="Q193" s="1"/>
      <c r="R193" s="142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 customHeight="1" x14ac:dyDescent="0.3">
      <c r="A194" s="1"/>
      <c r="B194" s="36" t="s">
        <v>127</v>
      </c>
      <c r="C194" s="26">
        <f>COUNTIFS($E$6:$E$163,$B194)</f>
        <v>14</v>
      </c>
      <c r="D194" s="33">
        <f>SUMIFS($K$6:$K$163,$E$6:$E$163,$B194)</f>
        <v>11657710</v>
      </c>
      <c r="E194" s="33">
        <f>SUMIFS($L$6:$L$163,$E$6:$E$163,$B194)</f>
        <v>2214964.9</v>
      </c>
      <c r="F194" s="32">
        <f>SUMIFS($O$6:$O$163,$E$6:$E$163,$B194)</f>
        <v>13872674.9</v>
      </c>
      <c r="G194" s="33"/>
      <c r="H194" s="33">
        <f>SUMIFS($P$6:$P$163,$E$6:$E$163,$B194)</f>
        <v>13873034</v>
      </c>
      <c r="I194" s="32">
        <f>SUMIFS($Q$6:$Q$163,$E$6:$E$163,$B194)</f>
        <v>-359.09999999962747</v>
      </c>
      <c r="J194" s="1"/>
      <c r="K194" s="1"/>
      <c r="L194" s="1"/>
      <c r="M194" s="1"/>
      <c r="N194" s="1"/>
      <c r="O194" s="1"/>
      <c r="P194" s="1"/>
      <c r="Q194" s="1"/>
      <c r="R194" s="142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 customHeight="1" x14ac:dyDescent="0.3">
      <c r="A195" s="1"/>
      <c r="B195" s="36" t="s">
        <v>60</v>
      </c>
      <c r="C195" s="26">
        <f>COUNTIFS($E$6:$E$163,$B195)</f>
        <v>2</v>
      </c>
      <c r="D195" s="33">
        <f>SUMIFS($K$6:$K$163,$E$6:$E$163,$B195)</f>
        <v>157718.51</v>
      </c>
      <c r="E195" s="33">
        <f>SUMIFS($L$6:$L$163,$E$6:$E$163,$B195)</f>
        <v>0</v>
      </c>
      <c r="F195" s="32">
        <f>SUMIFS($O$6:$O$163,$E$6:$E$163,$B195)</f>
        <v>162200</v>
      </c>
      <c r="G195" s="33"/>
      <c r="H195" s="33">
        <f>SUMIFS($P$6:$P$163,$E$6:$E$163,$B195)</f>
        <v>162200</v>
      </c>
      <c r="I195" s="32">
        <f>SUMIFS($Q$6:$Q$163,$E$6:$E$163,$B195)</f>
        <v>0</v>
      </c>
      <c r="J195" s="1"/>
      <c r="K195" s="1"/>
      <c r="L195" s="1"/>
      <c r="M195" s="1"/>
      <c r="N195" s="1"/>
      <c r="O195" s="1"/>
      <c r="P195" s="1"/>
      <c r="Q195" s="1"/>
      <c r="R195" s="142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 customHeight="1" x14ac:dyDescent="0.3">
      <c r="A196" s="1"/>
      <c r="B196" s="36" t="s">
        <v>386</v>
      </c>
      <c r="C196" s="26">
        <f>COUNTIFS($E$6:$E$163,$B196)</f>
        <v>2</v>
      </c>
      <c r="D196" s="33">
        <f>SUMIFS($K$6:$K$163,$E$6:$E$163,$B196)</f>
        <v>512090</v>
      </c>
      <c r="E196" s="33">
        <f>SUMIFS($L$6:$L$163,$E$6:$E$163,$B196)</f>
        <v>0</v>
      </c>
      <c r="F196" s="32">
        <f>SUMIFS($O$6:$O$163,$E$6:$E$163,$B196)</f>
        <v>512090</v>
      </c>
      <c r="G196" s="33"/>
      <c r="H196" s="33">
        <f>SUMIFS($P$6:$P$163,$E$6:$E$163,$B196)</f>
        <v>512090</v>
      </c>
      <c r="I196" s="32">
        <f>SUMIFS($Q$6:$Q$163,$E$6:$E$163,$B196)</f>
        <v>0</v>
      </c>
      <c r="J196" s="1"/>
      <c r="K196" s="1"/>
      <c r="L196" s="1"/>
      <c r="M196" s="1"/>
      <c r="N196" s="1"/>
      <c r="O196" s="1"/>
      <c r="P196" s="1"/>
      <c r="Q196" s="1"/>
      <c r="R196" s="142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 customHeight="1" x14ac:dyDescent="0.3">
      <c r="A197" s="1"/>
      <c r="B197" s="36" t="s">
        <v>275</v>
      </c>
      <c r="C197" s="26">
        <f>COUNTIFS($E$6:$E$163,$B197)</f>
        <v>2</v>
      </c>
      <c r="D197" s="33">
        <f>SUMIFS($K$6:$K$163,$E$6:$E$163,$B197)</f>
        <v>3594920</v>
      </c>
      <c r="E197" s="33">
        <f>SUMIFS($L$6:$L$163,$E$6:$E$163,$B197)</f>
        <v>683034.8</v>
      </c>
      <c r="F197" s="32">
        <f>SUMIFS($O$6:$O$163,$E$6:$E$163,$B197)</f>
        <v>4277954.8000000007</v>
      </c>
      <c r="G197" s="33"/>
      <c r="H197" s="33">
        <f>SUMIFS($P$6:$P$163,$E$6:$E$163,$B197)</f>
        <v>4277954</v>
      </c>
      <c r="I197" s="32">
        <f>SUMIFS($Q$6:$Q$163,$E$6:$E$163,$B197)</f>
        <v>0.80000000027939677</v>
      </c>
      <c r="J197" s="1"/>
      <c r="K197" s="1"/>
      <c r="L197" s="1"/>
      <c r="M197" s="1"/>
      <c r="N197" s="1"/>
      <c r="O197" s="1"/>
      <c r="P197" s="1"/>
      <c r="Q197" s="1"/>
      <c r="R197" s="142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 customHeight="1" x14ac:dyDescent="0.3">
      <c r="A198" s="1"/>
      <c r="B198" s="36" t="s">
        <v>190</v>
      </c>
      <c r="C198" s="26">
        <f>COUNTIFS($E$6:$E$163,$B198)</f>
        <v>4</v>
      </c>
      <c r="D198" s="33">
        <f>SUMIFS($K$6:$K$163,$E$6:$E$163,$B198)</f>
        <v>6878823.5294117648</v>
      </c>
      <c r="E198" s="33">
        <f>SUMIFS($L$6:$L$163,$E$6:$E$163,$B198)</f>
        <v>1306976.4705882352</v>
      </c>
      <c r="F198" s="32">
        <f>SUMIFS($O$6:$O$163,$E$6:$E$163,$B198)</f>
        <v>8185800</v>
      </c>
      <c r="G198" s="33"/>
      <c r="H198" s="33">
        <f>SUMIFS($P$6:$P$163,$E$6:$E$163,$B198)</f>
        <v>8185800</v>
      </c>
      <c r="I198" s="32">
        <f>SUMIFS($Q$6:$Q$163,$E$6:$E$163,$B198)</f>
        <v>0</v>
      </c>
      <c r="J198" s="1"/>
      <c r="K198" s="1"/>
      <c r="L198" s="1"/>
      <c r="M198" s="1"/>
      <c r="N198" s="1"/>
      <c r="O198" s="1"/>
      <c r="P198" s="1"/>
      <c r="Q198" s="1"/>
      <c r="R198" s="142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 customHeight="1" x14ac:dyDescent="0.3">
      <c r="A199" s="1"/>
      <c r="B199" s="36" t="s">
        <v>489</v>
      </c>
      <c r="C199" s="26">
        <f>COUNTIFS($E$6:$E$163,$B199)</f>
        <v>1</v>
      </c>
      <c r="D199" s="33">
        <f>SUMIFS($K$6:$K$163,$E$6:$E$163,$B199)</f>
        <v>11146599.32</v>
      </c>
      <c r="E199" s="33">
        <f>SUMIFS($L$6:$L$163,$E$6:$E$163,$B199)</f>
        <v>515730.68</v>
      </c>
      <c r="F199" s="32">
        <f>SUMIFS($O$6:$O$163,$E$6:$E$163,$B199)</f>
        <v>11662330</v>
      </c>
      <c r="G199" s="33"/>
      <c r="H199" s="33">
        <f>SUMIFS($P$6:$P$163,$E$6:$E$163,$B199)</f>
        <v>11662330</v>
      </c>
      <c r="I199" s="32">
        <f>SUMIFS($Q$6:$Q$163,$E$6:$E$163,$B199)</f>
        <v>0</v>
      </c>
      <c r="J199" s="1"/>
      <c r="K199" s="1"/>
      <c r="L199" s="1"/>
      <c r="M199" s="1"/>
      <c r="N199" s="1"/>
      <c r="O199" s="1"/>
      <c r="P199" s="1"/>
      <c r="Q199" s="1"/>
      <c r="R199" s="142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 customHeight="1" x14ac:dyDescent="0.3">
      <c r="A200" s="1"/>
      <c r="B200" s="36" t="s">
        <v>501</v>
      </c>
      <c r="C200" s="26">
        <f>COUNTIFS($E$6:$E$163,$B200)</f>
        <v>3</v>
      </c>
      <c r="D200" s="33">
        <f>SUMIFS($K$6:$K$163,$E$6:$E$163,$B200)</f>
        <v>600000</v>
      </c>
      <c r="E200" s="33">
        <f>SUMIFS($L$6:$L$163,$E$6:$E$163,$B200)</f>
        <v>0</v>
      </c>
      <c r="F200" s="32">
        <f>SUMIFS($O$6:$O$163,$E$6:$E$163,$B200)</f>
        <v>600000</v>
      </c>
      <c r="G200" s="33"/>
      <c r="H200" s="33">
        <f>SUMIFS($P$6:$P$163,$E$6:$E$163,$B200)</f>
        <v>600000</v>
      </c>
      <c r="I200" s="32">
        <f>SUMIFS($Q$6:$Q$163,$E$6:$E$163,$B200)</f>
        <v>0</v>
      </c>
      <c r="J200" s="1"/>
      <c r="K200" s="1"/>
      <c r="L200" s="1"/>
      <c r="M200" s="1"/>
      <c r="N200" s="1"/>
      <c r="O200" s="1"/>
      <c r="P200" s="1"/>
      <c r="Q200" s="1"/>
      <c r="R200" s="142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 customHeight="1" x14ac:dyDescent="0.3">
      <c r="A201" s="1"/>
      <c r="B201" s="36" t="s">
        <v>505</v>
      </c>
      <c r="C201" s="26">
        <f>COUNTIFS($E$6:$E$163,$B201)</f>
        <v>1</v>
      </c>
      <c r="D201" s="33">
        <f>SUMIFS($K$6:$K$163,$E$6:$E$163,$B201)</f>
        <v>3032640</v>
      </c>
      <c r="E201" s="33">
        <f>SUMIFS($L$6:$L$163,$E$6:$E$163,$B201)</f>
        <v>0</v>
      </c>
      <c r="F201" s="32">
        <f>SUMIFS($O$6:$O$163,$E$6:$E$163,$B201)</f>
        <v>3032640</v>
      </c>
      <c r="G201" s="33"/>
      <c r="H201" s="33">
        <f>SUMIFS($P$6:$P$163,$E$6:$E$163,$B201)</f>
        <v>3032640</v>
      </c>
      <c r="I201" s="32">
        <f>SUMIFS($Q$6:$Q$163,$E$6:$E$163,$B201)</f>
        <v>0</v>
      </c>
      <c r="J201" s="1"/>
      <c r="K201" s="1"/>
      <c r="L201" s="1"/>
      <c r="M201" s="1"/>
      <c r="N201" s="1"/>
      <c r="O201" s="1"/>
      <c r="P201" s="1"/>
      <c r="Q201" s="1"/>
      <c r="R201" s="142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 customHeight="1" x14ac:dyDescent="0.3">
      <c r="A202" s="1"/>
      <c r="B202" s="36" t="s">
        <v>510</v>
      </c>
      <c r="C202" s="26">
        <f>COUNTIFS($E$6:$E$163,$B202)</f>
        <v>1</v>
      </c>
      <c r="D202" s="33">
        <f>SUMIFS($K$6:$K$163,$E$6:$E$163,$B202)</f>
        <v>1230000</v>
      </c>
      <c r="E202" s="33">
        <f>SUMIFS($L$6:$L$163,$E$6:$E$163,$B202)</f>
        <v>233700</v>
      </c>
      <c r="F202" s="32">
        <f>SUMIFS($O$6:$O$163,$E$6:$E$163,$B202)</f>
        <v>1463700</v>
      </c>
      <c r="G202" s="33"/>
      <c r="H202" s="33">
        <f>SUMIFS($P$6:$P$163,$E$6:$E$163,$B202)</f>
        <v>1463700</v>
      </c>
      <c r="I202" s="32">
        <f>SUMIFS($Q$6:$Q$163,$E$6:$E$163,$B202)</f>
        <v>0</v>
      </c>
      <c r="J202" s="1"/>
      <c r="K202" s="1"/>
      <c r="L202" s="1"/>
      <c r="M202" s="1"/>
      <c r="N202" s="1"/>
      <c r="O202" s="1"/>
      <c r="P202" s="1"/>
      <c r="Q202" s="1"/>
      <c r="R202" s="142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 customHeight="1" x14ac:dyDescent="0.3">
      <c r="A203" s="1"/>
      <c r="B203" s="36" t="s">
        <v>521</v>
      </c>
      <c r="C203" s="26">
        <f>COUNTIFS($E$6:$E$163,$B203)</f>
        <v>1</v>
      </c>
      <c r="D203" s="33">
        <f>SUMIFS($K$6:$K$163,$E$6:$E$163,$B203)</f>
        <v>1479000</v>
      </c>
      <c r="E203" s="33">
        <f>SUMIFS($L$6:$L$163,$E$6:$E$163,$B203)</f>
        <v>281010</v>
      </c>
      <c r="F203" s="32">
        <f>SUMIFS($O$6:$O$163,$E$6:$E$163,$B203)</f>
        <v>1760010</v>
      </c>
      <c r="G203" s="33"/>
      <c r="H203" s="33">
        <f>SUMIFS($P$6:$P$163,$E$6:$E$163,$B203)</f>
        <v>1717859</v>
      </c>
      <c r="I203" s="32">
        <f>SUMIFS($Q$6:$Q$163,$E$6:$E$163,$B203)</f>
        <v>0</v>
      </c>
      <c r="J203" s="1"/>
      <c r="K203" s="1"/>
      <c r="L203" s="1"/>
      <c r="M203" s="1"/>
      <c r="N203" s="1"/>
      <c r="O203" s="1"/>
      <c r="P203" s="1"/>
      <c r="Q203" s="1"/>
      <c r="R203" s="142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 customHeight="1" x14ac:dyDescent="0.3">
      <c r="A204" s="1"/>
      <c r="B204" s="36" t="s">
        <v>525</v>
      </c>
      <c r="C204" s="26">
        <f>COUNTIFS($E$6:$E$163,$B204)</f>
        <v>2</v>
      </c>
      <c r="D204" s="33">
        <f>SUMIFS($K$6:$K$163,$E$6:$E$163,$B204)</f>
        <v>417214</v>
      </c>
      <c r="E204" s="33">
        <f>SUMIFS($L$6:$L$163,$E$6:$E$163,$B204)</f>
        <v>0</v>
      </c>
      <c r="F204" s="32">
        <f>SUMIFS($O$6:$O$163,$E$6:$E$163,$B204)</f>
        <v>417214</v>
      </c>
      <c r="G204" s="33"/>
      <c r="H204" s="33">
        <f>SUMIFS($P$6:$P$163,$E$6:$E$163,$B204)</f>
        <v>417214</v>
      </c>
      <c r="I204" s="32">
        <f>SUMIFS($Q$6:$Q$163,$E$6:$E$163,$B204)</f>
        <v>0</v>
      </c>
      <c r="J204" s="1"/>
      <c r="K204" s="1"/>
      <c r="L204" s="1"/>
      <c r="M204" s="1"/>
      <c r="N204" s="1"/>
      <c r="O204" s="1"/>
      <c r="P204" s="1"/>
      <c r="Q204" s="1"/>
      <c r="R204" s="142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 customHeight="1" x14ac:dyDescent="0.3">
      <c r="A205" s="1"/>
      <c r="B205" s="36" t="s">
        <v>529</v>
      </c>
      <c r="C205" s="26">
        <f>COUNTIFS($E$6:$E$163,$B205)</f>
        <v>1</v>
      </c>
      <c r="D205" s="33">
        <f>SUMIFS($K$6:$K$163,$E$6:$E$163,$B205)</f>
        <v>538655.46</v>
      </c>
      <c r="E205" s="33">
        <f>SUMIFS($L$6:$L$163,$E$6:$E$163,$B205)</f>
        <v>102344.54</v>
      </c>
      <c r="F205" s="32">
        <f>SUMIFS($O$6:$O$163,$E$6:$E$163,$B205)</f>
        <v>641000</v>
      </c>
      <c r="G205" s="33"/>
      <c r="H205" s="33">
        <f>SUMIFS($P$6:$P$163,$E$6:$E$163,$B205)</f>
        <v>641000</v>
      </c>
      <c r="I205" s="32">
        <f>SUMIFS($Q$6:$Q$163,$E$6:$E$163,$B205)</f>
        <v>0</v>
      </c>
      <c r="J205" s="1"/>
      <c r="K205" s="1"/>
      <c r="L205" s="1"/>
      <c r="M205" s="1"/>
      <c r="N205" s="1"/>
      <c r="O205" s="1"/>
      <c r="P205" s="1"/>
      <c r="Q205" s="1"/>
      <c r="R205" s="142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 customHeight="1" x14ac:dyDescent="0.3">
      <c r="A206" s="1"/>
      <c r="B206" s="36" t="s">
        <v>540</v>
      </c>
      <c r="C206" s="26">
        <f>COUNTIFS($E$6:$E$163,$B206)</f>
        <v>1</v>
      </c>
      <c r="D206" s="33">
        <f>SUMIFS($K$6:$K$163,$E$6:$E$163,$B206)</f>
        <v>1000000</v>
      </c>
      <c r="E206" s="33">
        <f>SUMIFS($L$6:$L$163,$E$6:$E$163,$B206)</f>
        <v>0</v>
      </c>
      <c r="F206" s="32">
        <f>SUMIFS($O$6:$O$163,$E$6:$E$163,$B206)</f>
        <v>1000000</v>
      </c>
      <c r="G206" s="33"/>
      <c r="H206" s="33">
        <f>SUMIFS($P$6:$P$163,$E$6:$E$163,$B206)</f>
        <v>1000000</v>
      </c>
      <c r="I206" s="32">
        <f>SUMIFS($Q$6:$Q$163,$E$6:$E$163,$B206)</f>
        <v>0</v>
      </c>
      <c r="J206" s="1"/>
      <c r="K206" s="1"/>
      <c r="L206" s="1"/>
      <c r="M206" s="1"/>
      <c r="N206" s="1"/>
      <c r="O206" s="1"/>
      <c r="P206" s="1"/>
      <c r="Q206" s="1"/>
      <c r="R206" s="142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 customHeight="1" x14ac:dyDescent="0.3">
      <c r="A207" s="1"/>
      <c r="B207" s="36" t="s">
        <v>552</v>
      </c>
      <c r="C207" s="26">
        <f>COUNTIFS($E$6:$E$163,$B207)</f>
        <v>3</v>
      </c>
      <c r="D207" s="33">
        <f>SUMIFS($K$6:$K$163,$E$6:$E$163,$B207)</f>
        <v>142036</v>
      </c>
      <c r="E207" s="33">
        <f>SUMIFS($L$6:$L$163,$E$6:$E$163,$B207)</f>
        <v>0</v>
      </c>
      <c r="F207" s="32">
        <f>SUMIFS($O$6:$O$163,$E$6:$E$163,$B207)</f>
        <v>153400</v>
      </c>
      <c r="G207" s="33"/>
      <c r="H207" s="33">
        <f>SUMIFS($P$6:$P$163,$E$6:$E$163,$B207)</f>
        <v>153400</v>
      </c>
      <c r="I207" s="32">
        <f>SUMIFS($Q$6:$Q$163,$E$6:$E$163,$B207)</f>
        <v>0</v>
      </c>
      <c r="J207" s="1"/>
      <c r="K207" s="1"/>
      <c r="L207" s="1"/>
      <c r="M207" s="1"/>
      <c r="N207" s="1"/>
      <c r="O207" s="1"/>
      <c r="P207" s="1"/>
      <c r="Q207" s="1"/>
      <c r="R207" s="142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customHeight="1" x14ac:dyDescent="0.3">
      <c r="A208" s="1"/>
      <c r="B208" s="36" t="s">
        <v>557</v>
      </c>
      <c r="C208" s="26">
        <f>COUNTIFS($E$6:$E$163,$B208)</f>
        <v>1</v>
      </c>
      <c r="D208" s="33">
        <f>SUMIFS($K$6:$K$163,$E$6:$E$163,$B208)</f>
        <v>8068</v>
      </c>
      <c r="E208" s="33">
        <f>SUMIFS($L$6:$L$163,$E$6:$E$163,$B208)</f>
        <v>1532</v>
      </c>
      <c r="F208" s="32">
        <f>SUMIFS($O$6:$O$163,$E$6:$E$163,$B208)</f>
        <v>9600</v>
      </c>
      <c r="G208" s="33"/>
      <c r="H208" s="33">
        <f>SUMIFS($P$6:$P$163,$E$6:$E$163,$B208)</f>
        <v>9600</v>
      </c>
      <c r="I208" s="32">
        <f>SUMIFS($Q$6:$Q$163,$E$6:$E$163,$B208)</f>
        <v>0</v>
      </c>
      <c r="J208" s="1"/>
      <c r="K208" s="1"/>
      <c r="L208" s="1"/>
      <c r="M208" s="1"/>
      <c r="N208" s="1"/>
      <c r="O208" s="1"/>
      <c r="P208" s="1"/>
      <c r="Q208" s="1"/>
      <c r="R208" s="142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customHeight="1" x14ac:dyDescent="0.3">
      <c r="A209" s="1"/>
      <c r="B209" s="36" t="s">
        <v>569</v>
      </c>
      <c r="C209" s="26">
        <f>COUNTIFS($E$6:$E$163,$B209)</f>
        <v>1</v>
      </c>
      <c r="D209" s="33">
        <f>SUMIFS($K$6:$K$163,$E$6:$E$163,$B209)</f>
        <v>474320</v>
      </c>
      <c r="E209" s="33">
        <f>SUMIFS($L$6:$L$163,$E$6:$E$163,$B209)</f>
        <v>64881</v>
      </c>
      <c r="F209" s="32">
        <f>SUMIFS($O$6:$O$163,$E$6:$E$163,$B209)</f>
        <v>539201</v>
      </c>
      <c r="G209" s="33"/>
      <c r="H209" s="33">
        <f>SUMIFS($P$6:$P$163,$E$6:$E$163,$B209)</f>
        <v>539201</v>
      </c>
      <c r="I209" s="32">
        <f>SUMIFS($Q$6:$Q$163,$E$6:$E$163,$B209)</f>
        <v>0</v>
      </c>
      <c r="J209" s="1"/>
      <c r="K209" s="1"/>
      <c r="L209" s="1"/>
      <c r="M209" s="1"/>
      <c r="N209" s="1"/>
      <c r="O209" s="1"/>
      <c r="P209" s="1"/>
      <c r="Q209" s="1"/>
      <c r="R209" s="142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 customHeight="1" x14ac:dyDescent="0.3">
      <c r="A210" s="1"/>
      <c r="B210" s="36" t="s">
        <v>573</v>
      </c>
      <c r="C210" s="26">
        <f>COUNTIFS($E$6:$E$163,$B210)</f>
        <v>1</v>
      </c>
      <c r="D210" s="33">
        <f>SUMIFS($K$6:$K$163,$E$6:$E$163,$B210)</f>
        <v>183611.11</v>
      </c>
      <c r="E210" s="33">
        <f>SUMIFS($L$6:$L$163,$E$6:$E$163,$B210)</f>
        <v>0</v>
      </c>
      <c r="F210" s="32">
        <f>SUMIFS($O$6:$O$163,$E$6:$E$163,$B210)</f>
        <v>198300</v>
      </c>
      <c r="G210" s="33"/>
      <c r="H210" s="33">
        <f>SUMIFS($P$6:$P$163,$E$6:$E$163,$B210)</f>
        <v>198300</v>
      </c>
      <c r="I210" s="32">
        <f>SUMIFS($Q$6:$Q$163,$E$6:$E$163,$B210)</f>
        <v>0</v>
      </c>
      <c r="J210" s="1"/>
      <c r="K210" s="1"/>
      <c r="L210" s="1"/>
      <c r="M210" s="1"/>
      <c r="N210" s="1"/>
      <c r="O210" s="1"/>
      <c r="P210" s="1"/>
      <c r="Q210" s="1"/>
      <c r="R210" s="142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 customHeight="1" x14ac:dyDescent="0.3">
      <c r="A211" s="1"/>
      <c r="B211" s="36" t="s">
        <v>578</v>
      </c>
      <c r="C211" s="26">
        <f>COUNTIFS($E$6:$E$163,$B211)</f>
        <v>1</v>
      </c>
      <c r="D211" s="33">
        <f>SUMIFS($K$6:$K$163,$E$6:$E$163,$B211)</f>
        <v>245383</v>
      </c>
      <c r="E211" s="33">
        <f>SUMIFS($L$6:$L$163,$E$6:$E$163,$B211)</f>
        <v>0</v>
      </c>
      <c r="F211" s="32">
        <f>SUMIFS($O$6:$O$163,$E$6:$E$163,$B211)</f>
        <v>245383</v>
      </c>
      <c r="G211" s="33"/>
      <c r="H211" s="33">
        <f>SUMIFS($P$6:$P$163,$E$6:$E$163,$B211)</f>
        <v>245383</v>
      </c>
      <c r="I211" s="32">
        <f>SUMIFS($Q$6:$Q$163,$E$6:$E$163,$B211)</f>
        <v>0</v>
      </c>
      <c r="J211" s="1"/>
      <c r="K211" s="1"/>
      <c r="L211" s="1"/>
      <c r="M211" s="1"/>
      <c r="N211" s="1"/>
      <c r="O211" s="1"/>
      <c r="P211" s="1"/>
      <c r="Q211" s="1"/>
      <c r="R211" s="142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customHeight="1" x14ac:dyDescent="0.3">
      <c r="A212" s="1"/>
      <c r="B212" s="36" t="s">
        <v>588</v>
      </c>
      <c r="C212" s="26">
        <f>COUNTIFS($E$6:$E$163,$B212)</f>
        <v>6</v>
      </c>
      <c r="D212" s="33">
        <f>SUMIFS($K$6:$K$163,$E$6:$E$163,$B212)</f>
        <v>14747000</v>
      </c>
      <c r="E212" s="33">
        <f>SUMIFS($L$6:$L$163,$E$6:$E$163,$B212)</f>
        <v>2801930</v>
      </c>
      <c r="F212" s="32">
        <f>SUMIFS($O$6:$O$163,$E$6:$E$163,$B212)</f>
        <v>17548930</v>
      </c>
      <c r="G212" s="33"/>
      <c r="H212" s="33">
        <f>SUMIFS($P$6:$P$163,$E$6:$E$163,$B212)</f>
        <v>17548930</v>
      </c>
      <c r="I212" s="32">
        <f>SUMIFS($Q$6:$Q$163,$E$6:$E$163,$B212)</f>
        <v>0</v>
      </c>
      <c r="J212" s="1"/>
      <c r="K212" s="1"/>
      <c r="L212" s="1"/>
      <c r="M212" s="1"/>
      <c r="N212" s="1"/>
      <c r="O212" s="1"/>
      <c r="P212" s="1"/>
      <c r="Q212" s="1"/>
      <c r="R212" s="142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 customHeight="1" x14ac:dyDescent="0.3">
      <c r="A213" s="1"/>
      <c r="B213" s="36" t="s">
        <v>599</v>
      </c>
      <c r="C213" s="26">
        <f>COUNTIFS($E$6:$E$163,$B213)</f>
        <v>2</v>
      </c>
      <c r="D213" s="33">
        <f>SUMIFS($K$6:$K$163,$E$6:$E$163,$B213)</f>
        <v>2737000</v>
      </c>
      <c r="E213" s="33">
        <f>SUMIFS($L$6:$L$163,$E$6:$E$163,$B213)</f>
        <v>520030</v>
      </c>
      <c r="F213" s="32">
        <f>SUMIFS($O$6:$O$163,$E$6:$E$163,$B213)</f>
        <v>3257030</v>
      </c>
      <c r="G213" s="33"/>
      <c r="H213" s="33">
        <f>SUMIFS($P$6:$P$163,$E$6:$E$163,$B213)</f>
        <v>3257030</v>
      </c>
      <c r="I213" s="32">
        <f>SUMIFS($Q$6:$Q$163,$E$6:$E$163,$B213)</f>
        <v>0</v>
      </c>
      <c r="J213" s="1"/>
      <c r="K213" s="1"/>
      <c r="L213" s="1"/>
      <c r="M213" s="1"/>
      <c r="N213" s="1"/>
      <c r="O213" s="1"/>
      <c r="P213" s="1"/>
      <c r="Q213" s="1"/>
      <c r="R213" s="142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 customHeight="1" x14ac:dyDescent="0.3">
      <c r="A214" s="1"/>
      <c r="B214" s="36" t="s">
        <v>829</v>
      </c>
      <c r="C214" s="26">
        <f>COUNTIFS($E$6:$E$163,$B214)</f>
        <v>1</v>
      </c>
      <c r="D214" s="33">
        <f>SUMIFS($K$6:$K$163,$E$6:$E$163,$B214)</f>
        <v>150000</v>
      </c>
      <c r="E214" s="33">
        <f>SUMIFS($L$6:$L$163,$E$6:$E$163,$B214)</f>
        <v>0</v>
      </c>
      <c r="F214" s="32">
        <f>SUMIFS($O$6:$O$163,$E$6:$E$163,$B214)</f>
        <v>150000</v>
      </c>
      <c r="G214" s="33"/>
      <c r="H214" s="33">
        <f>SUMIFS($P$6:$P$163,$E$6:$E$163,$B214)</f>
        <v>150000</v>
      </c>
      <c r="I214" s="32">
        <f>SUMIFS($Q$6:$Q$163,$E$6:$E$163,$B214)</f>
        <v>0</v>
      </c>
      <c r="J214" s="1"/>
      <c r="K214" s="1"/>
      <c r="L214" s="1"/>
      <c r="M214" s="1"/>
      <c r="N214" s="1"/>
      <c r="O214" s="1"/>
      <c r="P214" s="1"/>
      <c r="Q214" s="1"/>
      <c r="R214" s="142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 customHeight="1" x14ac:dyDescent="0.3">
      <c r="A215" s="1"/>
      <c r="B215" s="36" t="s">
        <v>837</v>
      </c>
      <c r="C215" s="26">
        <f>COUNTIFS($E$6:$E$163,$B215)</f>
        <v>1</v>
      </c>
      <c r="D215" s="33">
        <f>SUMIFS($K$6:$K$163,$E$6:$E$163,$B215)</f>
        <v>17022525</v>
      </c>
      <c r="E215" s="33">
        <f>SUMIFS($L$6:$L$163,$E$6:$E$163,$B215)</f>
        <v>1884129</v>
      </c>
      <c r="F215" s="32">
        <f>SUMIFS($O$6:$O$163,$E$6:$E$163,$B215)</f>
        <v>19423543</v>
      </c>
      <c r="G215" s="33"/>
      <c r="H215" s="33">
        <f>SUMIFS($P$6:$P$163,$E$6:$E$163,$B215)</f>
        <v>19303423</v>
      </c>
      <c r="I215" s="32">
        <f>SUMIFS($Q$6:$Q$163,$E$6:$E$163,$B215)</f>
        <v>120120</v>
      </c>
      <c r="J215" s="1"/>
      <c r="K215" s="1"/>
      <c r="L215" s="1"/>
      <c r="M215" s="1"/>
      <c r="N215" s="1"/>
      <c r="O215" s="1"/>
      <c r="P215" s="1"/>
      <c r="Q215" s="1"/>
      <c r="R215" s="142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 customHeight="1" x14ac:dyDescent="0.3">
      <c r="A216" s="1"/>
      <c r="B216" s="36" t="s">
        <v>846</v>
      </c>
      <c r="C216" s="26">
        <f>COUNTIFS($E$6:$E$163,$B216)</f>
        <v>1</v>
      </c>
      <c r="D216" s="33">
        <f>SUMIFS($K$6:$K$163,$E$6:$E$163,$B216)</f>
        <v>8775000</v>
      </c>
      <c r="E216" s="33">
        <f>SUMIFS($L$6:$L$163,$E$6:$E$163,$B216)</f>
        <v>1667250</v>
      </c>
      <c r="F216" s="32">
        <f>SUMIFS($O$6:$O$163,$E$6:$E$163,$B216)</f>
        <v>10442250</v>
      </c>
      <c r="G216" s="33"/>
      <c r="H216" s="33">
        <f>SUMIFS($P$6:$P$163,$E$6:$E$163,$B216)</f>
        <v>10442250</v>
      </c>
      <c r="I216" s="32">
        <f>SUMIFS($Q$6:$Q$163,$E$6:$E$163,$B216)</f>
        <v>0</v>
      </c>
      <c r="J216" s="1"/>
      <c r="K216" s="1"/>
      <c r="L216" s="1"/>
      <c r="M216" s="1"/>
      <c r="N216" s="1"/>
      <c r="O216" s="1"/>
      <c r="P216" s="1"/>
      <c r="Q216" s="1"/>
      <c r="R216" s="142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 customHeight="1" x14ac:dyDescent="0.3">
      <c r="A217" s="1"/>
      <c r="B217" s="36" t="s">
        <v>848</v>
      </c>
      <c r="C217" s="26">
        <f>COUNTIFS($E$6:$E$163,$B217)</f>
        <v>1</v>
      </c>
      <c r="D217" s="33">
        <f>SUMIFS($K$6:$K$163,$E$6:$E$163,$B217)</f>
        <v>156294</v>
      </c>
      <c r="E217" s="33">
        <f>SUMIFS($L$6:$L$163,$E$6:$E$163,$B217)</f>
        <v>29696</v>
      </c>
      <c r="F217" s="32">
        <f>SUMIFS($O$6:$O$163,$E$6:$E$163,$B217)</f>
        <v>185990</v>
      </c>
      <c r="G217" s="33"/>
      <c r="H217" s="33">
        <f>SUMIFS($P$6:$P$163,$E$6:$E$163,$B217)</f>
        <v>0</v>
      </c>
      <c r="I217" s="32">
        <f>SUMIFS($Q$6:$Q$163,$E$6:$E$163,$B217)</f>
        <v>185990</v>
      </c>
      <c r="J217" s="1"/>
      <c r="K217" s="1"/>
      <c r="L217" s="1"/>
      <c r="M217" s="1"/>
      <c r="N217" s="1"/>
      <c r="O217" s="1"/>
      <c r="P217" s="1"/>
      <c r="Q217" s="1"/>
      <c r="R217" s="142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customHeight="1" x14ac:dyDescent="0.3">
      <c r="A218" s="1"/>
      <c r="B218" s="36" t="s">
        <v>849</v>
      </c>
      <c r="C218" s="26">
        <f>COUNTIFS($E$6:$E$163,$B218)</f>
        <v>1</v>
      </c>
      <c r="D218" s="33">
        <f>SUMIFS($K$6:$K$163,$E$6:$E$163,$B218)</f>
        <v>226210</v>
      </c>
      <c r="E218" s="33">
        <f>SUMIFS($L$6:$L$163,$E$6:$E$163,$B218)</f>
        <v>0</v>
      </c>
      <c r="F218" s="32">
        <f>SUMIFS($O$6:$O$163,$E$6:$E$163,$B218)</f>
        <v>226210</v>
      </c>
      <c r="G218" s="33"/>
      <c r="H218" s="33">
        <f>SUMIFS($P$6:$P$163,$E$6:$E$163,$B218)</f>
        <v>226210</v>
      </c>
      <c r="I218" s="32">
        <f>SUMIFS($Q$6:$Q$163,$E$6:$E$163,$B218)</f>
        <v>0</v>
      </c>
      <c r="J218" s="1"/>
      <c r="K218" s="1"/>
      <c r="L218" s="1"/>
      <c r="M218" s="1"/>
      <c r="N218" s="1"/>
      <c r="O218" s="1"/>
      <c r="P218" s="1"/>
      <c r="Q218" s="1"/>
      <c r="R218" s="142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 customHeight="1" x14ac:dyDescent="0.3">
      <c r="A219" s="1"/>
      <c r="B219" s="36" t="s">
        <v>852</v>
      </c>
      <c r="C219" s="26">
        <f>COUNTIFS($E$6:$E$163,$B219)</f>
        <v>1</v>
      </c>
      <c r="D219" s="33">
        <f>SUMIFS($K$6:$K$163,$E$6:$E$163,$B219)</f>
        <v>2000000</v>
      </c>
      <c r="E219" s="33">
        <f>SUMIFS($L$6:$L$163,$E$6:$E$163,$B219)</f>
        <v>0</v>
      </c>
      <c r="F219" s="32">
        <f>SUMIFS($O$6:$O$163,$E$6:$E$163,$B219)</f>
        <v>2000000</v>
      </c>
      <c r="G219" s="33"/>
      <c r="H219" s="33">
        <f>SUMIFS($P$6:$P$163,$E$6:$E$163,$B219)</f>
        <v>2150000</v>
      </c>
      <c r="I219" s="32">
        <f>SUMIFS($Q$6:$Q$163,$E$6:$E$163,$B219)</f>
        <v>-150000</v>
      </c>
      <c r="J219" s="1"/>
      <c r="K219" s="1"/>
      <c r="L219" s="1"/>
      <c r="M219" s="1"/>
      <c r="N219" s="1"/>
      <c r="O219" s="1"/>
      <c r="P219" s="1"/>
      <c r="Q219" s="1"/>
      <c r="R219" s="142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 customHeight="1" x14ac:dyDescent="0.3">
      <c r="A220" s="1"/>
      <c r="B220" s="36" t="s">
        <v>921</v>
      </c>
      <c r="C220" s="26">
        <f>COUNTIFS($E$6:$E$163,$B220)</f>
        <v>1</v>
      </c>
      <c r="D220" s="33">
        <f>SUMIFS($K$6:$K$163,$E$6:$E$163,$B220)</f>
        <v>735000</v>
      </c>
      <c r="E220" s="33">
        <f>SUMIFS($L$6:$L$163,$E$6:$E$163,$B220)</f>
        <v>139650</v>
      </c>
      <c r="F220" s="32">
        <f>SUMIFS($O$6:$O$163,$E$6:$E$163,$B220)</f>
        <v>874650</v>
      </c>
      <c r="G220" s="33"/>
      <c r="H220" s="33">
        <f>SUMIFS($P$6:$P$163,$E$6:$E$163,$B220)</f>
        <v>874650</v>
      </c>
      <c r="I220" s="32">
        <f>SUMIFS($Q$6:$Q$163,$E$6:$E$163,$B220)</f>
        <v>0</v>
      </c>
      <c r="J220" s="1"/>
      <c r="K220" s="1"/>
      <c r="L220" s="1"/>
      <c r="M220" s="1"/>
      <c r="N220" s="1"/>
      <c r="O220" s="1"/>
      <c r="P220" s="1"/>
      <c r="Q220" s="1"/>
      <c r="R220" s="142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 customHeight="1" x14ac:dyDescent="0.3">
      <c r="A221" s="1"/>
      <c r="B221" s="36" t="s">
        <v>948</v>
      </c>
      <c r="C221" s="26">
        <f>COUNTIFS($E$6:$E$163,$B221)</f>
        <v>3</v>
      </c>
      <c r="D221" s="33">
        <f>SUMIFS($K$6:$K$163,$E$6:$E$163,$B221)</f>
        <v>854300</v>
      </c>
      <c r="E221" s="33">
        <f>SUMIFS($L$6:$L$163,$E$6:$E$163,$B221)</f>
        <v>162310</v>
      </c>
      <c r="F221" s="32">
        <f>SUMIFS($O$6:$O$163,$E$6:$E$163,$B221)</f>
        <v>1088710</v>
      </c>
      <c r="G221" s="33"/>
      <c r="H221" s="33">
        <f>SUMIFS($P$6:$P$163,$E$6:$E$163,$B221)</f>
        <v>424370</v>
      </c>
      <c r="I221" s="32">
        <f>SUMIFS($Q$6:$Q$163,$E$6:$E$163,$B221)</f>
        <v>664340</v>
      </c>
      <c r="J221" s="1"/>
      <c r="K221" s="1"/>
      <c r="L221" s="1"/>
      <c r="M221" s="1"/>
      <c r="N221" s="1"/>
      <c r="O221" s="1"/>
      <c r="P221" s="1"/>
      <c r="Q221" s="1"/>
      <c r="R221" s="142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 customHeight="1" x14ac:dyDescent="0.3">
      <c r="A222" s="1"/>
      <c r="B222" s="36" t="s">
        <v>924</v>
      </c>
      <c r="C222" s="26">
        <f>COUNTIFS($E$6:$E$163,$B222)</f>
        <v>1</v>
      </c>
      <c r="D222" s="33">
        <f>SUMIFS($K$6:$K$163,$E$6:$E$163,$B222)</f>
        <v>150000</v>
      </c>
      <c r="E222" s="33">
        <f>SUMIFS($L$6:$L$163,$E$6:$E$163,$B222)</f>
        <v>0</v>
      </c>
      <c r="F222" s="32">
        <f>SUMIFS($O$6:$O$163,$E$6:$E$163,$B222)</f>
        <v>150000</v>
      </c>
      <c r="G222" s="33"/>
      <c r="H222" s="33">
        <f>SUMIFS($P$6:$P$163,$E$6:$E$163,$B222)</f>
        <v>150000</v>
      </c>
      <c r="I222" s="32">
        <f>SUMIFS($Q$6:$Q$163,$E$6:$E$163,$B222)</f>
        <v>0</v>
      </c>
      <c r="J222" s="1"/>
      <c r="K222" s="1"/>
      <c r="L222" s="1"/>
      <c r="M222" s="1"/>
      <c r="N222" s="1"/>
      <c r="O222" s="1"/>
      <c r="P222" s="1"/>
      <c r="Q222" s="1"/>
      <c r="R222" s="142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customHeight="1" x14ac:dyDescent="0.3">
      <c r="A223" s="1"/>
      <c r="B223" s="36" t="s">
        <v>979</v>
      </c>
      <c r="C223" s="26">
        <f>COUNTIFS($E$6:$E$163,$B223)</f>
        <v>1</v>
      </c>
      <c r="D223" s="33">
        <f>SUMIFS($K$6:$K$163,$E$6:$E$163,$B223)</f>
        <v>3377000</v>
      </c>
      <c r="E223" s="33">
        <f>SUMIFS($L$6:$L$163,$E$6:$E$163,$B223)</f>
        <v>345230</v>
      </c>
      <c r="F223" s="32">
        <f>SUMIFS($O$6:$O$163,$E$6:$E$163,$B223)</f>
        <v>3847030</v>
      </c>
      <c r="G223" s="33"/>
      <c r="H223" s="33">
        <f>SUMIFS($P$6:$P$163,$E$6:$E$163,$B223)</f>
        <v>3847030</v>
      </c>
      <c r="I223" s="32">
        <f>SUMIFS($Q$6:$Q$163,$E$6:$E$163,$B223)</f>
        <v>0</v>
      </c>
      <c r="J223" s="1"/>
      <c r="K223" s="1"/>
      <c r="L223" s="1"/>
      <c r="M223" s="1"/>
      <c r="N223" s="1"/>
      <c r="O223" s="1"/>
      <c r="P223" s="1"/>
      <c r="Q223" s="1"/>
      <c r="R223" s="142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 customHeight="1" x14ac:dyDescent="0.3">
      <c r="A224" s="1"/>
      <c r="B224" s="36" t="s">
        <v>981</v>
      </c>
      <c r="C224" s="26">
        <f>COUNTIFS($E$6:$E$163,$B224)</f>
        <v>1</v>
      </c>
      <c r="D224" s="33">
        <f>SUMIFS($K$6:$K$163,$E$6:$E$163,$B224)</f>
        <v>2129831</v>
      </c>
      <c r="E224" s="33">
        <f>SUMIFS($L$6:$L$163,$E$6:$E$163,$B224)</f>
        <v>404668</v>
      </c>
      <c r="F224" s="32">
        <f>SUMIFS($O$6:$O$163,$E$6:$E$163,$B224)</f>
        <v>2747479</v>
      </c>
      <c r="G224" s="33"/>
      <c r="H224" s="33">
        <f>SUMIFS($P$6:$P$163,$E$6:$E$163,$B224)</f>
        <v>2747479</v>
      </c>
      <c r="I224" s="32">
        <f>SUMIFS($Q$6:$Q$163,$E$6:$E$163,$B224)</f>
        <v>0</v>
      </c>
      <c r="J224" s="1"/>
      <c r="K224" s="1"/>
      <c r="L224" s="1"/>
      <c r="M224" s="1"/>
      <c r="N224" s="1"/>
      <c r="O224" s="1"/>
      <c r="P224" s="1"/>
      <c r="Q224" s="1"/>
      <c r="R224" s="142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 customHeight="1" x14ac:dyDescent="0.3">
      <c r="A225" s="1"/>
      <c r="B225" s="36" t="s">
        <v>983</v>
      </c>
      <c r="C225" s="26">
        <f>COUNTIFS($E$6:$E$163,$B225)</f>
        <v>1</v>
      </c>
      <c r="D225" s="33">
        <f>SUMIFS($K$6:$K$163,$E$6:$E$163,$B225)</f>
        <v>1862361.52</v>
      </c>
      <c r="E225" s="33">
        <f>SUMIFS($L$6:$L$163,$E$6:$E$163,$B225)</f>
        <v>0</v>
      </c>
      <c r="F225" s="32">
        <f>SUMIFS($O$6:$O$163,$E$6:$E$163,$B225)</f>
        <v>1997806</v>
      </c>
      <c r="G225" s="33"/>
      <c r="H225" s="33">
        <f>SUMIFS($P$6:$P$163,$E$6:$E$163,$B225)</f>
        <v>1997806</v>
      </c>
      <c r="I225" s="32">
        <f>SUMIFS($Q$6:$Q$163,$E$6:$E$163,$B225)</f>
        <v>0</v>
      </c>
      <c r="J225" s="1"/>
      <c r="K225" s="1"/>
      <c r="L225" s="1"/>
      <c r="M225" s="1"/>
      <c r="N225" s="1"/>
      <c r="O225" s="1"/>
      <c r="P225" s="1"/>
      <c r="Q225" s="1"/>
      <c r="R225" s="142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 customHeight="1" x14ac:dyDescent="0.3">
      <c r="A226" s="1"/>
      <c r="B226" s="36" t="s">
        <v>985</v>
      </c>
      <c r="C226" s="26">
        <f>COUNTIFS($E$6:$E$163,$B226)</f>
        <v>1</v>
      </c>
      <c r="D226" s="33">
        <f>SUMIFS($K$6:$K$163,$E$6:$E$163,$B226)</f>
        <v>1765492.59</v>
      </c>
      <c r="E226" s="33">
        <f>SUMIFS($L$6:$L$163,$E$6:$E$163,$B226)</f>
        <v>0</v>
      </c>
      <c r="F226" s="32">
        <f>SUMIFS($O$6:$O$163,$E$6:$E$163,$B226)</f>
        <v>2083281</v>
      </c>
      <c r="G226" s="33"/>
      <c r="H226" s="33">
        <f>SUMIFS($P$6:$P$163,$E$6:$E$163,$B226)</f>
        <v>2083281</v>
      </c>
      <c r="I226" s="32">
        <f>SUMIFS($Q$6:$Q$163,$E$6:$E$163,$B226)</f>
        <v>0</v>
      </c>
      <c r="J226" s="1"/>
      <c r="K226" s="1"/>
      <c r="L226" s="1"/>
      <c r="M226" s="1"/>
      <c r="N226" s="1"/>
      <c r="O226" s="1"/>
      <c r="P226" s="1"/>
      <c r="Q226" s="1"/>
      <c r="R226" s="142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 customHeight="1" x14ac:dyDescent="0.3">
      <c r="A227" s="1"/>
      <c r="B227" s="36" t="s">
        <v>987</v>
      </c>
      <c r="C227" s="26">
        <f>COUNTIFS($E$6:$E$163,$B227)</f>
        <v>2</v>
      </c>
      <c r="D227" s="33">
        <f>SUMIFS($K$6:$K$163,$E$6:$E$163,$B227)</f>
        <v>2023296</v>
      </c>
      <c r="E227" s="33">
        <f>SUMIFS($L$6:$L$163,$E$6:$E$163,$B227)</f>
        <v>0</v>
      </c>
      <c r="F227" s="32">
        <f>SUMIFS($O$6:$O$163,$E$6:$E$163,$B227)</f>
        <v>2385200</v>
      </c>
      <c r="G227" s="33"/>
      <c r="H227" s="33">
        <f>SUMIFS($P$6:$P$163,$E$6:$E$163,$B227)</f>
        <v>2385200</v>
      </c>
      <c r="I227" s="32">
        <f>SUMIFS($Q$6:$Q$163,$E$6:$E$163,$B227)</f>
        <v>0</v>
      </c>
      <c r="J227" s="1"/>
      <c r="K227" s="1"/>
      <c r="L227" s="1"/>
      <c r="M227" s="1"/>
      <c r="N227" s="1"/>
      <c r="O227" s="1"/>
      <c r="P227" s="1"/>
      <c r="Q227" s="1"/>
      <c r="R227" s="142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 customHeight="1" x14ac:dyDescent="0.3">
      <c r="A228" s="1"/>
      <c r="B228" s="36" t="s">
        <v>989</v>
      </c>
      <c r="C228" s="26">
        <f>COUNTIFS($E$6:$E$163,$B228)</f>
        <v>2</v>
      </c>
      <c r="D228" s="33">
        <f>SUMIFS($K$6:$K$163,$E$6:$E$163,$B228)</f>
        <v>893703.7</v>
      </c>
      <c r="E228" s="33">
        <f>SUMIFS($L$6:$L$163,$E$6:$E$163,$B228)</f>
        <v>0</v>
      </c>
      <c r="F228" s="32">
        <f>SUMIFS($O$6:$O$163,$E$6:$E$163,$B228)</f>
        <v>946570.38</v>
      </c>
      <c r="G228" s="33"/>
      <c r="H228" s="33">
        <f>SUMIFS($P$6:$P$163,$E$6:$E$163,$B228)</f>
        <v>946570</v>
      </c>
      <c r="I228" s="32">
        <f>SUMIFS($Q$6:$Q$163,$E$6:$E$163,$B228)</f>
        <v>0.38000000000465661</v>
      </c>
      <c r="J228" s="1"/>
      <c r="K228" s="1"/>
      <c r="L228" s="1"/>
      <c r="M228" s="1"/>
      <c r="N228" s="1"/>
      <c r="O228" s="1"/>
      <c r="P228" s="1"/>
      <c r="Q228" s="1"/>
      <c r="R228" s="142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 customHeight="1" x14ac:dyDescent="0.3">
      <c r="A229" s="1"/>
      <c r="B229" s="36" t="s">
        <v>991</v>
      </c>
      <c r="C229" s="26">
        <f>COUNTIFS($E$6:$E$163,$B229)</f>
        <v>7</v>
      </c>
      <c r="D229" s="33">
        <f>SUMIFS($K$6:$K$163,$E$6:$E$163,$B229)</f>
        <v>6540122</v>
      </c>
      <c r="E229" s="33">
        <f>SUMIFS($L$6:$L$163,$E$6:$E$163,$B229)</f>
        <v>0</v>
      </c>
      <c r="F229" s="32">
        <f>SUMIFS($O$6:$O$163,$E$6:$E$163,$B229)</f>
        <v>6540122</v>
      </c>
      <c r="G229" s="33"/>
      <c r="H229" s="33">
        <f>SUMIFS($P$6:$P$163,$E$6:$E$163,$B229)</f>
        <v>6540122</v>
      </c>
      <c r="I229" s="32">
        <f>SUMIFS($Q$6:$Q$163,$E$6:$E$163,$B229)</f>
        <v>0</v>
      </c>
      <c r="J229" s="1"/>
      <c r="K229" s="1"/>
      <c r="L229" s="1"/>
      <c r="M229" s="1"/>
      <c r="N229" s="1"/>
      <c r="O229" s="1"/>
      <c r="P229" s="1"/>
      <c r="Q229" s="1"/>
      <c r="R229" s="142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 customHeight="1" x14ac:dyDescent="0.3">
      <c r="A230" s="1"/>
      <c r="B230" s="36" t="s">
        <v>1056</v>
      </c>
      <c r="C230" s="26">
        <f>COUNTIFS($E$6:$E$163,$B230)</f>
        <v>1</v>
      </c>
      <c r="D230" s="33">
        <f>SUMIFS($K$6:$K$163,$E$6:$E$163,$B230)</f>
        <v>6197777.7800000003</v>
      </c>
      <c r="E230" s="33">
        <f>SUMIFS($L$6:$L$163,$E$6:$E$163,$B230)</f>
        <v>874000</v>
      </c>
      <c r="F230" s="32">
        <f>SUMIFS($O$6:$O$163,$E$6:$E$163,$B230)</f>
        <v>7198000</v>
      </c>
      <c r="G230" s="33"/>
      <c r="H230" s="33">
        <f>SUMIFS($P$6:$P$163,$E$6:$E$163,$B230)</f>
        <v>7198000</v>
      </c>
      <c r="I230" s="32">
        <f>SUMIFS($Q$6:$Q$163,$E$6:$E$163,$B230)</f>
        <v>0</v>
      </c>
      <c r="J230" s="1"/>
      <c r="K230" s="1"/>
      <c r="L230" s="1"/>
      <c r="M230" s="1"/>
      <c r="N230" s="1"/>
      <c r="O230" s="1"/>
      <c r="P230" s="1"/>
      <c r="Q230" s="1"/>
      <c r="R230" s="142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 customHeight="1" x14ac:dyDescent="0.3">
      <c r="A231" s="1"/>
      <c r="B231" s="36" t="s">
        <v>1058</v>
      </c>
      <c r="C231" s="26">
        <f>COUNTIFS($E$6:$E$163,$B231)</f>
        <v>1</v>
      </c>
      <c r="D231" s="33">
        <f>SUMIFS($K$6:$K$163,$E$6:$E$163,$B231)</f>
        <v>31932.78</v>
      </c>
      <c r="E231" s="33">
        <f>SUMIFS($L$6:$L$163,$E$6:$E$163,$B231)</f>
        <v>6067.22</v>
      </c>
      <c r="F231" s="32">
        <f>SUMIFS($O$6:$O$163,$E$6:$E$163,$B231)</f>
        <v>38000</v>
      </c>
      <c r="G231" s="33"/>
      <c r="H231" s="33">
        <f>SUMIFS($P$6:$P$163,$E$6:$E$163,$B231)</f>
        <v>38000</v>
      </c>
      <c r="I231" s="32">
        <f>SUMIFS($Q$6:$Q$163,$E$6:$E$163,$B231)</f>
        <v>0</v>
      </c>
      <c r="J231" s="1"/>
      <c r="K231" s="1"/>
      <c r="L231" s="1"/>
      <c r="M231" s="1"/>
      <c r="N231" s="1"/>
      <c r="O231" s="1"/>
      <c r="P231" s="1"/>
      <c r="Q231" s="1"/>
      <c r="R231" s="142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 customHeight="1" x14ac:dyDescent="0.3">
      <c r="A232" s="1"/>
      <c r="B232" s="36" t="s">
        <v>1060</v>
      </c>
      <c r="C232" s="26">
        <f>COUNTIFS($E$6:$E$163,$B232)</f>
        <v>1</v>
      </c>
      <c r="D232" s="33">
        <f>SUMIFS($K$6:$K$163,$E$6:$E$163,$B232)</f>
        <v>135000</v>
      </c>
      <c r="E232" s="33">
        <f>SUMIFS($L$6:$L$163,$E$6:$E$163,$B232)</f>
        <v>0</v>
      </c>
      <c r="F232" s="32">
        <f>SUMIFS($O$6:$O$163,$E$6:$E$163,$B232)</f>
        <v>145800</v>
      </c>
      <c r="G232" s="33"/>
      <c r="H232" s="33">
        <f>SUMIFS($P$6:$P$163,$E$6:$E$163,$B232)</f>
        <v>145800</v>
      </c>
      <c r="I232" s="32">
        <f>SUMIFS($Q$6:$Q$163,$E$6:$E$163,$B232)</f>
        <v>0</v>
      </c>
      <c r="J232" s="1"/>
      <c r="K232" s="1"/>
      <c r="L232" s="1"/>
      <c r="M232" s="1"/>
      <c r="N232" s="1"/>
      <c r="O232" s="1"/>
      <c r="P232" s="1"/>
      <c r="Q232" s="1"/>
      <c r="R232" s="142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 customHeight="1" x14ac:dyDescent="0.3">
      <c r="A233" s="1"/>
      <c r="B233" s="36" t="s">
        <v>1151</v>
      </c>
      <c r="C233" s="26">
        <f>COUNTIFS($E$6:$E$163,$B233)</f>
        <v>2</v>
      </c>
      <c r="D233" s="33">
        <f>SUMIFS($K$6:$K$163,$E$6:$E$163,$B233)</f>
        <v>2646296.29</v>
      </c>
      <c r="E233" s="33">
        <f>SUMIFS($L$6:$L$163,$E$6:$E$163,$B233)</f>
        <v>0</v>
      </c>
      <c r="F233" s="32">
        <f>SUMIFS($O$6:$O$163,$E$6:$E$163,$B233)</f>
        <v>3118185</v>
      </c>
      <c r="G233" s="33"/>
      <c r="H233" s="33">
        <f>SUMIFS($P$6:$P$163,$E$6:$E$163,$B233)</f>
        <v>3118185</v>
      </c>
      <c r="I233" s="32">
        <f>SUMIFS($Q$6:$Q$163,$E$6:$E$163,$B233)</f>
        <v>0</v>
      </c>
      <c r="J233" s="1"/>
      <c r="K233" s="1"/>
      <c r="L233" s="1"/>
      <c r="M233" s="1"/>
      <c r="N233" s="1"/>
      <c r="O233" s="1"/>
      <c r="P233" s="1"/>
      <c r="Q233" s="1"/>
      <c r="R233" s="142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customHeight="1" x14ac:dyDescent="0.3">
      <c r="A234" s="1"/>
      <c r="B234" s="36" t="s">
        <v>1153</v>
      </c>
      <c r="C234" s="26">
        <f>COUNTIFS($E$6:$E$163,$B234)</f>
        <v>1</v>
      </c>
      <c r="D234" s="33">
        <f>SUMIFS($K$6:$K$163,$E$6:$E$163,$B234)</f>
        <v>59259.26</v>
      </c>
      <c r="E234" s="33">
        <f>SUMIFS($L$6:$L$163,$E$6:$E$163,$B234)</f>
        <v>0</v>
      </c>
      <c r="F234" s="32">
        <f>SUMIFS($O$6:$O$163,$E$6:$E$163,$B234)</f>
        <v>69925.930000000008</v>
      </c>
      <c r="G234" s="33"/>
      <c r="H234" s="33">
        <f>SUMIFS($P$6:$P$163,$E$6:$E$163,$B234)</f>
        <v>69926</v>
      </c>
      <c r="I234" s="32">
        <f>SUMIFS($Q$6:$Q$163,$E$6:$E$163,$B234)</f>
        <v>-6.9999999992433004E-2</v>
      </c>
      <c r="J234" s="1"/>
      <c r="K234" s="1"/>
      <c r="L234" s="1"/>
      <c r="M234" s="1"/>
      <c r="N234" s="1"/>
      <c r="O234" s="1"/>
      <c r="P234" s="1"/>
      <c r="Q234" s="1"/>
      <c r="R234" s="142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 customHeight="1" x14ac:dyDescent="0.3">
      <c r="A235" s="1"/>
      <c r="B235" s="36" t="s">
        <v>1155</v>
      </c>
      <c r="C235" s="26">
        <f>COUNTIFS($E$6:$E$163,$B235)</f>
        <v>1</v>
      </c>
      <c r="D235" s="33">
        <f>SUMIFS($K$6:$K$163,$E$6:$E$163,$B235)</f>
        <v>62037.03</v>
      </c>
      <c r="E235" s="33">
        <f>SUMIFS($L$6:$L$163,$E$6:$E$163,$B235)</f>
        <v>0</v>
      </c>
      <c r="F235" s="32">
        <f>SUMIFS($O$6:$O$163,$E$6:$E$163,$B235)</f>
        <v>73203.989999999991</v>
      </c>
      <c r="G235" s="33"/>
      <c r="H235" s="33">
        <f>SUMIFS($P$6:$P$163,$E$6:$E$163,$B235)</f>
        <v>0</v>
      </c>
      <c r="I235" s="32">
        <f>SUMIFS($Q$6:$Q$163,$E$6:$E$163,$B235)</f>
        <v>73203.989999999991</v>
      </c>
      <c r="J235" s="1"/>
      <c r="K235" s="1"/>
      <c r="L235" s="1"/>
      <c r="M235" s="1"/>
      <c r="N235" s="1"/>
      <c r="O235" s="1"/>
      <c r="P235" s="1"/>
      <c r="Q235" s="1"/>
      <c r="R235" s="142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 customHeight="1" x14ac:dyDescent="0.3">
      <c r="A236" s="1"/>
      <c r="B236" s="36" t="s">
        <v>1184</v>
      </c>
      <c r="C236" s="26">
        <f>COUNTIFS($E$6:$E$163,$B236)</f>
        <v>1</v>
      </c>
      <c r="D236" s="33">
        <f>SUMIFS($K$6:$K$163,$E$6:$E$163,$B236)</f>
        <v>5294.12</v>
      </c>
      <c r="E236" s="33">
        <f>SUMIFS($L$6:$L$163,$E$6:$E$163,$B236)</f>
        <v>1005.88</v>
      </c>
      <c r="F236" s="32">
        <f>SUMIFS($O$6:$O$163,$E$6:$E$163,$B236)</f>
        <v>6300</v>
      </c>
      <c r="G236" s="33"/>
      <c r="H236" s="33">
        <f>SUMIFS($P$6:$P$163,$E$6:$E$163,$B236)</f>
        <v>6300</v>
      </c>
      <c r="I236" s="32">
        <f>SUMIFS($Q$6:$Q$163,$E$6:$E$163,$B236)</f>
        <v>0</v>
      </c>
      <c r="J236" s="1"/>
      <c r="K236" s="1"/>
      <c r="L236" s="1"/>
      <c r="M236" s="1"/>
      <c r="N236" s="1"/>
      <c r="O236" s="1"/>
      <c r="P236" s="1"/>
      <c r="Q236" s="1"/>
      <c r="R236" s="142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 customHeight="1" x14ac:dyDescent="0.3">
      <c r="A237" s="1"/>
      <c r="B237" s="36" t="s">
        <v>1186</v>
      </c>
      <c r="C237" s="26">
        <f>COUNTIFS($E$6:$E$163,$B237)</f>
        <v>1</v>
      </c>
      <c r="D237" s="33">
        <f>SUMIFS($K$6:$K$163,$E$6:$E$163,$B237)</f>
        <v>8845655</v>
      </c>
      <c r="E237" s="33">
        <f>SUMIFS($L$6:$L$163,$E$6:$E$163,$B237)</f>
        <v>1680674</v>
      </c>
      <c r="F237" s="32">
        <f>SUMIFS($O$6:$O$163,$E$6:$E$163,$B237)</f>
        <v>10526329</v>
      </c>
      <c r="G237" s="33"/>
      <c r="H237" s="33">
        <f>SUMIFS($P$6:$P$163,$E$6:$E$163,$B237)</f>
        <v>0</v>
      </c>
      <c r="I237" s="32">
        <f>SUMIFS($Q$6:$Q$163,$E$6:$E$163,$B237)</f>
        <v>10526329</v>
      </c>
      <c r="J237" s="1"/>
      <c r="K237" s="1"/>
      <c r="L237" s="1"/>
      <c r="M237" s="1"/>
      <c r="N237" s="1"/>
      <c r="O237" s="1"/>
      <c r="P237" s="1"/>
      <c r="Q237" s="1"/>
      <c r="R237" s="142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customHeight="1" x14ac:dyDescent="0.3">
      <c r="A238" s="1"/>
      <c r="B238" s="36"/>
      <c r="C238" s="26">
        <f t="shared" ref="C238:C253" si="128">COUNTIFS($E$6:$E$163,$B238)</f>
        <v>0</v>
      </c>
      <c r="D238" s="33">
        <f t="shared" ref="D238:D253" si="129">SUMIFS($K$6:$K$163,$E$6:$E$163,$B238)</f>
        <v>0</v>
      </c>
      <c r="E238" s="33">
        <f t="shared" ref="E238:E253" si="130">SUMIFS($L$6:$L$163,$E$6:$E$163,$B238)</f>
        <v>0</v>
      </c>
      <c r="F238" s="32">
        <f t="shared" ref="F238:F253" si="131">SUMIFS($O$6:$O$163,$E$6:$E$163,$B238)</f>
        <v>0</v>
      </c>
      <c r="G238" s="33"/>
      <c r="H238" s="33">
        <f t="shared" ref="H238:H253" si="132">SUMIFS($P$6:$P$163,$E$6:$E$163,$B238)</f>
        <v>0</v>
      </c>
      <c r="I238" s="32">
        <f t="shared" ref="I238:I253" si="133">SUMIFS($Q$6:$Q$163,$E$6:$E$163,$B238)</f>
        <v>0</v>
      </c>
      <c r="J238" s="1"/>
      <c r="K238" s="1"/>
      <c r="L238" s="1"/>
      <c r="M238" s="1"/>
      <c r="N238" s="1"/>
      <c r="O238" s="1"/>
      <c r="P238" s="1"/>
      <c r="Q238" s="1"/>
      <c r="R238" s="142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 customHeight="1" x14ac:dyDescent="0.3">
      <c r="A239" s="1"/>
      <c r="B239" s="36"/>
      <c r="C239" s="26">
        <f t="shared" si="128"/>
        <v>0</v>
      </c>
      <c r="D239" s="33">
        <f t="shared" si="129"/>
        <v>0</v>
      </c>
      <c r="E239" s="33">
        <f t="shared" si="130"/>
        <v>0</v>
      </c>
      <c r="F239" s="32">
        <f t="shared" si="131"/>
        <v>0</v>
      </c>
      <c r="G239" s="33"/>
      <c r="H239" s="33">
        <f t="shared" si="132"/>
        <v>0</v>
      </c>
      <c r="I239" s="32">
        <f t="shared" si="133"/>
        <v>0</v>
      </c>
      <c r="J239" s="1"/>
      <c r="K239" s="1"/>
      <c r="L239" s="1"/>
      <c r="M239" s="1"/>
      <c r="N239" s="1"/>
      <c r="O239" s="1"/>
      <c r="P239" s="1"/>
      <c r="Q239" s="1"/>
      <c r="R239" s="142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 customHeight="1" x14ac:dyDescent="0.3">
      <c r="A240" s="1"/>
      <c r="B240" s="36"/>
      <c r="C240" s="26">
        <f t="shared" si="128"/>
        <v>0</v>
      </c>
      <c r="D240" s="33">
        <f t="shared" si="129"/>
        <v>0</v>
      </c>
      <c r="E240" s="33">
        <f t="shared" si="130"/>
        <v>0</v>
      </c>
      <c r="F240" s="32">
        <f t="shared" si="131"/>
        <v>0</v>
      </c>
      <c r="G240" s="33"/>
      <c r="H240" s="33">
        <f t="shared" si="132"/>
        <v>0</v>
      </c>
      <c r="I240" s="32">
        <f t="shared" si="133"/>
        <v>0</v>
      </c>
      <c r="J240" s="1"/>
      <c r="K240" s="1"/>
      <c r="L240" s="1"/>
      <c r="M240" s="1"/>
      <c r="N240" s="1"/>
      <c r="O240" s="1"/>
      <c r="P240" s="1"/>
      <c r="Q240" s="1"/>
      <c r="R240" s="142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 customHeight="1" x14ac:dyDescent="0.3">
      <c r="A241" s="1"/>
      <c r="B241" s="36"/>
      <c r="C241" s="26">
        <f t="shared" si="128"/>
        <v>0</v>
      </c>
      <c r="D241" s="33">
        <f t="shared" si="129"/>
        <v>0</v>
      </c>
      <c r="E241" s="33">
        <f t="shared" si="130"/>
        <v>0</v>
      </c>
      <c r="F241" s="32">
        <f t="shared" si="131"/>
        <v>0</v>
      </c>
      <c r="G241" s="33"/>
      <c r="H241" s="33">
        <f t="shared" si="132"/>
        <v>0</v>
      </c>
      <c r="I241" s="32">
        <f t="shared" si="133"/>
        <v>0</v>
      </c>
      <c r="J241" s="1"/>
      <c r="K241" s="1"/>
      <c r="L241" s="1"/>
      <c r="M241" s="1"/>
      <c r="N241" s="1"/>
      <c r="O241" s="1"/>
      <c r="P241" s="1"/>
      <c r="Q241" s="1"/>
      <c r="R241" s="142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 customHeight="1" x14ac:dyDescent="0.3">
      <c r="A242" s="1"/>
      <c r="B242" s="36"/>
      <c r="C242" s="26">
        <f t="shared" si="128"/>
        <v>0</v>
      </c>
      <c r="D242" s="33">
        <f t="shared" si="129"/>
        <v>0</v>
      </c>
      <c r="E242" s="33">
        <f t="shared" si="130"/>
        <v>0</v>
      </c>
      <c r="F242" s="32">
        <f t="shared" si="131"/>
        <v>0</v>
      </c>
      <c r="G242" s="33"/>
      <c r="H242" s="33">
        <f t="shared" si="132"/>
        <v>0</v>
      </c>
      <c r="I242" s="32">
        <f t="shared" si="133"/>
        <v>0</v>
      </c>
      <c r="J242" s="1"/>
      <c r="K242" s="1"/>
      <c r="L242" s="1"/>
      <c r="M242" s="1"/>
      <c r="N242" s="1"/>
      <c r="O242" s="1"/>
      <c r="P242" s="1"/>
      <c r="Q242" s="1"/>
      <c r="R242" s="142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 customHeight="1" x14ac:dyDescent="0.3">
      <c r="A243" s="1"/>
      <c r="B243" s="36"/>
      <c r="C243" s="26">
        <f t="shared" si="128"/>
        <v>0</v>
      </c>
      <c r="D243" s="33">
        <f t="shared" si="129"/>
        <v>0</v>
      </c>
      <c r="E243" s="33">
        <f t="shared" si="130"/>
        <v>0</v>
      </c>
      <c r="F243" s="32">
        <f t="shared" si="131"/>
        <v>0</v>
      </c>
      <c r="G243" s="33"/>
      <c r="H243" s="33">
        <f t="shared" si="132"/>
        <v>0</v>
      </c>
      <c r="I243" s="32">
        <f t="shared" si="133"/>
        <v>0</v>
      </c>
      <c r="J243" s="1"/>
      <c r="K243" s="1"/>
      <c r="L243" s="1"/>
      <c r="M243" s="1"/>
      <c r="N243" s="1"/>
      <c r="O243" s="1"/>
      <c r="P243" s="1"/>
      <c r="Q243" s="1"/>
      <c r="R243" s="142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 customHeight="1" x14ac:dyDescent="0.3">
      <c r="A244" s="1"/>
      <c r="B244" s="36"/>
      <c r="C244" s="26">
        <f t="shared" si="128"/>
        <v>0</v>
      </c>
      <c r="D244" s="33">
        <f t="shared" si="129"/>
        <v>0</v>
      </c>
      <c r="E244" s="33">
        <f t="shared" si="130"/>
        <v>0</v>
      </c>
      <c r="F244" s="32">
        <f t="shared" si="131"/>
        <v>0</v>
      </c>
      <c r="G244" s="33"/>
      <c r="H244" s="33">
        <f t="shared" si="132"/>
        <v>0</v>
      </c>
      <c r="I244" s="32">
        <f t="shared" si="133"/>
        <v>0</v>
      </c>
      <c r="J244" s="1"/>
      <c r="K244" s="1"/>
      <c r="L244" s="1"/>
      <c r="M244" s="1"/>
      <c r="N244" s="1"/>
      <c r="O244" s="1"/>
      <c r="P244" s="1"/>
      <c r="Q244" s="1"/>
      <c r="R244" s="142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 customHeight="1" x14ac:dyDescent="0.3">
      <c r="A245" s="1"/>
      <c r="B245" s="36"/>
      <c r="C245" s="26">
        <f t="shared" si="128"/>
        <v>0</v>
      </c>
      <c r="D245" s="33">
        <f t="shared" si="129"/>
        <v>0</v>
      </c>
      <c r="E245" s="33">
        <f t="shared" si="130"/>
        <v>0</v>
      </c>
      <c r="F245" s="32">
        <f t="shared" si="131"/>
        <v>0</v>
      </c>
      <c r="G245" s="33"/>
      <c r="H245" s="33">
        <f t="shared" si="132"/>
        <v>0</v>
      </c>
      <c r="I245" s="32">
        <f t="shared" si="133"/>
        <v>0</v>
      </c>
      <c r="J245" s="1"/>
      <c r="K245" s="1"/>
      <c r="L245" s="1"/>
      <c r="M245" s="1"/>
      <c r="N245" s="1"/>
      <c r="O245" s="1"/>
      <c r="P245" s="1"/>
      <c r="Q245" s="1"/>
      <c r="R245" s="142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 customHeight="1" x14ac:dyDescent="0.3">
      <c r="A246" s="1"/>
      <c r="B246" s="36"/>
      <c r="C246" s="26">
        <f t="shared" si="128"/>
        <v>0</v>
      </c>
      <c r="D246" s="33">
        <f t="shared" si="129"/>
        <v>0</v>
      </c>
      <c r="E246" s="33">
        <f t="shared" si="130"/>
        <v>0</v>
      </c>
      <c r="F246" s="32">
        <f t="shared" si="131"/>
        <v>0</v>
      </c>
      <c r="G246" s="33"/>
      <c r="H246" s="33">
        <f t="shared" si="132"/>
        <v>0</v>
      </c>
      <c r="I246" s="32">
        <f t="shared" si="133"/>
        <v>0</v>
      </c>
      <c r="J246" s="1"/>
      <c r="K246" s="1"/>
      <c r="L246" s="1"/>
      <c r="M246" s="1"/>
      <c r="N246" s="1"/>
      <c r="O246" s="1"/>
      <c r="P246" s="1"/>
      <c r="Q246" s="1"/>
      <c r="R246" s="142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 customHeight="1" x14ac:dyDescent="0.3">
      <c r="A247" s="1"/>
      <c r="B247" s="36"/>
      <c r="C247" s="26">
        <f t="shared" si="128"/>
        <v>0</v>
      </c>
      <c r="D247" s="33">
        <f t="shared" si="129"/>
        <v>0</v>
      </c>
      <c r="E247" s="33">
        <f t="shared" si="130"/>
        <v>0</v>
      </c>
      <c r="F247" s="32">
        <f t="shared" si="131"/>
        <v>0</v>
      </c>
      <c r="G247" s="33"/>
      <c r="H247" s="33">
        <f t="shared" si="132"/>
        <v>0</v>
      </c>
      <c r="I247" s="32">
        <f t="shared" si="133"/>
        <v>0</v>
      </c>
      <c r="J247" s="1"/>
      <c r="K247" s="1"/>
      <c r="L247" s="1"/>
      <c r="M247" s="1"/>
      <c r="N247" s="1"/>
      <c r="O247" s="1"/>
      <c r="P247" s="1"/>
      <c r="Q247" s="1"/>
      <c r="R247" s="142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 customHeight="1" x14ac:dyDescent="0.3">
      <c r="A248" s="1"/>
      <c r="B248" s="36"/>
      <c r="C248" s="26">
        <f t="shared" si="128"/>
        <v>0</v>
      </c>
      <c r="D248" s="33">
        <f t="shared" si="129"/>
        <v>0</v>
      </c>
      <c r="E248" s="33">
        <f t="shared" si="130"/>
        <v>0</v>
      </c>
      <c r="F248" s="32">
        <f t="shared" si="131"/>
        <v>0</v>
      </c>
      <c r="G248" s="33"/>
      <c r="H248" s="33">
        <f t="shared" si="132"/>
        <v>0</v>
      </c>
      <c r="I248" s="32">
        <f t="shared" si="133"/>
        <v>0</v>
      </c>
      <c r="J248" s="1"/>
      <c r="K248" s="1"/>
      <c r="L248" s="1"/>
      <c r="M248" s="1"/>
      <c r="N248" s="1"/>
      <c r="O248" s="1"/>
      <c r="P248" s="1"/>
      <c r="Q248" s="1"/>
      <c r="R248" s="142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 customHeight="1" x14ac:dyDescent="0.3">
      <c r="A249" s="1"/>
      <c r="B249" s="36"/>
      <c r="C249" s="26">
        <f t="shared" si="128"/>
        <v>0</v>
      </c>
      <c r="D249" s="33">
        <f t="shared" si="129"/>
        <v>0</v>
      </c>
      <c r="E249" s="33">
        <f t="shared" si="130"/>
        <v>0</v>
      </c>
      <c r="F249" s="32">
        <f t="shared" si="131"/>
        <v>0</v>
      </c>
      <c r="G249" s="33"/>
      <c r="H249" s="33">
        <f t="shared" si="132"/>
        <v>0</v>
      </c>
      <c r="I249" s="32">
        <f t="shared" si="133"/>
        <v>0</v>
      </c>
      <c r="J249" s="1"/>
      <c r="K249" s="1"/>
      <c r="L249" s="1"/>
      <c r="M249" s="1"/>
      <c r="N249" s="1"/>
      <c r="O249" s="1"/>
      <c r="P249" s="1"/>
      <c r="Q249" s="1"/>
      <c r="R249" s="142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 customHeight="1" x14ac:dyDescent="0.3">
      <c r="A250" s="1"/>
      <c r="B250" s="36"/>
      <c r="C250" s="26">
        <f t="shared" si="128"/>
        <v>0</v>
      </c>
      <c r="D250" s="33">
        <f t="shared" si="129"/>
        <v>0</v>
      </c>
      <c r="E250" s="33">
        <f t="shared" si="130"/>
        <v>0</v>
      </c>
      <c r="F250" s="32">
        <f t="shared" si="131"/>
        <v>0</v>
      </c>
      <c r="G250" s="33"/>
      <c r="H250" s="33">
        <f t="shared" si="132"/>
        <v>0</v>
      </c>
      <c r="I250" s="32">
        <f t="shared" si="133"/>
        <v>0</v>
      </c>
      <c r="J250" s="1"/>
      <c r="K250" s="1"/>
      <c r="L250" s="1"/>
      <c r="M250" s="1"/>
      <c r="N250" s="1"/>
      <c r="O250" s="1"/>
      <c r="P250" s="1"/>
      <c r="Q250" s="1"/>
      <c r="R250" s="142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 customHeight="1" x14ac:dyDescent="0.3">
      <c r="A251" s="1"/>
      <c r="B251" s="36"/>
      <c r="C251" s="26">
        <f t="shared" si="128"/>
        <v>0</v>
      </c>
      <c r="D251" s="33">
        <f t="shared" si="129"/>
        <v>0</v>
      </c>
      <c r="E251" s="33">
        <f t="shared" si="130"/>
        <v>0</v>
      </c>
      <c r="F251" s="32">
        <f t="shared" si="131"/>
        <v>0</v>
      </c>
      <c r="G251" s="33"/>
      <c r="H251" s="33">
        <f t="shared" si="132"/>
        <v>0</v>
      </c>
      <c r="I251" s="32">
        <f t="shared" si="133"/>
        <v>0</v>
      </c>
      <c r="J251" s="1"/>
      <c r="K251" s="1"/>
      <c r="L251" s="1"/>
      <c r="M251" s="1"/>
      <c r="N251" s="1"/>
      <c r="O251" s="1"/>
      <c r="P251" s="1"/>
      <c r="Q251" s="1"/>
      <c r="R251" s="142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 customHeight="1" x14ac:dyDescent="0.3">
      <c r="A252" s="1"/>
      <c r="B252" s="36"/>
      <c r="C252" s="26">
        <f t="shared" si="128"/>
        <v>0</v>
      </c>
      <c r="D252" s="33">
        <f t="shared" si="129"/>
        <v>0</v>
      </c>
      <c r="E252" s="33">
        <f t="shared" si="130"/>
        <v>0</v>
      </c>
      <c r="F252" s="32">
        <f t="shared" si="131"/>
        <v>0</v>
      </c>
      <c r="G252" s="33"/>
      <c r="H252" s="33">
        <f t="shared" si="132"/>
        <v>0</v>
      </c>
      <c r="I252" s="32">
        <f t="shared" si="133"/>
        <v>0</v>
      </c>
      <c r="J252" s="1"/>
      <c r="K252" s="1"/>
      <c r="L252" s="1"/>
      <c r="M252" s="1"/>
      <c r="N252" s="1"/>
      <c r="O252" s="1"/>
      <c r="P252" s="1"/>
      <c r="Q252" s="1"/>
      <c r="R252" s="142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 customHeight="1" x14ac:dyDescent="0.3">
      <c r="A253" s="1"/>
      <c r="B253" s="36"/>
      <c r="C253" s="26">
        <f>COUNTIFS($E$6:$E$163,$B253)</f>
        <v>0</v>
      </c>
      <c r="D253" s="33">
        <f>SUMIFS($K$6:$K$163,$E$6:$E$163,$B253)</f>
        <v>0</v>
      </c>
      <c r="E253" s="33">
        <f>SUMIFS($L$6:$L$163,$E$6:$E$163,$B253)</f>
        <v>0</v>
      </c>
      <c r="F253" s="32">
        <f>SUMIFS($O$6:$O$163,$E$6:$E$163,$B253)</f>
        <v>0</v>
      </c>
      <c r="G253" s="33"/>
      <c r="H253" s="33">
        <f>SUMIFS($P$6:$P$163,$E$6:$E$163,$B253)</f>
        <v>0</v>
      </c>
      <c r="I253" s="32">
        <f>SUMIFS($Q$6:$Q$163,$E$6:$E$163,$B253)</f>
        <v>0</v>
      </c>
      <c r="J253" s="1"/>
      <c r="K253" s="1"/>
      <c r="L253" s="1"/>
      <c r="M253" s="1"/>
      <c r="N253" s="1"/>
      <c r="O253" s="1"/>
      <c r="P253" s="1"/>
      <c r="Q253" s="1"/>
      <c r="R253" s="142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7.5" customHeight="1" x14ac:dyDescent="0.3">
      <c r="A254" s="1"/>
      <c r="B254" s="36"/>
      <c r="C254" s="26"/>
      <c r="D254" s="33"/>
      <c r="E254" s="33"/>
      <c r="F254" s="32"/>
      <c r="G254" s="33"/>
      <c r="H254" s="33"/>
      <c r="I254" s="32"/>
      <c r="J254" s="1"/>
      <c r="K254" s="1"/>
      <c r="L254" s="1"/>
      <c r="M254" s="1"/>
      <c r="N254" s="1"/>
      <c r="O254" s="1"/>
      <c r="P254" s="1"/>
      <c r="Q254" s="1"/>
      <c r="R254" s="142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customHeight="1" x14ac:dyDescent="0.3">
      <c r="A255" s="1"/>
      <c r="B255" s="5" t="s">
        <v>352</v>
      </c>
      <c r="C255" s="32">
        <f t="shared" ref="C255:F255" si="134">SUM(C168:C254)</f>
        <v>140</v>
      </c>
      <c r="D255" s="32">
        <f t="shared" si="134"/>
        <v>360288975.83941162</v>
      </c>
      <c r="E255" s="32">
        <f t="shared" si="134"/>
        <v>46606096.770588234</v>
      </c>
      <c r="F255" s="32">
        <f t="shared" si="134"/>
        <v>409351124.12</v>
      </c>
      <c r="G255" s="32"/>
      <c r="H255" s="32">
        <f t="shared" ref="H255:I255" si="135">SUM(H168:H254)</f>
        <v>398185490.34000003</v>
      </c>
      <c r="I255" s="32">
        <f t="shared" si="135"/>
        <v>11092132.780000001</v>
      </c>
      <c r="J255" s="36"/>
      <c r="K255" s="36"/>
      <c r="L255" s="36"/>
      <c r="M255" s="36"/>
      <c r="N255" s="36"/>
      <c r="O255" s="36"/>
      <c r="P255" s="36"/>
      <c r="Q255" s="36"/>
      <c r="R255" s="173"/>
      <c r="S255" s="36"/>
      <c r="T255" s="36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42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 customHeight="1" x14ac:dyDescent="0.3">
      <c r="A257" s="1"/>
      <c r="B257" s="5" t="s">
        <v>404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174"/>
      <c r="S257" s="5"/>
      <c r="T257" s="5"/>
      <c r="U257" s="1"/>
      <c r="V257" s="1"/>
      <c r="W257" s="1"/>
      <c r="X257" s="1"/>
      <c r="Y257" s="1"/>
      <c r="Z257" s="1"/>
      <c r="AA257" s="1"/>
    </row>
    <row r="258" spans="1:27" ht="15" customHeight="1" x14ac:dyDescent="0.3">
      <c r="A258" s="1"/>
      <c r="B258" s="207" t="s">
        <v>676</v>
      </c>
      <c r="C258" s="204"/>
      <c r="D258" s="204"/>
      <c r="E258" s="204"/>
      <c r="F258" s="73">
        <f>O164-F255</f>
        <v>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42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 customHeight="1" x14ac:dyDescent="0.3">
      <c r="A259" s="1"/>
      <c r="B259" s="207" t="s">
        <v>677</v>
      </c>
      <c r="C259" s="204"/>
      <c r="D259" s="204"/>
      <c r="E259" s="204"/>
      <c r="F259" s="73">
        <f>-SUMIFS('Extractos bancarios - Manglar'!$C:$C,'Extractos bancarios - Manglar'!$G:$G,"Costo Ventas")-SUMIFS('Extractos bancarios - Manglar'!$C:$C,'Extractos bancarios - Manglar'!$G:$G,"Costos Operacionales")-SUMIFS('Extractos bancarios - Manglar'!$C:$C,'Extractos bancarios - Manglar'!$G:$G,"Gastos Variables")-SUMIFS('Extractos bancarios - Manglar'!$C:$C,'Extractos bancarios - Manglar'!$G:$G,"Costos Fijos")-P164</f>
        <v>36669104.949999928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42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42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customHeight="1" x14ac:dyDescent="0.3">
      <c r="A261" s="1"/>
      <c r="B261" s="208" t="s">
        <v>409</v>
      </c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 customHeight="1" x14ac:dyDescent="0.3">
      <c r="A262" s="1"/>
      <c r="B262" s="209" t="s">
        <v>678</v>
      </c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customHeight="1" x14ac:dyDescent="0.3">
      <c r="A263" s="1"/>
      <c r="B263" s="203" t="s">
        <v>679</v>
      </c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 customHeight="1" x14ac:dyDescent="0.3">
      <c r="A264" s="1"/>
      <c r="B264" s="203" t="s">
        <v>680</v>
      </c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 customHeight="1" x14ac:dyDescent="0.3">
      <c r="A265" s="1"/>
      <c r="B265" s="203" t="s">
        <v>681</v>
      </c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42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42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1"/>
      <c r="B268" s="5" t="s">
        <v>682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42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1"/>
      <c r="B269" s="5" t="s">
        <v>35</v>
      </c>
      <c r="C269" s="5" t="s">
        <v>113</v>
      </c>
      <c r="D269" s="5" t="s">
        <v>45</v>
      </c>
      <c r="E269" s="5" t="s">
        <v>683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42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1"/>
      <c r="B270" s="36" t="s">
        <v>684</v>
      </c>
      <c r="C270" s="33">
        <f ca="1">COUNTIFS($V$6:$V$163,$B270)</f>
        <v>5</v>
      </c>
      <c r="D270" s="33">
        <f ca="1">SUMIFS($Q$6:$Q$163,$V$6:$V$163,$B270)</f>
        <v>11569982.99</v>
      </c>
      <c r="E270" s="131">
        <f t="shared" ref="E270:E274" ca="1" si="136">IFERROR(D270/$D$274,0)</f>
        <v>0.99250200944851463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42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1"/>
      <c r="B271" s="36" t="s">
        <v>685</v>
      </c>
      <c r="C271" s="33">
        <f ca="1">COUNTIFS($V$6:$V$163,$B271)</f>
        <v>0</v>
      </c>
      <c r="D271" s="33">
        <f ca="1">SUMIFS($Q$6:$Q$163,$V$6:$V$163,$B271)</f>
        <v>0</v>
      </c>
      <c r="E271" s="131">
        <f t="shared" ca="1" si="136"/>
        <v>0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42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1"/>
      <c r="B272" s="36" t="s">
        <v>686</v>
      </c>
      <c r="C272" s="33">
        <f ca="1">COUNTIFS($V$6:$V$163,$B272)</f>
        <v>0</v>
      </c>
      <c r="D272" s="33">
        <f ca="1">SUMIFS($Q$6:$Q$163,$V$6:$V$163,$B272)</f>
        <v>0</v>
      </c>
      <c r="E272" s="131">
        <f t="shared" ca="1" si="136"/>
        <v>0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42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1"/>
      <c r="B273" s="36" t="s">
        <v>687</v>
      </c>
      <c r="C273" s="33">
        <f ca="1">COUNTIFS($V$6:$V$163,$B273)</f>
        <v>1</v>
      </c>
      <c r="D273" s="33">
        <f ca="1">SUMIFS($Q$6:$Q$163,$V$6:$V$163,$B273)</f>
        <v>87407</v>
      </c>
      <c r="E273" s="131">
        <f t="shared" ca="1" si="136"/>
        <v>7.4979905514853586E-3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42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1"/>
      <c r="B274" s="5" t="s">
        <v>688</v>
      </c>
      <c r="C274" s="32">
        <f t="shared" ref="C274:D274" ca="1" si="137">SUM(C270:C273)</f>
        <v>6</v>
      </c>
      <c r="D274" s="32">
        <f t="shared" ca="1" si="137"/>
        <v>11657389.99</v>
      </c>
      <c r="E274" s="132">
        <f t="shared" ca="1" si="136"/>
        <v>1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42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42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42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42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42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42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42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42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42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42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42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42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42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42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42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42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42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42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42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42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42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42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42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42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42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42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42"/>
      <c r="S300" s="1"/>
      <c r="T300" s="1"/>
      <c r="U300" s="1"/>
      <c r="V300" s="1"/>
      <c r="W300" s="1"/>
      <c r="X300" s="1"/>
      <c r="Y300" s="1"/>
      <c r="Z300" s="1"/>
    </row>
    <row r="301" spans="1:27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42"/>
      <c r="S301" s="1"/>
      <c r="T301" s="1"/>
      <c r="U301" s="1"/>
      <c r="V301" s="1"/>
      <c r="W301" s="1"/>
      <c r="X301" s="1"/>
      <c r="Y301" s="1"/>
      <c r="Z301" s="1"/>
    </row>
    <row r="302" spans="1:27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42"/>
      <c r="S302" s="1"/>
      <c r="T302" s="1"/>
      <c r="U302" s="1"/>
      <c r="V302" s="1"/>
      <c r="W302" s="1"/>
      <c r="X302" s="1"/>
      <c r="Y302" s="1"/>
      <c r="Z302" s="1"/>
    </row>
    <row r="303" spans="1:27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42"/>
      <c r="S303" s="1"/>
      <c r="T303" s="1"/>
      <c r="U303" s="1"/>
      <c r="V303" s="1"/>
      <c r="W303" s="1"/>
      <c r="X303" s="1"/>
      <c r="Y303" s="1"/>
      <c r="Z303" s="1"/>
    </row>
    <row r="304" spans="1:27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42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42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42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42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42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42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42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42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42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42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42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42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42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42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42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42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42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42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42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42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42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42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42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42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42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42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42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42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42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42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42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42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42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42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42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42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42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42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42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42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42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42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42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42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42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42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42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42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42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42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42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42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42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42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42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42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42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42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42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42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42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42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42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42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42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42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42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42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42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42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42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42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42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42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42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42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42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42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42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42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42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42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42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42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42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42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42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42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42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42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42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42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42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42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42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42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42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42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42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42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42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42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42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42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42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42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42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42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42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42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42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42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42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42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42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42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42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42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42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42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42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42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42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42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42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42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42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42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42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42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42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42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42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42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42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42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42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42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42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42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42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42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42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42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42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42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42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42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42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42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42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42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42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42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42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42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42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42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42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42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42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42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42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42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42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42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42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42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42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42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42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/>
    <row r="476" spans="1:26" ht="15.75" customHeight="1" x14ac:dyDescent="0.3"/>
    <row r="477" spans="1:26" ht="15.75" customHeight="1" x14ac:dyDescent="0.3"/>
    <row r="478" spans="1:26" ht="15.75" customHeight="1" x14ac:dyDescent="0.3"/>
    <row r="479" spans="1:26" ht="15.75" customHeight="1" x14ac:dyDescent="0.3"/>
    <row r="480" spans="1:26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</sheetData>
  <autoFilter ref="B5:Y164" xr:uid="{00000000-0009-0000-0000-000003000000}"/>
  <mergeCells count="15">
    <mergeCell ref="B263:R263"/>
    <mergeCell ref="B264:R264"/>
    <mergeCell ref="B265:R265"/>
    <mergeCell ref="B3:C3"/>
    <mergeCell ref="E3:F3"/>
    <mergeCell ref="I3:J3"/>
    <mergeCell ref="L3:M3"/>
    <mergeCell ref="E4:F4"/>
    <mergeCell ref="I4:J4"/>
    <mergeCell ref="L4:M4"/>
    <mergeCell ref="B4:C4"/>
    <mergeCell ref="B258:E258"/>
    <mergeCell ref="B259:E259"/>
    <mergeCell ref="B261:R261"/>
    <mergeCell ref="B262:R262"/>
  </mergeCells>
  <conditionalFormatting sqref="B167:B255">
    <cfRule type="duplicateValues" dxfId="3" priority="1"/>
  </conditionalFormatting>
  <dataValidations count="1">
    <dataValidation type="list" allowBlank="1" sqref="Y6:Y163" xr:uid="{00000000-0002-0000-0300-000000000000}">
      <formula1>"Si,No"</formula1>
    </dataValidation>
  </dataValidation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1000000}">
          <x14:formula1>
            <xm:f>Data!$E$2:$E$98</xm:f>
          </x14:formula1>
          <xm:sqref>G6:G163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14"/>
  <sheetViews>
    <sheetView showGridLines="0" zoomScaleNormal="100" workbookViewId="0">
      <pane ySplit="3" topLeftCell="A4" activePane="bottomLeft" state="frozen"/>
      <selection pane="bottomLeft" activeCell="L3" sqref="L3:M36"/>
    </sheetView>
  </sheetViews>
  <sheetFormatPr defaultColWidth="12.6640625" defaultRowHeight="15" customHeight="1" x14ac:dyDescent="0.3"/>
  <cols>
    <col min="1" max="1" width="2.1640625" customWidth="1"/>
    <col min="2" max="2" width="39.25" customWidth="1"/>
    <col min="3" max="3" width="22.1640625" customWidth="1"/>
    <col min="4" max="4" width="40.5" customWidth="1"/>
    <col min="5" max="5" width="11.25" customWidth="1"/>
    <col min="6" max="6" width="12.4140625" customWidth="1"/>
    <col min="7" max="7" width="11.25" customWidth="1"/>
    <col min="8" max="8" width="11.1640625" customWidth="1"/>
    <col min="9" max="9" width="29" bestFit="1" customWidth="1"/>
  </cols>
  <sheetData>
    <row r="1" spans="1:26" ht="24" customHeight="1" x14ac:dyDescent="0.35">
      <c r="A1" s="1"/>
      <c r="B1" s="88" t="s">
        <v>534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1"/>
      <c r="B2" s="8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.75" customHeight="1" x14ac:dyDescent="0.3">
      <c r="A3" s="1"/>
      <c r="B3" s="89" t="s">
        <v>8</v>
      </c>
      <c r="C3" s="89" t="s">
        <v>9</v>
      </c>
      <c r="D3" s="90" t="s">
        <v>11</v>
      </c>
      <c r="E3" s="90" t="s">
        <v>384</v>
      </c>
      <c r="F3" s="90" t="s">
        <v>535</v>
      </c>
      <c r="G3" s="91" t="s">
        <v>536</v>
      </c>
      <c r="H3" s="92" t="s">
        <v>372</v>
      </c>
      <c r="I3" s="90" t="s">
        <v>15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">
      <c r="A4" s="1"/>
      <c r="B4" s="93" t="s">
        <v>131</v>
      </c>
      <c r="C4" s="94" t="str">
        <f>IFERROR(INDEX(Data!$F:$F,MATCH($B4,Data!$E:$E,0)),"")</f>
        <v>Innovaitors</v>
      </c>
      <c r="D4" s="75" t="str">
        <f>IFERROR(INDEX(Data!$G:$G,MATCH($B4,Data!$E:$E,0)),"")</f>
        <v>Kits Innovaitors</v>
      </c>
      <c r="E4" s="75">
        <f>SUMIFS(CxC!$H:$H,CxC!$D:$D,$B4)</f>
        <v>1760000</v>
      </c>
      <c r="F4" s="75">
        <f>-SUMIFS(CxP!$K:$K,CxP!$G:$G,$B4,CxP!$Y:$Y,"Si")-SUMIFS(CxP!$M:$M,CxP!$G:$G,$B4,CxP!$Y:$Y,"Si")</f>
        <v>-1225000</v>
      </c>
      <c r="G4" s="95">
        <f t="shared" ref="G4:G26" si="0">E4+F4</f>
        <v>535000</v>
      </c>
      <c r="H4" s="96">
        <f t="shared" ref="H4:H43" si="1">IFERROR(G4/E4,"-")</f>
        <v>0.30397727272727271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1"/>
      <c r="B5" s="93" t="s">
        <v>99</v>
      </c>
      <c r="C5" s="94" t="str">
        <f>IFERROR(INDEX(Data!$F:$F,MATCH($B5,Data!$E:$E,0)),"")</f>
        <v>Konrad Adenauer Stiftung</v>
      </c>
      <c r="D5" s="75" t="str">
        <f>IFERROR(INDEX(Data!$G:$G,MATCH($B5,Data!$E:$E,0)),"")</f>
        <v>Material KAS - Tacos y pocillos</v>
      </c>
      <c r="E5" s="75">
        <f>SUMIFS(CxC!$H:$H,CxC!$D:$D,$B5)</f>
        <v>8102757</v>
      </c>
      <c r="F5" s="75">
        <f>-SUMIFS(CxP!$K:$K,CxP!$G:$G,$B5,CxP!$Y:$Y,"Si")-SUMIFS(CxP!$M:$M,CxP!$G:$G,$B5,CxP!$Y:$Y,"Si")</f>
        <v>-4498865.5494117644</v>
      </c>
      <c r="G5" s="95">
        <f t="shared" si="0"/>
        <v>3603891.4505882356</v>
      </c>
      <c r="H5" s="96">
        <f t="shared" si="1"/>
        <v>0.44477348272794504</v>
      </c>
      <c r="I5" s="15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">
      <c r="A6" s="1"/>
      <c r="B6" s="93" t="s">
        <v>76</v>
      </c>
      <c r="C6" s="94" t="str">
        <f>IFERROR(INDEX(Data!$F:$F,MATCH($B6,Data!$E:$E,0)),"")</f>
        <v>AXIS</v>
      </c>
      <c r="D6" s="75" t="str">
        <f>IFERROR(INDEX(Data!$G:$G,MATCH($B6,Data!$E:$E,0)),"")</f>
        <v>Evento mundial de fútbol y merchandising</v>
      </c>
      <c r="E6" s="75">
        <f>SUMIFS(CxC!$H:$H,CxC!$D:$D,$B6)</f>
        <v>31867817</v>
      </c>
      <c r="F6" s="75">
        <f>-SUMIFS(CxP!$K:$K,CxP!$G:$G,$B6,CxP!$Y:$Y,"Si")-SUMIFS(CxP!$M:$M,CxP!$G:$G,$B6,CxP!$Y:$Y,"Si")</f>
        <v>-23595630.41</v>
      </c>
      <c r="G6" s="95">
        <f t="shared" si="0"/>
        <v>8272186.5899999999</v>
      </c>
      <c r="H6" s="96">
        <f t="shared" si="1"/>
        <v>0.25957807495882129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">
      <c r="A7" s="1"/>
      <c r="B7" s="93" t="s">
        <v>174</v>
      </c>
      <c r="C7" s="94" t="str">
        <f>IFERROR(INDEX(Data!$F:$F,MATCH($B7,Data!$E:$E,0)),"")</f>
        <v>Innovaitors</v>
      </c>
      <c r="D7" s="75" t="str">
        <f>IFERROR(INDEX(Data!$G:$G,MATCH($B7,Data!$E:$E,0)),"")</f>
        <v>Banners Rollup</v>
      </c>
      <c r="E7" s="75">
        <f>SUMIFS(CxC!$H:$H,CxC!$D:$D,$B7)</f>
        <v>260000</v>
      </c>
      <c r="F7" s="75">
        <f>-SUMIFS(CxP!$K:$K,CxP!$G:$G,$B7,CxP!$Y:$Y,"Si")-SUMIFS(CxP!$M:$M,CxP!$G:$G,$B7,CxP!$Y:$Y,"Si")</f>
        <v>-180000</v>
      </c>
      <c r="G7" s="95">
        <f t="shared" si="0"/>
        <v>80000</v>
      </c>
      <c r="H7" s="96">
        <f t="shared" si="1"/>
        <v>0.30769230769230771</v>
      </c>
      <c r="I7" s="1"/>
      <c r="J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3">
      <c r="A8" s="1"/>
      <c r="B8" s="93" t="s">
        <v>161</v>
      </c>
      <c r="C8" s="94" t="str">
        <f>IFERROR(INDEX(Data!$F:$F,MATCH($B8,Data!$E:$E,0)),"")</f>
        <v>Kaspersky</v>
      </c>
      <c r="D8" s="75" t="str">
        <f>IFERROR(INDEX(Data!$G:$G,MATCH($B8,Data!$E:$E,0)),"")</f>
        <v>Bolsa Incentivos 2026</v>
      </c>
      <c r="E8" s="75">
        <f>SUMIFS(CxC!$H:$H,CxC!$D:$D,$B8)</f>
        <v>60400005</v>
      </c>
      <c r="F8" s="75">
        <f>-SUMIFS(CxP!$K:$K,CxP!$G:$G,$B8,CxP!$Y:$Y,"Si")-SUMIFS(CxP!$M:$M,CxP!$G:$G,$B8,CxP!$Y:$Y,"Si")</f>
        <v>-27612759.000000004</v>
      </c>
      <c r="G8" s="95">
        <f t="shared" si="0"/>
        <v>32787245.999999996</v>
      </c>
      <c r="H8" s="155">
        <f t="shared" si="1"/>
        <v>0.54283515373881175</v>
      </c>
      <c r="I8" s="156" t="s">
        <v>1074</v>
      </c>
      <c r="J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">
      <c r="A9" s="1"/>
      <c r="B9" s="93" t="s">
        <v>182</v>
      </c>
      <c r="C9" s="94" t="str">
        <f>IFERROR(INDEX(Data!$F:$F,MATCH($B9,Data!$E:$E,0)),"")</f>
        <v>Psiconometrics</v>
      </c>
      <c r="D9" s="75" t="str">
        <f>IFERROR(INDEX(Data!$G:$G,MATCH($B9,Data!$E:$E,0)),"")</f>
        <v>Evento Camara Comercio</v>
      </c>
      <c r="E9" s="75">
        <f>SUMIFS(CxC!$H:$H,CxC!$D:$D,$B9)</f>
        <v>192669373</v>
      </c>
      <c r="F9" s="75">
        <f>-SUMIFS(CxP!$K:$K,CxP!$G:$G,$B9,CxP!$Y:$Y,"Si")-SUMIFS(CxP!$M:$M,CxP!$G:$G,$B9,CxP!$Y:$Y,"Si")</f>
        <v>-154250069.40000001</v>
      </c>
      <c r="G9" s="95">
        <f t="shared" si="0"/>
        <v>38419303.599999994</v>
      </c>
      <c r="H9" s="96">
        <f t="shared" si="1"/>
        <v>0.19940534918333905</v>
      </c>
      <c r="I9" s="1"/>
      <c r="J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">
      <c r="A10" s="1"/>
      <c r="B10" s="93" t="s">
        <v>225</v>
      </c>
      <c r="C10" s="94" t="str">
        <f>IFERROR(INDEX(Data!$F:$F,MATCH($B10,Data!$E:$E,0)),"")</f>
        <v>Commscope</v>
      </c>
      <c r="D10" s="75" t="str">
        <f>IFERROR(INDEX(Data!$G:$G,MATCH($B10,Data!$E:$E,0)),"")</f>
        <v>Regalos Cartagena</v>
      </c>
      <c r="E10" s="75">
        <f>SUMIFS(CxC!$H:$H,CxC!$D:$D,$B10)</f>
        <v>4060000</v>
      </c>
      <c r="F10" s="75">
        <f>-SUMIFS(CxP!$K:$K,CxP!$G:$G,$B10,CxP!$Y:$Y,"Si")-SUMIFS(CxP!$M:$M,CxP!$G:$G,$B10,CxP!$Y:$Y,"Si")</f>
        <v>-3032640</v>
      </c>
      <c r="G10" s="95">
        <f t="shared" si="0"/>
        <v>1027360</v>
      </c>
      <c r="H10" s="96">
        <f t="shared" si="1"/>
        <v>0.25304433497536943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93" t="s">
        <v>167</v>
      </c>
      <c r="C11" s="94" t="str">
        <f>IFERROR(INDEX(Data!$F:$F,MATCH($B11,Data!$E:$E,0)),"")</f>
        <v>AXIS</v>
      </c>
      <c r="D11" s="75" t="str">
        <f>IFERROR(INDEX(Data!$G:$G,MATCH($B11,Data!$E:$E,0)),"")</f>
        <v>Camisetas Academy</v>
      </c>
      <c r="E11" s="75">
        <f>SUMIFS(CxC!$H:$H,CxC!$D:$D,$B11)</f>
        <v>2349000</v>
      </c>
      <c r="F11" s="75">
        <f>-SUMIFS(CxP!$K:$K,CxP!$G:$G,$B11,CxP!$Y:$Y,"Si")-SUMIFS(CxP!$M:$M,CxP!$G:$G,$B11,CxP!$Y:$Y,"Si")</f>
        <v>-1494465</v>
      </c>
      <c r="G11" s="95">
        <f t="shared" si="0"/>
        <v>854535</v>
      </c>
      <c r="H11" s="96">
        <f t="shared" si="1"/>
        <v>0.36378671775223498</v>
      </c>
      <c r="I11" s="1"/>
      <c r="J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">
      <c r="A12" s="1"/>
      <c r="B12" s="93" t="s">
        <v>207</v>
      </c>
      <c r="C12" s="94" t="str">
        <f>IFERROR(INDEX(Data!$F:$F,MATCH($B12,Data!$E:$E,0)),"")</f>
        <v>ANIXTER</v>
      </c>
      <c r="D12" s="75" t="str">
        <f>IFERROR(INDEX(Data!$G:$G,MATCH($B12,Data!$E:$E,0)),"")</f>
        <v xml:space="preserve">Evento BoB Datacenter Day - Bogotá </v>
      </c>
      <c r="E12" s="75">
        <f>SUMIFS(CxC!$H:$H,CxC!$D:$D,$B12)</f>
        <v>20054658</v>
      </c>
      <c r="F12" s="75">
        <f>-SUMIFS(CxP!$K:$K,CxP!$G:$G,$B12,CxP!$Y:$Y,"Si")-SUMIFS(CxP!$M:$M,CxP!$G:$G,$B12,CxP!$Y:$Y,"Si")</f>
        <v>-14566389.23</v>
      </c>
      <c r="G12" s="95">
        <f t="shared" si="0"/>
        <v>5488268.7699999996</v>
      </c>
      <c r="H12" s="96">
        <f t="shared" si="1"/>
        <v>0.2736655379513328</v>
      </c>
      <c r="I12" s="1"/>
      <c r="J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3">
      <c r="A13" s="1"/>
      <c r="B13" s="93" t="s">
        <v>197</v>
      </c>
      <c r="C13" s="94" t="str">
        <f>IFERROR(INDEX(Data!$F:$F,MATCH($B13,Data!$E:$E,0)),"")</f>
        <v>AXIS</v>
      </c>
      <c r="D13" s="75" t="str">
        <f>IFERROR(INDEX(Data!$G:$G,MATCH($B13,Data!$E:$E,0)),"")</f>
        <v>Hoodies Challenge</v>
      </c>
      <c r="E13" s="75">
        <f>SUMIFS(CxC!$H:$H,CxC!$D:$D,$B13)</f>
        <v>2744000</v>
      </c>
      <c r="F13" s="75">
        <f>-SUMIFS(CxP!$K:$K,CxP!$G:$G,$B13,CxP!$Y:$Y,"Si")-SUMIFS(CxP!$M:$M,CxP!$G:$G,$B13,CxP!$Y:$Y,"Si")</f>
        <v>-2100455</v>
      </c>
      <c r="G13" s="95">
        <f t="shared" si="0"/>
        <v>643545</v>
      </c>
      <c r="H13" s="96">
        <f t="shared" si="1"/>
        <v>0.2345280612244898</v>
      </c>
      <c r="I13" s="1"/>
      <c r="J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1"/>
      <c r="B14" s="93" t="s">
        <v>203</v>
      </c>
      <c r="C14" s="94" t="str">
        <f>IFERROR(INDEX(Data!$F:$F,MATCH($B14,Data!$E:$E,0)),"")</f>
        <v>AXIS</v>
      </c>
      <c r="D14" s="75" t="str">
        <f>IFERROR(INDEX(Data!$G:$G,MATCH($B14,Data!$E:$E,0)),"")</f>
        <v>Merch y transporte para Cena feria de seguridad</v>
      </c>
      <c r="E14" s="75">
        <f>SUMIFS(CxC!$H:$H,CxC!$D:$D,$B14)</f>
        <v>10875250</v>
      </c>
      <c r="F14" s="75">
        <f>-SUMIFS(CxP!$K:$K,CxP!$G:$G,$B14,CxP!$Y:$Y,"Si")-SUMIFS(CxP!$M:$M,CxP!$G:$G,$B14,CxP!$Y:$Y,"Si")</f>
        <v>-7907602.0199999996</v>
      </c>
      <c r="G14" s="95">
        <f t="shared" si="0"/>
        <v>2967647.9800000004</v>
      </c>
      <c r="H14" s="96">
        <f t="shared" ref="H14" si="2">IFERROR(G14/E14,"-")</f>
        <v>0.27288089745063338</v>
      </c>
      <c r="I14" s="1"/>
      <c r="J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"/>
      <c r="B15" s="93" t="s">
        <v>214</v>
      </c>
      <c r="C15" s="94" t="str">
        <f>IFERROR(INDEX(Data!$F:$F,MATCH($B15,Data!$E:$E,0)),"")</f>
        <v>ANIXTER</v>
      </c>
      <c r="D15" s="75" t="str">
        <f>IFERROR(INDEX(Data!$G:$G,MATCH($B15,Data!$E:$E,0)),"")</f>
        <v>Tiquetes y alojamiento Pedro Rodriguez</v>
      </c>
      <c r="E15" s="75">
        <f>SUMIFS(CxC!$H:$H,CxC!$D:$D,$B15)</f>
        <v>4890000</v>
      </c>
      <c r="F15" s="75">
        <f>-SUMIFS(CxP!$K:$K,CxP!$G:$G,$B15,CxP!$Y:$Y,"Si")-SUMIFS(CxP!$M:$M,CxP!$G:$G,$B15,CxP!$Y:$Y,"Si")</f>
        <v>-3280760</v>
      </c>
      <c r="G15" s="95">
        <f t="shared" si="0"/>
        <v>1609240</v>
      </c>
      <c r="H15" s="96">
        <f t="shared" si="1"/>
        <v>0.3290879345603272</v>
      </c>
      <c r="I15" s="1"/>
      <c r="J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1"/>
      <c r="B16" s="93" t="s">
        <v>248</v>
      </c>
      <c r="C16" s="94" t="str">
        <f>IFERROR(INDEX(Data!$F:$F,MATCH($B16,Data!$E:$E,0)),"")</f>
        <v>AXIS</v>
      </c>
      <c r="D16" s="75" t="str">
        <f>IFERROR(INDEX(Data!$G:$G,MATCH($B16,Data!$E:$E,0)),"")</f>
        <v>Produccion gomas</v>
      </c>
      <c r="E16" s="75">
        <f>SUMIFS(CxC!$H:$H,CxC!$D:$D,$B16)</f>
        <v>1980000</v>
      </c>
      <c r="F16" s="75">
        <f>-SUMIFS(CxP!$K:$K,CxP!$G:$G,$B16,CxP!$Y:$Y,"Si")-SUMIFS(CxP!$M:$M,CxP!$G:$G,$B16,CxP!$Y:$Y,"Si")</f>
        <v>-1479000</v>
      </c>
      <c r="G16" s="95">
        <f t="shared" si="0"/>
        <v>501000</v>
      </c>
      <c r="H16" s="96">
        <f t="shared" si="1"/>
        <v>0.25303030303030305</v>
      </c>
      <c r="I16" s="1"/>
      <c r="J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1"/>
      <c r="B17" s="93" t="s">
        <v>259</v>
      </c>
      <c r="C17" s="94" t="str">
        <f>IFERROR(INDEX(Data!$F:$F,MATCH($B17,Data!$E:$E,0)),"")</f>
        <v>Commscope</v>
      </c>
      <c r="D17" s="75" t="str">
        <f>IFERROR(INDEX(Data!$G:$G,MATCH($B17,Data!$E:$E,0)),"")</f>
        <v>Maletas VIP</v>
      </c>
      <c r="E17" s="75">
        <f>SUMIFS(CxC!$H:$H,CxC!$D:$D,$B17)</f>
        <v>1309866</v>
      </c>
      <c r="F17" s="75">
        <f>-SUMIFS(CxP!$K:$K,CxP!$G:$G,$B17,CxP!$Y:$Y,"Si")-SUMIFS(CxP!$M:$M,CxP!$G:$G,$B17,CxP!$Y:$Y,"Si")</f>
        <v>-574655.46</v>
      </c>
      <c r="G17" s="95">
        <f t="shared" si="0"/>
        <v>735210.54</v>
      </c>
      <c r="H17" s="96">
        <f t="shared" si="1"/>
        <v>0.56128683392041634</v>
      </c>
      <c r="I17" s="156" t="s">
        <v>1075</v>
      </c>
      <c r="J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">
      <c r="A18" s="1"/>
      <c r="B18" s="93" t="s">
        <v>268</v>
      </c>
      <c r="C18" s="94" t="str">
        <f>IFERROR(INDEX(Data!$F:$F,MATCH($B18,Data!$E:$E,0)),"")</f>
        <v>ANIXTER</v>
      </c>
      <c r="D18" s="75" t="str">
        <f>IFERROR(INDEX(Data!$G:$G,MATCH($B18,Data!$E:$E,0)),"")</f>
        <v>Almuerzo Evento Corferias ESS+</v>
      </c>
      <c r="E18" s="75">
        <f>SUMIFS(CxC!$H:$H,CxC!$D:$D,$B18)</f>
        <v>22146348</v>
      </c>
      <c r="F18" s="75">
        <f>-SUMIFS(CxP!$K:$K,CxP!$G:$G,$B18,CxP!$Y:$Y,"Si")-SUMIFS(CxP!$M:$M,CxP!$G:$G,$B18,CxP!$Y:$Y,"Si")</f>
        <v>-17967985</v>
      </c>
      <c r="G18" s="95">
        <f t="shared" si="0"/>
        <v>4178363</v>
      </c>
      <c r="H18" s="96">
        <f t="shared" si="1"/>
        <v>0.18867052030429576</v>
      </c>
      <c r="I18" s="1"/>
      <c r="J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3">
      <c r="A19" s="1"/>
      <c r="B19" s="93" t="s">
        <v>274</v>
      </c>
      <c r="C19" s="94" t="str">
        <f>IFERROR(INDEX(Data!$F:$F,MATCH($B19,Data!$E:$E,0)),"")</f>
        <v>AXIS</v>
      </c>
      <c r="D19" s="75" t="str">
        <f>IFERROR(INDEX(Data!$G:$G,MATCH($B19,Data!$E:$E,0)),"")</f>
        <v>Catering ESS</v>
      </c>
      <c r="E19" s="75">
        <f>SUMIFS(CxC!$H:$H,CxC!$D:$D,$B19)</f>
        <v>33582650</v>
      </c>
      <c r="F19" s="75">
        <f>-SUMIFS(CxP!$K:$K,CxP!$G:$G,$B19,CxP!$Y:$Y,"Si")-SUMIFS(CxP!$M:$M,CxP!$G:$G,$B19,CxP!$Y:$Y,"Si")</f>
        <v>-26397707</v>
      </c>
      <c r="G19" s="95">
        <f t="shared" si="0"/>
        <v>7184943</v>
      </c>
      <c r="H19" s="96">
        <f t="shared" ref="H19" si="3">IFERROR(G19/E19,"-")</f>
        <v>0.21394806544450781</v>
      </c>
      <c r="I19" s="1"/>
      <c r="J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3">
      <c r="A20" s="1"/>
      <c r="B20" s="93" t="s">
        <v>294</v>
      </c>
      <c r="C20" s="94" t="str">
        <f>IFERROR(INDEX(Data!$F:$F,MATCH($B20,Data!$E:$E,0)),"")</f>
        <v>AXIS</v>
      </c>
      <c r="D20" s="75" t="str">
        <f>IFERROR(INDEX(Data!$G:$G,MATCH($B20,Data!$E:$E,0)),"")</f>
        <v>Adicionales Mezanine ESS+</v>
      </c>
      <c r="E20" s="75">
        <f>SUMIFS(CxC!$H:$H,CxC!$D:$D,$B20)</f>
        <v>4391660</v>
      </c>
      <c r="F20" s="75">
        <f>-SUMIFS(CxP!$K:$K,CxP!$G:$G,$B20,CxP!$Y:$Y,"Si")-SUMIFS(CxP!$M:$M,CxP!$G:$G,$B20,CxP!$Y:$Y,"Si")</f>
        <v>-1103799.9999999998</v>
      </c>
      <c r="G20" s="95">
        <f t="shared" si="0"/>
        <v>3287860</v>
      </c>
      <c r="H20" s="155">
        <f t="shared" si="1"/>
        <v>0.74865996001511959</v>
      </c>
      <c r="I20" s="156" t="s">
        <v>1076</v>
      </c>
      <c r="J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3">
      <c r="A21" s="1"/>
      <c r="B21" s="93" t="s">
        <v>316</v>
      </c>
      <c r="C21" s="94" t="str">
        <f>IFERROR(INDEX(Data!$F:$F,MATCH($B21,Data!$E:$E,0)),"")</f>
        <v>ANIXTER</v>
      </c>
      <c r="D21" s="75" t="str">
        <f>IFERROR(INDEX(Data!$G:$G,MATCH($B21,Data!$E:$E,0)),"")</f>
        <v>Adicionales Almuerzo ESS+</v>
      </c>
      <c r="E21" s="75">
        <f>SUMIFS(CxC!$H:$H,CxC!$D:$D,$B21)</f>
        <v>4339753</v>
      </c>
      <c r="F21" s="75">
        <f>-SUMIFS(CxP!$K:$K,CxP!$G:$G,$B21,CxP!$Y:$Y,"Si")-SUMIFS(CxP!$M:$M,CxP!$G:$G,$B21,CxP!$Y:$Y,"Si")</f>
        <v>-3445150</v>
      </c>
      <c r="G21" s="95">
        <f t="shared" si="0"/>
        <v>894603</v>
      </c>
      <c r="H21" s="96">
        <f t="shared" si="1"/>
        <v>0.2061414555160167</v>
      </c>
      <c r="I21" s="1"/>
      <c r="J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3">
      <c r="A22" s="1"/>
      <c r="B22" s="93" t="s">
        <v>782</v>
      </c>
      <c r="C22" s="94" t="str">
        <f>IFERROR(INDEX(Data!$F:$F,MATCH($B22,Data!$E:$E,0)),"")</f>
        <v>Konrad Adenauer Stiftung</v>
      </c>
      <c r="D22" s="75" t="str">
        <f>IFERROR(INDEX(Data!$G:$G,MATCH($B22,Data!$E:$E,0)),"")</f>
        <v>Morrales y letras KAS</v>
      </c>
      <c r="E22" s="75">
        <f>SUMIFS(CxC!$H:$H,CxC!$D:$D,$B22)</f>
        <v>8510000</v>
      </c>
      <c r="F22" s="75">
        <f>-SUMIFS(CxP!$K:$K,CxP!$G:$G,$B22,CxP!$Y:$Y,"Si")-SUMIFS(CxP!$M:$M,CxP!$G:$G,$B22,CxP!$Y:$Y,"Si")</f>
        <v>-6210000</v>
      </c>
      <c r="G22" s="95">
        <f t="shared" si="0"/>
        <v>2300000</v>
      </c>
      <c r="H22" s="96">
        <f t="shared" si="1"/>
        <v>0.27027027027027029</v>
      </c>
      <c r="I22" s="1"/>
      <c r="J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3">
      <c r="A23" s="1"/>
      <c r="B23" s="93" t="s">
        <v>784</v>
      </c>
      <c r="C23" s="94" t="str">
        <f>IFERROR(INDEX(Data!$F:$F,MATCH($B23,Data!$E:$E,0)),"")</f>
        <v>MOTOROLA</v>
      </c>
      <c r="D23" s="75" t="str">
        <f>IFERROR(INDEX(Data!$G:$G,MATCH($B23,Data!$E:$E,0)),"")</f>
        <v>Entrepartners BOGOTA</v>
      </c>
      <c r="E23" s="75">
        <f>SUMIFS(CxC!$H:$H,CxC!$D:$D,$B23)</f>
        <v>15723750</v>
      </c>
      <c r="F23" s="75">
        <f>-SUMIFS(CxP!$K:$K,CxP!$G:$G,$B23,CxP!$Y:$Y,"Si")-SUMIFS(CxP!$M:$M,CxP!$G:$G,$B23,CxP!$Y:$Y,"Si")</f>
        <v>-10990500</v>
      </c>
      <c r="G23" s="95">
        <f t="shared" si="0"/>
        <v>4733250</v>
      </c>
      <c r="H23" s="96">
        <f t="shared" si="1"/>
        <v>0.30102551872167899</v>
      </c>
      <c r="I23" s="1"/>
      <c r="J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3">
      <c r="A24" s="1"/>
      <c r="B24" s="93" t="s">
        <v>235</v>
      </c>
      <c r="C24" s="94" t="str">
        <f>IFERROR(INDEX(Data!$F:$F,MATCH($B24,Data!$E:$E,0)),"")</f>
        <v>Commscope</v>
      </c>
      <c r="D24" s="75" t="str">
        <f>IFERROR(INDEX(Data!$G:$G,MATCH($B24,Data!$E:$E,0)),"")</f>
        <v>Brochures COMMSCOPE</v>
      </c>
      <c r="E24" s="75">
        <f>SUMIFS(CxC!$H:$H,CxC!$D:$D,$B24)</f>
        <v>2185714</v>
      </c>
      <c r="F24" s="75">
        <f>-SUMIFS(CxP!$K:$K,CxP!$G:$G,$B24,CxP!$Y:$Y,"Si")-SUMIFS(CxP!$M:$M,CxP!$G:$G,$B24,CxP!$Y:$Y,"Si")</f>
        <v>-1230000</v>
      </c>
      <c r="G24" s="95">
        <f t="shared" si="0"/>
        <v>955714</v>
      </c>
      <c r="H24" s="96">
        <f t="shared" si="1"/>
        <v>0.43725482839932395</v>
      </c>
      <c r="I24" s="156" t="s">
        <v>1075</v>
      </c>
      <c r="J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3">
      <c r="A25" s="1"/>
      <c r="B25" s="93" t="s">
        <v>883</v>
      </c>
      <c r="C25" s="94" t="str">
        <f>IFERROR(INDEX(Data!$F:$F,MATCH($B25,Data!$E:$E,0)),"")</f>
        <v>MOTOROLA</v>
      </c>
      <c r="D25" s="75" t="str">
        <f>IFERROR(INDEX(Data!$G:$G,MATCH($B25,Data!$E:$E,0)),"")</f>
        <v>Entrepartners MEDELLIN</v>
      </c>
      <c r="E25" s="75">
        <f>SUMIFS(CxC!$H:$H,CxC!$D:$D,$B25)</f>
        <v>11815900</v>
      </c>
      <c r="F25" s="75">
        <f>-SUMIFS(CxP!$K:$K,CxP!$G:$G,$B25,CxP!$Y:$Y,"Si")-SUMIFS(CxP!$M:$M,CxP!$G:$G,$B25,CxP!$Y:$Y,"Si")</f>
        <v>-8392696</v>
      </c>
      <c r="G25" s="95">
        <f t="shared" si="0"/>
        <v>3423204</v>
      </c>
      <c r="H25" s="96">
        <f t="shared" ref="H25" si="4">IFERROR(G25/E25,"-")</f>
        <v>0.28971165971275992</v>
      </c>
      <c r="I25" s="1"/>
      <c r="J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3">
      <c r="A26" s="1"/>
      <c r="B26" s="93" t="s">
        <v>763</v>
      </c>
      <c r="C26" s="94" t="str">
        <f>IFERROR(INDEX(Data!$F:$F,MATCH($B26,Data!$E:$E,0)),"")</f>
        <v>Kaspersky</v>
      </c>
      <c r="D26" s="75" t="str">
        <f>IFERROR(INDEX(Data!$G:$G,MATCH($B26,Data!$E:$E,0)),"")</f>
        <v>Actividades Kaspersky Sep</v>
      </c>
      <c r="E26" s="75">
        <f>SUMIFS(CxC!$H:$H,CxC!$D:$D,$B26)</f>
        <v>16527804</v>
      </c>
      <c r="F26" s="75">
        <f>-SUMIFS(CxP!$K:$K,CxP!$G:$G,$B26,CxP!$Y:$Y,"Si")-SUMIFS(CxP!$M:$M,CxP!$G:$G,$B26,CxP!$Y:$Y,"Si")</f>
        <v>-10377568.379999999</v>
      </c>
      <c r="G26" s="95">
        <f t="shared" si="0"/>
        <v>6150235.620000001</v>
      </c>
      <c r="H26" s="155">
        <f t="shared" ref="H26:H29" si="5">IFERROR(G26/E26,"-")</f>
        <v>0.37211450595614526</v>
      </c>
      <c r="I26" s="156" t="s">
        <v>767</v>
      </c>
      <c r="J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3">
      <c r="A27" s="1"/>
      <c r="B27" s="93" t="s">
        <v>952</v>
      </c>
      <c r="C27" s="94" t="str">
        <f>IFERROR(INDEX(Data!$F:$F,MATCH($B27,Data!$E:$E,0)),"")</f>
        <v>AXIS</v>
      </c>
      <c r="D27" s="75" t="str">
        <f>IFERROR(INDEX(Data!$G:$G,MATCH($B27,Data!$E:$E,0)),"")</f>
        <v>Bono Amazon</v>
      </c>
      <c r="E27" s="75">
        <f>SUMIFS(CxC!$H:$H,CxC!$D:$D,$B27)</f>
        <v>705000</v>
      </c>
      <c r="F27" s="75">
        <f>-SUMIFS(CxP!$K:$K,CxP!$G:$G,$B27,CxP!$Y:$Y,"Si")-SUMIFS(CxP!$M:$M,CxP!$G:$G,$B27,CxP!$Y:$Y,"Si")</f>
        <v>-319760</v>
      </c>
      <c r="G27" s="95">
        <f t="shared" ref="G27:G42" si="6">E27+F27</f>
        <v>385240</v>
      </c>
      <c r="H27" s="155">
        <f t="shared" si="5"/>
        <v>0.54643971631205679</v>
      </c>
      <c r="I27" s="156" t="s">
        <v>1076</v>
      </c>
      <c r="J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3">
      <c r="A28" s="1"/>
      <c r="B28" s="93" t="s">
        <v>243</v>
      </c>
      <c r="C28" s="94" t="str">
        <f>IFERROR(INDEX(Data!$F:$F,MATCH($B28,Data!$E:$E,0)),"")</f>
        <v>AXIS</v>
      </c>
      <c r="D28" s="75" t="str">
        <f>IFERROR(INDEX(Data!$G:$G,MATCH($B28,Data!$E:$E,0)),"")</f>
        <v>Tarjetas regalo AMAZON y Pantalla</v>
      </c>
      <c r="E28" s="75">
        <f>SUMIFS(CxC!$H:$H,CxC!$D:$D,$B28)</f>
        <v>1500000</v>
      </c>
      <c r="F28" s="75">
        <f>-SUMIFS(CxP!$K:$K,CxP!$G:$G,$B28,CxP!$Y:$Y,"Si")-SUMIFS(CxP!$M:$M,CxP!$G:$G,$B28,CxP!$Y:$Y,"Si")</f>
        <v>0</v>
      </c>
      <c r="G28" s="95">
        <f t="shared" si="6"/>
        <v>1500000</v>
      </c>
      <c r="H28" s="155">
        <f t="shared" si="5"/>
        <v>1</v>
      </c>
      <c r="I28" s="156" t="s">
        <v>767</v>
      </c>
      <c r="J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3">
      <c r="A29" s="1"/>
      <c r="B29" s="93" t="s">
        <v>305</v>
      </c>
      <c r="C29" s="94" t="str">
        <f>IFERROR(INDEX(Data!$F:$F,MATCH($B29,Data!$E:$E,0)),"")</f>
        <v>AXIS</v>
      </c>
      <c r="D29" s="75" t="str">
        <f>IFERROR(INDEX(Data!$G:$G,MATCH($B29,Data!$E:$E,0)),"")</f>
        <v>Recarga Router</v>
      </c>
      <c r="E29" s="75">
        <f>SUMIFS(CxC!$H:$H,CxC!$D:$D,$B29)</f>
        <v>350000</v>
      </c>
      <c r="F29" s="75">
        <f>-SUMIFS(CxP!$K:$K,CxP!$G:$G,$B29,CxP!$Y:$Y,"Si")-SUMIFS(CxP!$M:$M,CxP!$G:$G,$B29,CxP!$Y:$Y,"Si")</f>
        <v>-300000</v>
      </c>
      <c r="G29" s="95">
        <f t="shared" si="6"/>
        <v>50000</v>
      </c>
      <c r="H29" s="96">
        <f t="shared" si="5"/>
        <v>0.14285714285714285</v>
      </c>
      <c r="I29" s="1"/>
      <c r="J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3">
      <c r="A30" s="1"/>
      <c r="B30" s="93" t="s">
        <v>937</v>
      </c>
      <c r="C30" s="94" t="str">
        <f>IFERROR(INDEX(Data!$F:$F,MATCH($B30,Data!$E:$E,0)),"")</f>
        <v>INNOVAITORS</v>
      </c>
      <c r="D30" s="75" t="str">
        <f>IFERROR(INDEX(Data!$G:$G,MATCH($B30,Data!$E:$E,0)),"")</f>
        <v>Kits Octubre</v>
      </c>
      <c r="E30" s="75">
        <f>SUMIFS(CxC!$H:$H,CxC!$D:$D,$B30)</f>
        <v>1020000</v>
      </c>
      <c r="F30" s="75">
        <f>-SUMIFS(CxP!$K:$K,CxP!$G:$G,$B30,CxP!$Y:$Y,"Si")-SUMIFS(CxP!$M:$M,CxP!$G:$G,$B30,CxP!$Y:$Y,"Si")</f>
        <v>-700000</v>
      </c>
      <c r="G30" s="95">
        <f t="shared" si="6"/>
        <v>320000</v>
      </c>
      <c r="H30" s="96">
        <f t="shared" ref="H30:H42" si="7">IFERROR(G30/E30,"-")</f>
        <v>0.31372549019607843</v>
      </c>
      <c r="I30" s="1"/>
      <c r="J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3">
      <c r="A31" s="1"/>
      <c r="B31" s="93" t="s">
        <v>766</v>
      </c>
      <c r="C31" s="94" t="str">
        <f>IFERROR(INDEX(Data!$F:$F,MATCH($B31,Data!$E:$E,0)),"")</f>
        <v>Kaspersky</v>
      </c>
      <c r="D31" s="75" t="str">
        <f>IFERROR(INDEX(Data!$G:$G,MATCH($B31,Data!$E:$E,0)),"")</f>
        <v>Alojamiento 24 a 27 de septiembre</v>
      </c>
      <c r="E31" s="75">
        <f>SUMIFS(CxC!$H:$H,CxC!$D:$D,$B31)</f>
        <v>12705000</v>
      </c>
      <c r="F31" s="75">
        <f>-SUMIFS(CxP!$K:$K,CxP!$G:$G,$B31,CxP!$Y:$Y,"Si")-SUMIFS(CxP!$M:$M,CxP!$G:$G,$B31,CxP!$Y:$Y,"Si")</f>
        <v>0</v>
      </c>
      <c r="G31" s="95">
        <f t="shared" si="6"/>
        <v>12705000</v>
      </c>
      <c r="H31" s="155">
        <f t="shared" si="7"/>
        <v>1</v>
      </c>
      <c r="I31" s="156" t="s">
        <v>1149</v>
      </c>
      <c r="J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3">
      <c r="A32" s="1"/>
      <c r="B32" s="93" t="s">
        <v>882</v>
      </c>
      <c r="C32" s="94" t="str">
        <f>IFERROR(INDEX(Data!$F:$F,MATCH($B32,Data!$E:$E,0)),"")</f>
        <v>MOTOROLA</v>
      </c>
      <c r="D32" s="75" t="str">
        <f>IFERROR(INDEX(Data!$G:$G,MATCH($B32,Data!$E:$E,0)),"")</f>
        <v>Entrepartners CALI</v>
      </c>
      <c r="E32" s="75">
        <f>SUMIFS(CxC!$H:$H,CxC!$D:$D,$B32)</f>
        <v>7449400</v>
      </c>
      <c r="F32" s="75">
        <f>-SUMIFS(CxP!$K:$K,CxP!$G:$G,$B32,CxP!$Y:$Y,"Si")-SUMIFS(CxP!$M:$M,CxP!$G:$G,$B32,CxP!$Y:$Y,"Si")</f>
        <v>-5614726</v>
      </c>
      <c r="G32" s="95">
        <f t="shared" si="6"/>
        <v>1834674</v>
      </c>
      <c r="H32" s="96">
        <f t="shared" si="7"/>
        <v>0.24628480146052031</v>
      </c>
      <c r="I32" s="1"/>
      <c r="J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3">
      <c r="A33" s="1"/>
      <c r="B33" s="93" t="s">
        <v>1052</v>
      </c>
      <c r="C33" s="94" t="str">
        <f>IFERROR(INDEX(Data!$F:$F,MATCH($B33,Data!$E:$E,0)),"")</f>
        <v>AXIS</v>
      </c>
      <c r="D33" s="75" t="str">
        <f>IFERROR(INDEX(Data!$G:$G,MATCH($B33,Data!$E:$E,0)),"")</f>
        <v>Bono amazon 100 USD ARG</v>
      </c>
      <c r="E33" s="75">
        <f>SUMIFS(CxC!$H:$H,CxC!$D:$D,$B33)</f>
        <v>405838</v>
      </c>
      <c r="F33" s="75">
        <f>-SUMIFS(CxP!$K:$K,CxP!$G:$G,$B33,CxP!$Y:$Y,"Si")-SUMIFS(CxP!$M:$M,CxP!$G:$G,$B33,CxP!$Y:$Y,"Si")</f>
        <v>-336280</v>
      </c>
      <c r="G33" s="95">
        <f t="shared" si="6"/>
        <v>69558</v>
      </c>
      <c r="H33" s="96">
        <f t="shared" si="7"/>
        <v>0.17139351169678541</v>
      </c>
      <c r="I33" s="1"/>
      <c r="J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3">
      <c r="A34" s="1"/>
      <c r="B34" s="93" t="s">
        <v>1071</v>
      </c>
      <c r="C34" s="94" t="str">
        <f>IFERROR(INDEX(Data!$F:$F,MATCH($B34,Data!$E:$E,0)),"")</f>
        <v>Kaspersky</v>
      </c>
      <c r="D34" s="75" t="str">
        <f>IFERROR(INDEX(Data!$G:$G,MATCH($B34,Data!$E:$E,0)),"")</f>
        <v>Fiesta de fin de año</v>
      </c>
      <c r="E34" s="75">
        <f>SUMIFS(CxC!$H:$H,CxC!$D:$D,$B34)</f>
        <v>0</v>
      </c>
      <c r="F34" s="75">
        <f>-SUMIFS(CxP!$K:$K,CxP!$G:$G,$B34,CxP!$Y:$Y,"Si")-SUMIFS(CxP!$M:$M,CxP!$G:$G,$B34,CxP!$Y:$Y,"Si")</f>
        <v>0</v>
      </c>
      <c r="G34" s="95">
        <f t="shared" si="6"/>
        <v>0</v>
      </c>
      <c r="H34" s="96" t="str">
        <f t="shared" si="7"/>
        <v>-</v>
      </c>
      <c r="I34" s="1"/>
      <c r="J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3">
      <c r="A35" s="1"/>
      <c r="B35" s="93" t="s">
        <v>1134</v>
      </c>
      <c r="C35" s="94" t="str">
        <f>IFERROR(INDEX(Data!$F:$F,MATCH($B35,Data!$E:$E,0)),"")</f>
        <v>Kaspersky</v>
      </c>
      <c r="D35" s="75" t="str">
        <f>IFERROR(INDEX(Data!$G:$G,MATCH($B35,Data!$E:$E,0)),"")</f>
        <v>Regalos Fin de año</v>
      </c>
      <c r="E35" s="75">
        <f>SUMIFS(CxC!$H:$H,CxC!$D:$D,$B35)</f>
        <v>0</v>
      </c>
      <c r="F35" s="75">
        <f>-SUMIFS(CxP!$K:$K,CxP!$G:$G,$B35,CxP!$Y:$Y,"Si")-SUMIFS(CxP!$M:$M,CxP!$G:$G,$B35,CxP!$Y:$Y,"Si")</f>
        <v>0</v>
      </c>
      <c r="G35" s="95">
        <f t="shared" si="6"/>
        <v>0</v>
      </c>
      <c r="H35" s="96" t="str">
        <f t="shared" si="7"/>
        <v>-</v>
      </c>
      <c r="I35" s="1"/>
      <c r="J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3">
      <c r="A36" s="1"/>
      <c r="B36" s="93" t="s">
        <v>1143</v>
      </c>
      <c r="C36" s="94" t="str">
        <f>IFERROR(INDEX(Data!$F:$F,MATCH($B36,Data!$E:$E,0)),"")</f>
        <v>ANIXTER</v>
      </c>
      <c r="D36" s="75" t="str">
        <f>IFERROR(INDEX(Data!$G:$G,MATCH($B36,Data!$E:$E,0)),"")</f>
        <v>Link Partner Summit</v>
      </c>
      <c r="E36" s="75">
        <f>SUMIFS(CxC!$H:$H,CxC!$D:$D,$B36)</f>
        <v>0</v>
      </c>
      <c r="F36" s="75">
        <f>-SUMIFS(CxP!$K:$K,CxP!$G:$G,$B36,CxP!$Y:$Y,"Si")-SUMIFS(CxP!$M:$M,CxP!$G:$G,$B36,CxP!$Y:$Y,"Si")</f>
        <v>-635925.93000000005</v>
      </c>
      <c r="G36" s="95">
        <f t="shared" si="6"/>
        <v>-635925.93000000005</v>
      </c>
      <c r="H36" s="96" t="str">
        <f t="shared" si="7"/>
        <v>-</v>
      </c>
      <c r="I36" s="1"/>
      <c r="J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3">
      <c r="A37" s="1"/>
      <c r="B37" s="93"/>
      <c r="C37" s="94" t="str">
        <f>IFERROR(INDEX(Data!$F:$F,MATCH($B37,Data!$E:$E,0)),"")</f>
        <v/>
      </c>
      <c r="D37" s="75" t="str">
        <f>IFERROR(INDEX(Data!$G:$G,MATCH($B37,Data!$E:$E,0)),"")</f>
        <v/>
      </c>
      <c r="E37" s="75">
        <f>SUMIFS(CxC!$H:$H,CxC!$D:$D,$B37)</f>
        <v>0</v>
      </c>
      <c r="F37" s="75">
        <f>-SUMIFS(CxP!$K:$K,CxP!$G:$G,$B37,CxP!$Y:$Y,"Si")-SUMIFS(CxP!$M:$M,CxP!$G:$G,$B37,CxP!$Y:$Y,"Si")</f>
        <v>0</v>
      </c>
      <c r="G37" s="95">
        <f t="shared" si="6"/>
        <v>0</v>
      </c>
      <c r="H37" s="96" t="str">
        <f t="shared" si="7"/>
        <v>-</v>
      </c>
      <c r="I37" s="1"/>
      <c r="J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3">
      <c r="A38" s="1"/>
      <c r="B38" s="93"/>
      <c r="C38" s="94" t="str">
        <f>IFERROR(INDEX(Data!$F:$F,MATCH($B38,Data!$E:$E,0)),"")</f>
        <v/>
      </c>
      <c r="D38" s="75" t="str">
        <f>IFERROR(INDEX(Data!$G:$G,MATCH($B38,Data!$E:$E,0)),"")</f>
        <v/>
      </c>
      <c r="E38" s="75">
        <f>SUMIFS(CxC!$H:$H,CxC!$D:$D,$B38)</f>
        <v>0</v>
      </c>
      <c r="F38" s="75">
        <f>-SUMIFS(CxP!$K:$K,CxP!$G:$G,$B38,CxP!$Y:$Y,"Si")-SUMIFS(CxP!$M:$M,CxP!$G:$G,$B38,CxP!$Y:$Y,"Si")</f>
        <v>0</v>
      </c>
      <c r="G38" s="95">
        <f t="shared" si="6"/>
        <v>0</v>
      </c>
      <c r="H38" s="96" t="str">
        <f t="shared" si="7"/>
        <v>-</v>
      </c>
      <c r="I38" s="1"/>
      <c r="J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3">
      <c r="A39" s="1"/>
      <c r="B39" s="93"/>
      <c r="C39" s="94" t="str">
        <f>IFERROR(INDEX(Data!$F:$F,MATCH($B39,Data!$E:$E,0)),"")</f>
        <v/>
      </c>
      <c r="D39" s="75" t="str">
        <f>IFERROR(INDEX(Data!$G:$G,MATCH($B39,Data!$E:$E,0)),"")</f>
        <v/>
      </c>
      <c r="E39" s="75">
        <f>SUMIFS(CxC!$H:$H,CxC!$D:$D,$B39)</f>
        <v>0</v>
      </c>
      <c r="F39" s="75">
        <f>-SUMIFS(CxP!$K:$K,CxP!$G:$G,$B39,CxP!$Y:$Y,"Si")-SUMIFS(CxP!$M:$M,CxP!$G:$G,$B39,CxP!$Y:$Y,"Si")</f>
        <v>0</v>
      </c>
      <c r="G39" s="95">
        <f t="shared" si="6"/>
        <v>0</v>
      </c>
      <c r="H39" s="96" t="str">
        <f t="shared" si="7"/>
        <v>-</v>
      </c>
      <c r="I39" s="1"/>
      <c r="J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3">
      <c r="A40" s="1"/>
      <c r="B40" s="93"/>
      <c r="C40" s="94" t="str">
        <f>IFERROR(INDEX(Data!$F:$F,MATCH($B40,Data!$E:$E,0)),"")</f>
        <v/>
      </c>
      <c r="D40" s="75" t="str">
        <f>IFERROR(INDEX(Data!$G:$G,MATCH($B40,Data!$E:$E,0)),"")</f>
        <v/>
      </c>
      <c r="E40" s="75">
        <f>SUMIFS(CxC!$H:$H,CxC!$D:$D,$B40)</f>
        <v>0</v>
      </c>
      <c r="F40" s="75">
        <f>-SUMIFS(CxP!$K:$K,CxP!$G:$G,$B40,CxP!$Y:$Y,"Si")-SUMIFS(CxP!$M:$M,CxP!$G:$G,$B40,CxP!$Y:$Y,"Si")</f>
        <v>0</v>
      </c>
      <c r="G40" s="95">
        <f t="shared" si="6"/>
        <v>0</v>
      </c>
      <c r="H40" s="96" t="str">
        <f t="shared" si="7"/>
        <v>-</v>
      </c>
      <c r="I40" s="1"/>
      <c r="J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3">
      <c r="A41" s="1"/>
      <c r="B41" s="93"/>
      <c r="C41" s="94" t="str">
        <f>IFERROR(INDEX(Data!$F:$F,MATCH($B41,Data!$E:$E,0)),"")</f>
        <v/>
      </c>
      <c r="D41" s="75" t="str">
        <f>IFERROR(INDEX(Data!$G:$G,MATCH($B41,Data!$E:$E,0)),"")</f>
        <v/>
      </c>
      <c r="E41" s="75">
        <f>SUMIFS(CxC!$H:$H,CxC!$D:$D,$B41)</f>
        <v>0</v>
      </c>
      <c r="F41" s="75">
        <f>-SUMIFS(CxP!$K:$K,CxP!$G:$G,$B41,CxP!$Y:$Y,"Si")-SUMIFS(CxP!$M:$M,CxP!$G:$G,$B41,CxP!$Y:$Y,"Si")</f>
        <v>0</v>
      </c>
      <c r="G41" s="95">
        <f t="shared" si="6"/>
        <v>0</v>
      </c>
      <c r="H41" s="96" t="str">
        <f t="shared" si="7"/>
        <v>-</v>
      </c>
      <c r="I41" s="1"/>
      <c r="J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93"/>
      <c r="C42" s="94" t="str">
        <f>IFERROR(INDEX(Data!$F:$F,MATCH($B42,Data!$E:$E,0)),"")</f>
        <v/>
      </c>
      <c r="D42" s="75" t="str">
        <f>IFERROR(INDEX(Data!$G:$G,MATCH($B42,Data!$E:$E,0)),"")</f>
        <v/>
      </c>
      <c r="E42" s="75">
        <f>SUMIFS(CxC!$H:$H,CxC!$D:$D,$B42)</f>
        <v>0</v>
      </c>
      <c r="F42" s="75">
        <f>-SUMIFS(CxP!$K:$K,CxP!$G:$G,$B42,CxP!$Y:$Y,"Si")-SUMIFS(CxP!$M:$M,CxP!$G:$G,$B42,CxP!$Y:$Y,"Si")</f>
        <v>0</v>
      </c>
      <c r="G42" s="95">
        <f t="shared" si="6"/>
        <v>0</v>
      </c>
      <c r="H42" s="96" t="str">
        <f t="shared" si="7"/>
        <v>-</v>
      </c>
      <c r="I42" s="1"/>
      <c r="J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2" t="s">
        <v>352</v>
      </c>
      <c r="C43" s="1"/>
      <c r="D43" s="1"/>
      <c r="E43" s="95">
        <f t="shared" ref="E43:G43" si="8">SUM(E4:E42)</f>
        <v>486681543</v>
      </c>
      <c r="F43" s="95">
        <f t="shared" si="8"/>
        <v>-339820389.37941176</v>
      </c>
      <c r="G43" s="95">
        <f t="shared" si="8"/>
        <v>146861153.62058824</v>
      </c>
      <c r="H43" s="109">
        <f t="shared" si="1"/>
        <v>0.3017602695908857</v>
      </c>
      <c r="I43" s="1"/>
      <c r="J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209" t="s">
        <v>604</v>
      </c>
      <c r="C45" s="204"/>
      <c r="D45" s="204"/>
      <c r="E45" s="204"/>
      <c r="F45" s="204"/>
      <c r="G45" s="204"/>
      <c r="H45" s="204"/>
      <c r="I45" s="1"/>
      <c r="J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 t="s">
        <v>607</v>
      </c>
      <c r="C46" s="83">
        <f>SUM(CxC!$H$11:$H$51)-E43</f>
        <v>0</v>
      </c>
      <c r="D46" s="1"/>
      <c r="F46" s="1"/>
      <c r="G46" s="1"/>
      <c r="H46" s="1"/>
      <c r="I46" s="1"/>
      <c r="J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 t="s">
        <v>608</v>
      </c>
      <c r="C47" s="111">
        <f>-SUMIFS(CxP!$K:$K,CxP!$G:$G,"NA",CxP!$Y:$Y,"Si")-SUMIFS(CxP!$M:$M,CxP!$G:$G,"NA",CxP!$Y:$Y,"Si")</f>
        <v>-10499124.789999999</v>
      </c>
      <c r="D47" s="1"/>
      <c r="F47" s="1"/>
      <c r="G47" s="1"/>
      <c r="H47" s="1"/>
      <c r="I47" s="1"/>
      <c r="J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 t="s">
        <v>609</v>
      </c>
      <c r="C48" s="83">
        <f>-SUM(CxP!$K$6:$K$110)-SUM(CxP!$M$6:$M$110)-F43-C47</f>
        <v>33824477.020000018</v>
      </c>
      <c r="D48" s="1"/>
      <c r="F48" s="1"/>
      <c r="G48" s="1"/>
      <c r="H48" s="1"/>
      <c r="I48" s="1"/>
      <c r="J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211" t="s">
        <v>610</v>
      </c>
      <c r="C50" s="204"/>
      <c r="D50" s="204"/>
      <c r="E50" s="204"/>
      <c r="F50" s="204"/>
      <c r="G50" s="204"/>
      <c r="H50" s="204"/>
      <c r="I50" s="1"/>
      <c r="J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211" t="s">
        <v>612</v>
      </c>
      <c r="C51" s="204"/>
      <c r="D51" s="204"/>
      <c r="E51" s="204"/>
      <c r="F51" s="204"/>
      <c r="G51" s="204"/>
      <c r="H51" s="204"/>
      <c r="I51" s="1"/>
      <c r="J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211" t="s">
        <v>613</v>
      </c>
      <c r="C52" s="204"/>
      <c r="D52" s="204"/>
      <c r="E52" s="204"/>
      <c r="F52" s="204"/>
      <c r="G52" s="204"/>
      <c r="H52" s="204"/>
      <c r="I52" s="1"/>
      <c r="J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211" t="s">
        <v>614</v>
      </c>
      <c r="C53" s="204"/>
      <c r="D53" s="204"/>
      <c r="E53" s="204"/>
      <c r="F53" s="204"/>
      <c r="G53" s="204"/>
      <c r="H53" s="204"/>
      <c r="I53" s="1"/>
      <c r="J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94"/>
      <c r="C66" s="94"/>
      <c r="D66" s="75"/>
      <c r="E66" s="1"/>
      <c r="F66" s="1"/>
      <c r="G66" s="1"/>
      <c r="H66" s="1"/>
      <c r="I66" s="1"/>
      <c r="J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94"/>
      <c r="C67" s="94"/>
      <c r="D67" s="75"/>
      <c r="E67" s="1"/>
      <c r="F67" s="1"/>
      <c r="G67" s="1"/>
      <c r="H67" s="1"/>
      <c r="I67" s="1"/>
      <c r="J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94"/>
      <c r="C68" s="1"/>
      <c r="D68" s="75"/>
      <c r="E68" s="1"/>
      <c r="F68" s="1"/>
      <c r="G68" s="1"/>
      <c r="H68" s="1"/>
      <c r="I68" s="1"/>
      <c r="J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94"/>
      <c r="C69" s="94"/>
      <c r="D69" s="75"/>
      <c r="E69" s="1"/>
      <c r="F69" s="1"/>
      <c r="G69" s="1"/>
      <c r="H69" s="1"/>
      <c r="I69" s="1"/>
      <c r="J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94"/>
      <c r="C70" s="1"/>
      <c r="D70" s="75"/>
      <c r="E70" s="1"/>
      <c r="F70" s="1"/>
      <c r="G70" s="1"/>
      <c r="H70" s="1"/>
      <c r="I70" s="1"/>
      <c r="J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94"/>
      <c r="C71" s="94"/>
      <c r="D71" s="75"/>
      <c r="E71" s="1"/>
      <c r="F71" s="1"/>
      <c r="G71" s="1"/>
      <c r="H71" s="1"/>
      <c r="I71" s="1"/>
      <c r="J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94"/>
      <c r="C72" s="1"/>
      <c r="D72" s="75"/>
      <c r="E72" s="1"/>
      <c r="F72" s="1"/>
      <c r="G72" s="1"/>
      <c r="H72" s="1"/>
      <c r="I72" s="1"/>
      <c r="J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94"/>
      <c r="C73" s="94"/>
      <c r="D73" s="75"/>
      <c r="E73" s="1"/>
      <c r="F73" s="1"/>
      <c r="G73" s="1"/>
      <c r="H73" s="1"/>
      <c r="I73" s="1"/>
      <c r="J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94"/>
      <c r="C74" s="1"/>
      <c r="D74" s="75"/>
      <c r="E74" s="1"/>
      <c r="F74" s="1"/>
      <c r="G74" s="1"/>
      <c r="H74" s="1"/>
      <c r="I74" s="1"/>
      <c r="J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94"/>
      <c r="C75" s="1"/>
      <c r="D75" s="75"/>
      <c r="E75" s="1"/>
      <c r="F75" s="1"/>
      <c r="G75" s="1"/>
      <c r="H75" s="1"/>
      <c r="I75" s="1"/>
      <c r="J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94"/>
      <c r="C76" s="94"/>
      <c r="D76" s="75"/>
      <c r="E76" s="1"/>
      <c r="F76" s="1"/>
      <c r="G76" s="1"/>
      <c r="H76" s="1"/>
      <c r="I76" s="1"/>
      <c r="J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94"/>
      <c r="C77" s="94"/>
      <c r="D77" s="75"/>
      <c r="E77" s="1"/>
      <c r="F77" s="1"/>
      <c r="G77" s="1"/>
      <c r="H77" s="1"/>
      <c r="I77" s="1"/>
      <c r="J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94"/>
      <c r="C78" s="94"/>
      <c r="D78" s="75"/>
      <c r="E78" s="1"/>
      <c r="F78" s="1"/>
      <c r="G78" s="1"/>
      <c r="H78" s="1"/>
      <c r="I78" s="1"/>
      <c r="J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94"/>
      <c r="C79" s="94"/>
      <c r="D79" s="75"/>
      <c r="E79" s="1"/>
      <c r="F79" s="1"/>
      <c r="G79" s="1"/>
      <c r="H79" s="1"/>
      <c r="I79" s="1"/>
      <c r="J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94"/>
      <c r="C80" s="94"/>
      <c r="D80" s="75"/>
      <c r="E80" s="1"/>
      <c r="F80" s="1"/>
      <c r="G80" s="1"/>
      <c r="H80" s="1"/>
      <c r="I80" s="1"/>
      <c r="J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94"/>
      <c r="C81" s="1"/>
      <c r="D81" s="75"/>
      <c r="E81" s="1"/>
      <c r="F81" s="1"/>
      <c r="G81" s="1"/>
      <c r="H81" s="1"/>
      <c r="I81" s="1"/>
      <c r="J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94"/>
      <c r="C82" s="1"/>
      <c r="D82" s="75"/>
      <c r="E82" s="1"/>
      <c r="F82" s="1"/>
      <c r="G82" s="1"/>
      <c r="H82" s="1"/>
      <c r="I82" s="1"/>
      <c r="J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94"/>
      <c r="C83" s="1"/>
      <c r="D83" s="75"/>
      <c r="E83" s="1"/>
      <c r="F83" s="1"/>
      <c r="G83" s="1"/>
      <c r="H83" s="1"/>
      <c r="I83" s="1"/>
      <c r="J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94"/>
      <c r="C84" s="94"/>
      <c r="D84" s="75"/>
      <c r="E84" s="1"/>
      <c r="F84" s="1"/>
      <c r="G84" s="1"/>
      <c r="H84" s="1"/>
      <c r="I84" s="1"/>
      <c r="J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94"/>
      <c r="C85" s="94"/>
      <c r="D85" s="75"/>
      <c r="E85" s="1"/>
      <c r="F85" s="1"/>
      <c r="G85" s="1"/>
      <c r="H85" s="1"/>
      <c r="I85" s="1"/>
      <c r="J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94"/>
      <c r="C86" s="94"/>
      <c r="D86" s="75"/>
      <c r="E86" s="1"/>
      <c r="F86" s="1"/>
      <c r="G86" s="1"/>
      <c r="H86" s="1"/>
      <c r="I86" s="1"/>
      <c r="J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94"/>
      <c r="C87" s="94"/>
      <c r="D87" s="75"/>
      <c r="E87" s="1"/>
      <c r="F87" s="1"/>
      <c r="G87" s="1"/>
      <c r="H87" s="1"/>
      <c r="I87" s="1"/>
      <c r="J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94"/>
      <c r="C88" s="94"/>
      <c r="D88" s="75"/>
      <c r="E88" s="1"/>
      <c r="F88" s="1"/>
      <c r="G88" s="1"/>
      <c r="H88" s="1"/>
      <c r="I88" s="1"/>
      <c r="J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94"/>
      <c r="C89" s="94"/>
      <c r="D89" s="75"/>
      <c r="E89" s="1"/>
      <c r="F89" s="1"/>
      <c r="G89" s="1"/>
      <c r="H89" s="1"/>
      <c r="I89" s="1"/>
      <c r="J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94"/>
      <c r="C90" s="94"/>
      <c r="D90" s="75"/>
      <c r="E90" s="1"/>
      <c r="F90" s="1"/>
      <c r="G90" s="1"/>
      <c r="H90" s="1"/>
      <c r="I90" s="1"/>
      <c r="J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94"/>
      <c r="C91" s="94"/>
      <c r="D91" s="75"/>
      <c r="E91" s="1"/>
      <c r="F91" s="1"/>
      <c r="G91" s="1"/>
      <c r="H91" s="1"/>
      <c r="I91" s="1"/>
      <c r="J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94"/>
      <c r="C92" s="94"/>
      <c r="D92" s="75"/>
      <c r="E92" s="1"/>
      <c r="F92" s="1"/>
      <c r="G92" s="1"/>
      <c r="H92" s="1"/>
      <c r="I92" s="1"/>
      <c r="J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94"/>
      <c r="C93" s="94"/>
      <c r="D93" s="75"/>
      <c r="E93" s="1"/>
      <c r="F93" s="1"/>
      <c r="G93" s="1"/>
      <c r="H93" s="1"/>
      <c r="I93" s="1"/>
      <c r="J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94"/>
      <c r="C94" s="94"/>
      <c r="D94" s="75"/>
      <c r="E94" s="1"/>
      <c r="F94" s="1"/>
      <c r="G94" s="1"/>
      <c r="H94" s="1"/>
      <c r="I94" s="1"/>
      <c r="J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94"/>
      <c r="C95" s="94"/>
      <c r="D95" s="75"/>
      <c r="E95" s="1"/>
      <c r="F95" s="1"/>
      <c r="G95" s="1"/>
      <c r="H95" s="1"/>
      <c r="I95" s="1"/>
      <c r="J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94"/>
      <c r="C96" s="94"/>
      <c r="D96" s="75"/>
      <c r="E96" s="1"/>
      <c r="F96" s="1"/>
      <c r="G96" s="1"/>
      <c r="H96" s="1"/>
      <c r="I96" s="1"/>
      <c r="J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mergeCells count="5">
    <mergeCell ref="B45:H45"/>
    <mergeCell ref="B50:H50"/>
    <mergeCell ref="B51:H51"/>
    <mergeCell ref="B52:H52"/>
    <mergeCell ref="B53:H53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000"/>
  <sheetViews>
    <sheetView showGridLines="0" zoomScale="70" zoomScaleNormal="70" workbookViewId="0">
      <selection activeCell="D15" sqref="D15"/>
    </sheetView>
  </sheetViews>
  <sheetFormatPr defaultColWidth="12.6640625" defaultRowHeight="15" customHeight="1" x14ac:dyDescent="0.3"/>
  <cols>
    <col min="1" max="1" width="2.1640625" customWidth="1"/>
    <col min="2" max="2" width="28.1640625" customWidth="1"/>
    <col min="3" max="3" width="10.4140625" customWidth="1"/>
    <col min="4" max="4" width="11.6640625" customWidth="1"/>
    <col min="5" max="5" width="9.5" customWidth="1"/>
    <col min="6" max="17" width="13.25" customWidth="1"/>
    <col min="18" max="18" width="2.1640625" customWidth="1"/>
  </cols>
  <sheetData>
    <row r="1" spans="1:23" ht="14.25" customHeight="1" x14ac:dyDescent="0.3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14.25" customHeight="1" x14ac:dyDescent="0.35">
      <c r="A2" s="97"/>
      <c r="B2" s="98" t="s">
        <v>589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7"/>
      <c r="S2" s="97"/>
      <c r="T2" s="97"/>
      <c r="U2" s="97"/>
      <c r="V2" s="97"/>
      <c r="W2" s="97"/>
    </row>
    <row r="3" spans="1:23" ht="14.25" customHeight="1" x14ac:dyDescent="0.35">
      <c r="A3" s="97"/>
      <c r="B3" s="99" t="s">
        <v>590</v>
      </c>
      <c r="C3" s="100">
        <v>15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</row>
    <row r="4" spans="1:23" ht="14.25" customHeight="1" x14ac:dyDescent="0.35">
      <c r="A4" s="97"/>
      <c r="B4" s="101"/>
      <c r="C4" s="102"/>
      <c r="D4" s="101"/>
      <c r="E4" s="101"/>
      <c r="F4" s="102">
        <f t="shared" ref="F4:Q4" si="0">SUM(F6:F42)</f>
        <v>0</v>
      </c>
      <c r="G4" s="102">
        <f t="shared" si="0"/>
        <v>0</v>
      </c>
      <c r="H4" s="102">
        <f t="shared" si="0"/>
        <v>0</v>
      </c>
      <c r="I4" s="102">
        <f t="shared" si="0"/>
        <v>0</v>
      </c>
      <c r="J4" s="102">
        <f t="shared" si="0"/>
        <v>0</v>
      </c>
      <c r="K4" s="102">
        <f t="shared" si="0"/>
        <v>0</v>
      </c>
      <c r="L4" s="102">
        <f t="shared" si="0"/>
        <v>8100290</v>
      </c>
      <c r="M4" s="102">
        <f t="shared" si="0"/>
        <v>8329123.333333333</v>
      </c>
      <c r="N4" s="102">
        <f t="shared" si="0"/>
        <v>8329123.333333333</v>
      </c>
      <c r="O4" s="102">
        <f t="shared" si="0"/>
        <v>8329123.333333333</v>
      </c>
      <c r="P4" s="102">
        <f t="shared" si="0"/>
        <v>8329123.333333333</v>
      </c>
      <c r="Q4" s="102">
        <f t="shared" si="0"/>
        <v>8329123.333333333</v>
      </c>
      <c r="R4" s="101"/>
      <c r="S4" s="97"/>
      <c r="T4" s="97"/>
      <c r="U4" s="97"/>
      <c r="V4" s="97"/>
      <c r="W4" s="97"/>
    </row>
    <row r="5" spans="1:23" ht="14.25" customHeight="1" x14ac:dyDescent="0.35">
      <c r="A5" s="97"/>
      <c r="B5" s="103" t="s">
        <v>589</v>
      </c>
      <c r="C5" s="103" t="s">
        <v>593</v>
      </c>
      <c r="D5" s="103" t="s">
        <v>594</v>
      </c>
      <c r="E5" s="103" t="s">
        <v>595</v>
      </c>
      <c r="F5" s="8">
        <v>1</v>
      </c>
      <c r="G5" s="8">
        <f t="shared" ref="G5:Q5" si="1">F5+1</f>
        <v>2</v>
      </c>
      <c r="H5" s="8">
        <f t="shared" si="1"/>
        <v>3</v>
      </c>
      <c r="I5" s="8">
        <f t="shared" si="1"/>
        <v>4</v>
      </c>
      <c r="J5" s="8">
        <f t="shared" si="1"/>
        <v>5</v>
      </c>
      <c r="K5" s="8">
        <f t="shared" si="1"/>
        <v>6</v>
      </c>
      <c r="L5" s="8">
        <f t="shared" si="1"/>
        <v>7</v>
      </c>
      <c r="M5" s="8">
        <f t="shared" si="1"/>
        <v>8</v>
      </c>
      <c r="N5" s="8">
        <f t="shared" si="1"/>
        <v>9</v>
      </c>
      <c r="O5" s="8">
        <f t="shared" si="1"/>
        <v>10</v>
      </c>
      <c r="P5" s="8">
        <f t="shared" si="1"/>
        <v>11</v>
      </c>
      <c r="Q5" s="8">
        <f t="shared" si="1"/>
        <v>12</v>
      </c>
      <c r="R5" s="97"/>
      <c r="S5" s="97"/>
      <c r="T5" s="97"/>
      <c r="U5" s="97"/>
      <c r="V5" s="97"/>
      <c r="W5" s="97"/>
    </row>
    <row r="6" spans="1:23" ht="14.25" customHeight="1" x14ac:dyDescent="0.35">
      <c r="A6" s="97"/>
      <c r="B6" s="97" t="s">
        <v>596</v>
      </c>
      <c r="C6" s="104">
        <f>2746000/12</f>
        <v>228833.33333333334</v>
      </c>
      <c r="D6" s="105">
        <v>46143</v>
      </c>
      <c r="E6" s="106">
        <v>46387</v>
      </c>
      <c r="F6" s="107">
        <f t="shared" ref="F6:I6" si="2">IF(AND(MONTH($D6)&lt;=F$5, MONTH($E6)&gt;=F$5), $C6, 0)</f>
        <v>0</v>
      </c>
      <c r="G6" s="107">
        <f t="shared" si="2"/>
        <v>0</v>
      </c>
      <c r="H6" s="107">
        <f t="shared" si="2"/>
        <v>0</v>
      </c>
      <c r="I6" s="107">
        <f t="shared" si="2"/>
        <v>0</v>
      </c>
      <c r="J6" s="108"/>
      <c r="K6" s="108"/>
      <c r="L6" s="108"/>
      <c r="M6" s="107">
        <f t="shared" ref="M6:Q6" si="3">IF(AND(MONTH($D6)&lt;=M$5, MONTH($E6)&gt;=M$5), $C6, 0)</f>
        <v>228833.33333333334</v>
      </c>
      <c r="N6" s="107">
        <f t="shared" si="3"/>
        <v>228833.33333333334</v>
      </c>
      <c r="O6" s="107">
        <f t="shared" si="3"/>
        <v>228833.33333333334</v>
      </c>
      <c r="P6" s="107">
        <f t="shared" si="3"/>
        <v>228833.33333333334</v>
      </c>
      <c r="Q6" s="107">
        <f t="shared" si="3"/>
        <v>228833.33333333334</v>
      </c>
      <c r="R6" s="97"/>
      <c r="S6" s="97"/>
      <c r="T6" s="97"/>
      <c r="U6" s="97"/>
      <c r="V6" s="97"/>
      <c r="W6" s="97"/>
    </row>
    <row r="7" spans="1:23" ht="14.25" customHeight="1" x14ac:dyDescent="0.35">
      <c r="A7" s="97"/>
      <c r="B7" s="97" t="s">
        <v>602</v>
      </c>
      <c r="C7" s="104">
        <f>1000000</f>
        <v>1000000</v>
      </c>
      <c r="D7" s="105">
        <v>46174</v>
      </c>
      <c r="E7" s="106">
        <v>46387</v>
      </c>
      <c r="F7" s="107">
        <f t="shared" ref="F7:J7" si="4">IF(AND(MONTH($D7)&lt;=F$5, MONTH($E7)&gt;=F$5), $C7, 0)</f>
        <v>0</v>
      </c>
      <c r="G7" s="107">
        <f t="shared" si="4"/>
        <v>0</v>
      </c>
      <c r="H7" s="107">
        <f t="shared" si="4"/>
        <v>0</v>
      </c>
      <c r="I7" s="107">
        <f t="shared" si="4"/>
        <v>0</v>
      </c>
      <c r="J7" s="107">
        <f t="shared" si="4"/>
        <v>0</v>
      </c>
      <c r="K7" s="108"/>
      <c r="L7" s="107">
        <f t="shared" ref="L7:Q7" si="5">IF(AND(MONTH($D7)&lt;=L$5, MONTH($E7)&gt;=L$5), $C7, 0)</f>
        <v>1000000</v>
      </c>
      <c r="M7" s="107">
        <f t="shared" si="5"/>
        <v>1000000</v>
      </c>
      <c r="N7" s="107">
        <f t="shared" si="5"/>
        <v>1000000</v>
      </c>
      <c r="O7" s="107">
        <f t="shared" si="5"/>
        <v>1000000</v>
      </c>
      <c r="P7" s="107">
        <f t="shared" si="5"/>
        <v>1000000</v>
      </c>
      <c r="Q7" s="107">
        <f t="shared" si="5"/>
        <v>1000000</v>
      </c>
      <c r="R7" s="97"/>
      <c r="S7" s="97"/>
      <c r="T7" s="97"/>
      <c r="U7" s="97"/>
      <c r="V7" s="97"/>
      <c r="W7" s="97"/>
    </row>
    <row r="8" spans="1:23" ht="14.25" customHeight="1" x14ac:dyDescent="0.35">
      <c r="A8" s="97"/>
      <c r="B8" s="1" t="s">
        <v>605</v>
      </c>
      <c r="C8" s="104">
        <v>180000</v>
      </c>
      <c r="D8" s="106">
        <v>46082</v>
      </c>
      <c r="E8" s="106">
        <v>46054</v>
      </c>
      <c r="F8" s="107">
        <f t="shared" ref="F8:Q8" si="6">IF(AND(MONTH($D8)&lt;=F$5, MONTH($E8)&gt;=F$5), $C8, 0)</f>
        <v>0</v>
      </c>
      <c r="G8" s="107">
        <f t="shared" si="6"/>
        <v>0</v>
      </c>
      <c r="H8" s="107">
        <f t="shared" si="6"/>
        <v>0</v>
      </c>
      <c r="I8" s="107">
        <f t="shared" si="6"/>
        <v>0</v>
      </c>
      <c r="J8" s="107">
        <f t="shared" si="6"/>
        <v>0</v>
      </c>
      <c r="K8" s="107">
        <f t="shared" si="6"/>
        <v>0</v>
      </c>
      <c r="L8" s="107">
        <f t="shared" si="6"/>
        <v>0</v>
      </c>
      <c r="M8" s="107">
        <f t="shared" si="6"/>
        <v>0</v>
      </c>
      <c r="N8" s="107">
        <f t="shared" si="6"/>
        <v>0</v>
      </c>
      <c r="O8" s="107">
        <f t="shared" si="6"/>
        <v>0</v>
      </c>
      <c r="P8" s="107">
        <f t="shared" si="6"/>
        <v>0</v>
      </c>
      <c r="Q8" s="107">
        <f t="shared" si="6"/>
        <v>0</v>
      </c>
      <c r="R8" s="97"/>
      <c r="S8" s="97"/>
      <c r="T8" s="97"/>
      <c r="U8" s="97"/>
      <c r="V8" s="97"/>
      <c r="W8" s="97"/>
    </row>
    <row r="9" spans="1:23" ht="14.25" customHeight="1" x14ac:dyDescent="0.35">
      <c r="A9" s="97"/>
      <c r="B9" s="1" t="s">
        <v>416</v>
      </c>
      <c r="C9" s="110">
        <f>52560*4</f>
        <v>210240</v>
      </c>
      <c r="D9" s="105">
        <v>46143</v>
      </c>
      <c r="E9" s="106">
        <v>46387</v>
      </c>
      <c r="F9" s="107">
        <f t="shared" ref="F9:I9" si="7">IF(AND(MONTH($D9)&lt;=F$5, MONTH($E9)&gt;=F$5), $C9, 0)</f>
        <v>0</v>
      </c>
      <c r="G9" s="107">
        <f t="shared" si="7"/>
        <v>0</v>
      </c>
      <c r="H9" s="107">
        <f t="shared" si="7"/>
        <v>0</v>
      </c>
      <c r="I9" s="107">
        <f t="shared" si="7"/>
        <v>0</v>
      </c>
      <c r="J9" s="108"/>
      <c r="K9" s="108"/>
      <c r="L9" s="107">
        <f t="shared" ref="L9:Q9" si="8">IF(AND(MONTH($D9)&lt;=L$5, MONTH($E9)&gt;=L$5), $C9, 0)</f>
        <v>210240</v>
      </c>
      <c r="M9" s="107">
        <f t="shared" si="8"/>
        <v>210240</v>
      </c>
      <c r="N9" s="107">
        <f t="shared" si="8"/>
        <v>210240</v>
      </c>
      <c r="O9" s="107">
        <f t="shared" si="8"/>
        <v>210240</v>
      </c>
      <c r="P9" s="107">
        <f t="shared" si="8"/>
        <v>210240</v>
      </c>
      <c r="Q9" s="107">
        <f t="shared" si="8"/>
        <v>210240</v>
      </c>
      <c r="R9" s="97"/>
      <c r="S9" s="97"/>
      <c r="T9" s="97"/>
      <c r="U9" s="97"/>
      <c r="V9" s="97"/>
      <c r="W9" s="97"/>
    </row>
    <row r="10" spans="1:23" ht="14.25" customHeight="1" x14ac:dyDescent="0.35">
      <c r="A10" s="97"/>
      <c r="B10" s="1" t="s">
        <v>611</v>
      </c>
      <c r="C10" s="112">
        <f>6872000</f>
        <v>6872000</v>
      </c>
      <c r="D10" s="105">
        <v>46233</v>
      </c>
      <c r="E10" s="106">
        <v>46387</v>
      </c>
      <c r="F10" s="107">
        <f t="shared" ref="F10:Q10" si="9">IF(AND(MONTH($D10)&lt;=F$5, MONTH($E10)&gt;=F$5), $C10, 0)</f>
        <v>0</v>
      </c>
      <c r="G10" s="107">
        <f t="shared" si="9"/>
        <v>0</v>
      </c>
      <c r="H10" s="107">
        <f t="shared" si="9"/>
        <v>0</v>
      </c>
      <c r="I10" s="107">
        <f t="shared" si="9"/>
        <v>0</v>
      </c>
      <c r="J10" s="107">
        <f t="shared" si="9"/>
        <v>0</v>
      </c>
      <c r="K10" s="107">
        <f t="shared" si="9"/>
        <v>0</v>
      </c>
      <c r="L10" s="107">
        <f t="shared" si="9"/>
        <v>6872000</v>
      </c>
      <c r="M10" s="107">
        <f t="shared" si="9"/>
        <v>6872000</v>
      </c>
      <c r="N10" s="107">
        <f t="shared" si="9"/>
        <v>6872000</v>
      </c>
      <c r="O10" s="107">
        <f t="shared" si="9"/>
        <v>6872000</v>
      </c>
      <c r="P10" s="107">
        <f t="shared" si="9"/>
        <v>6872000</v>
      </c>
      <c r="Q10" s="107">
        <f t="shared" si="9"/>
        <v>6872000</v>
      </c>
      <c r="R10" s="97"/>
      <c r="S10" s="97"/>
      <c r="T10" s="97"/>
      <c r="U10" s="97"/>
      <c r="V10" s="97"/>
      <c r="W10" s="97"/>
    </row>
    <row r="11" spans="1:23" ht="14.25" customHeight="1" x14ac:dyDescent="0.35">
      <c r="A11" s="97"/>
      <c r="B11" s="1" t="s">
        <v>615</v>
      </c>
      <c r="C11" s="104">
        <v>18050</v>
      </c>
      <c r="D11" s="106">
        <v>46082</v>
      </c>
      <c r="E11" s="106">
        <v>46387</v>
      </c>
      <c r="F11" s="107">
        <f t="shared" ref="F11:G11" si="10">IF(AND(MONTH($D11)&lt;=F$5, MONTH($E11)&gt;=F$5), $C11, 0)</f>
        <v>0</v>
      </c>
      <c r="G11" s="107">
        <f t="shared" si="10"/>
        <v>0</v>
      </c>
      <c r="H11" s="108"/>
      <c r="I11" s="108"/>
      <c r="J11" s="108"/>
      <c r="K11" s="108"/>
      <c r="L11" s="107">
        <f t="shared" ref="L11:Q11" si="11">IF(AND(MONTH($D11)&lt;=L$5, MONTH($E11)&gt;=L$5), $C11, 0)</f>
        <v>18050</v>
      </c>
      <c r="M11" s="107">
        <f t="shared" si="11"/>
        <v>18050</v>
      </c>
      <c r="N11" s="107">
        <f t="shared" si="11"/>
        <v>18050</v>
      </c>
      <c r="O11" s="107">
        <f t="shared" si="11"/>
        <v>18050</v>
      </c>
      <c r="P11" s="107">
        <f t="shared" si="11"/>
        <v>18050</v>
      </c>
      <c r="Q11" s="107">
        <f t="shared" si="11"/>
        <v>18050</v>
      </c>
      <c r="R11" s="97"/>
      <c r="S11" s="97"/>
      <c r="T11" s="97"/>
      <c r="U11" s="97"/>
      <c r="V11" s="97"/>
      <c r="W11" s="97"/>
    </row>
    <row r="12" spans="1:23" ht="14.25" customHeight="1" x14ac:dyDescent="0.35">
      <c r="A12" s="97"/>
      <c r="B12" s="1" t="s">
        <v>616</v>
      </c>
      <c r="C12" s="104">
        <f>2697000*0</f>
        <v>0</v>
      </c>
      <c r="D12" s="105">
        <v>46233</v>
      </c>
      <c r="E12" s="106">
        <v>46387</v>
      </c>
      <c r="F12" s="107">
        <f t="shared" ref="F12:Q12" si="12">IF(AND(MONTH($D12)&lt;=F$5, MONTH($E12)&gt;=F$5), $C12, 0)</f>
        <v>0</v>
      </c>
      <c r="G12" s="107">
        <f t="shared" si="12"/>
        <v>0</v>
      </c>
      <c r="H12" s="107">
        <f t="shared" si="12"/>
        <v>0</v>
      </c>
      <c r="I12" s="107">
        <f t="shared" si="12"/>
        <v>0</v>
      </c>
      <c r="J12" s="107">
        <f t="shared" si="12"/>
        <v>0</v>
      </c>
      <c r="K12" s="107">
        <f t="shared" si="12"/>
        <v>0</v>
      </c>
      <c r="L12" s="107">
        <f t="shared" si="12"/>
        <v>0</v>
      </c>
      <c r="M12" s="107">
        <f t="shared" si="12"/>
        <v>0</v>
      </c>
      <c r="N12" s="107">
        <f t="shared" si="12"/>
        <v>0</v>
      </c>
      <c r="O12" s="107">
        <f t="shared" si="12"/>
        <v>0</v>
      </c>
      <c r="P12" s="107">
        <f t="shared" si="12"/>
        <v>0</v>
      </c>
      <c r="Q12" s="107">
        <f t="shared" si="12"/>
        <v>0</v>
      </c>
      <c r="R12" s="97"/>
      <c r="S12" s="97"/>
      <c r="T12" s="97"/>
      <c r="U12" s="97"/>
      <c r="V12" s="97"/>
      <c r="W12" s="97"/>
    </row>
    <row r="13" spans="1:23" ht="14.25" customHeight="1" x14ac:dyDescent="0.35">
      <c r="A13" s="97"/>
      <c r="B13" s="97"/>
      <c r="C13" s="113"/>
      <c r="D13" s="106"/>
      <c r="E13" s="106"/>
      <c r="F13" s="107">
        <f t="shared" ref="F13:Q13" si="13">IF(AND(MONTH($D13)&lt;=F$5, MONTH($E13)&gt;=F$5), $C13, 0)</f>
        <v>0</v>
      </c>
      <c r="G13" s="107">
        <f t="shared" si="13"/>
        <v>0</v>
      </c>
      <c r="H13" s="107">
        <f t="shared" si="13"/>
        <v>0</v>
      </c>
      <c r="I13" s="107">
        <f t="shared" si="13"/>
        <v>0</v>
      </c>
      <c r="J13" s="107">
        <f t="shared" si="13"/>
        <v>0</v>
      </c>
      <c r="K13" s="107">
        <f t="shared" si="13"/>
        <v>0</v>
      </c>
      <c r="L13" s="107">
        <f t="shared" si="13"/>
        <v>0</v>
      </c>
      <c r="M13" s="107">
        <f t="shared" si="13"/>
        <v>0</v>
      </c>
      <c r="N13" s="107">
        <f t="shared" si="13"/>
        <v>0</v>
      </c>
      <c r="O13" s="107">
        <f t="shared" si="13"/>
        <v>0</v>
      </c>
      <c r="P13" s="107">
        <f t="shared" si="13"/>
        <v>0</v>
      </c>
      <c r="Q13" s="107">
        <f t="shared" si="13"/>
        <v>0</v>
      </c>
      <c r="R13" s="97"/>
      <c r="S13" s="97"/>
      <c r="T13" s="97"/>
      <c r="U13" s="97"/>
      <c r="V13" s="97"/>
      <c r="W13" s="97"/>
    </row>
    <row r="14" spans="1:23" ht="14.25" customHeight="1" x14ac:dyDescent="0.35">
      <c r="A14" s="97"/>
      <c r="B14" s="97"/>
      <c r="C14" s="113"/>
      <c r="D14" s="106"/>
      <c r="E14" s="106"/>
      <c r="F14" s="107">
        <f t="shared" ref="F14:Q14" si="14">IF(AND(MONTH($D14)&lt;=F$5, MONTH($E14)&gt;=F$5), $C14, 0)</f>
        <v>0</v>
      </c>
      <c r="G14" s="107">
        <f t="shared" si="14"/>
        <v>0</v>
      </c>
      <c r="H14" s="107">
        <f t="shared" si="14"/>
        <v>0</v>
      </c>
      <c r="I14" s="107">
        <f t="shared" si="14"/>
        <v>0</v>
      </c>
      <c r="J14" s="107">
        <f t="shared" si="14"/>
        <v>0</v>
      </c>
      <c r="K14" s="107">
        <f t="shared" si="14"/>
        <v>0</v>
      </c>
      <c r="L14" s="107">
        <f t="shared" si="14"/>
        <v>0</v>
      </c>
      <c r="M14" s="107">
        <f t="shared" si="14"/>
        <v>0</v>
      </c>
      <c r="N14" s="107">
        <f t="shared" si="14"/>
        <v>0</v>
      </c>
      <c r="O14" s="107">
        <f t="shared" si="14"/>
        <v>0</v>
      </c>
      <c r="P14" s="107">
        <f t="shared" si="14"/>
        <v>0</v>
      </c>
      <c r="Q14" s="107">
        <f t="shared" si="14"/>
        <v>0</v>
      </c>
      <c r="R14" s="97"/>
      <c r="S14" s="97"/>
      <c r="T14" s="97"/>
      <c r="U14" s="97"/>
      <c r="V14" s="97"/>
      <c r="W14" s="97"/>
    </row>
    <row r="15" spans="1:23" ht="14.25" customHeight="1" x14ac:dyDescent="0.35">
      <c r="A15" s="97"/>
      <c r="B15" s="97"/>
      <c r="C15" s="113"/>
      <c r="D15" s="106"/>
      <c r="E15" s="106"/>
      <c r="F15" s="107">
        <f t="shared" ref="F15:Q15" si="15">IF(AND(MONTH($D15)&lt;=F$5, MONTH($E15)&gt;=F$5), $C15, 0)</f>
        <v>0</v>
      </c>
      <c r="G15" s="107">
        <f t="shared" si="15"/>
        <v>0</v>
      </c>
      <c r="H15" s="107">
        <f t="shared" si="15"/>
        <v>0</v>
      </c>
      <c r="I15" s="107">
        <f t="shared" si="15"/>
        <v>0</v>
      </c>
      <c r="J15" s="107">
        <f t="shared" si="15"/>
        <v>0</v>
      </c>
      <c r="K15" s="107">
        <f t="shared" si="15"/>
        <v>0</v>
      </c>
      <c r="L15" s="107">
        <f t="shared" si="15"/>
        <v>0</v>
      </c>
      <c r="M15" s="107">
        <f t="shared" si="15"/>
        <v>0</v>
      </c>
      <c r="N15" s="107">
        <f t="shared" si="15"/>
        <v>0</v>
      </c>
      <c r="O15" s="107">
        <f t="shared" si="15"/>
        <v>0</v>
      </c>
      <c r="P15" s="107">
        <f t="shared" si="15"/>
        <v>0</v>
      </c>
      <c r="Q15" s="107">
        <f t="shared" si="15"/>
        <v>0</v>
      </c>
      <c r="R15" s="97"/>
      <c r="S15" s="97"/>
      <c r="T15" s="97"/>
      <c r="U15" s="97"/>
      <c r="V15" s="97"/>
      <c r="W15" s="97"/>
    </row>
    <row r="16" spans="1:23" ht="14.25" customHeight="1" x14ac:dyDescent="0.35">
      <c r="A16" s="97"/>
      <c r="B16" s="97"/>
      <c r="C16" s="97"/>
      <c r="D16" s="97"/>
      <c r="E16" s="97"/>
      <c r="F16" s="107">
        <f t="shared" ref="F16:Q16" si="16">IF(AND(MONTH($D16)&lt;=F$5, MONTH($E16)&gt;=F$5), $C16, 0)</f>
        <v>0</v>
      </c>
      <c r="G16" s="107">
        <f t="shared" si="16"/>
        <v>0</v>
      </c>
      <c r="H16" s="107">
        <f t="shared" si="16"/>
        <v>0</v>
      </c>
      <c r="I16" s="107">
        <f t="shared" si="16"/>
        <v>0</v>
      </c>
      <c r="J16" s="107">
        <f t="shared" si="16"/>
        <v>0</v>
      </c>
      <c r="K16" s="107">
        <f t="shared" si="16"/>
        <v>0</v>
      </c>
      <c r="L16" s="107">
        <f t="shared" si="16"/>
        <v>0</v>
      </c>
      <c r="M16" s="107">
        <f t="shared" si="16"/>
        <v>0</v>
      </c>
      <c r="N16" s="107">
        <f t="shared" si="16"/>
        <v>0</v>
      </c>
      <c r="O16" s="107">
        <f t="shared" si="16"/>
        <v>0</v>
      </c>
      <c r="P16" s="107">
        <f t="shared" si="16"/>
        <v>0</v>
      </c>
      <c r="Q16" s="107">
        <f t="shared" si="16"/>
        <v>0</v>
      </c>
      <c r="R16" s="97"/>
      <c r="S16" s="97"/>
      <c r="T16" s="97"/>
      <c r="U16" s="97"/>
      <c r="V16" s="97"/>
      <c r="W16" s="97"/>
    </row>
    <row r="17" spans="1:23" ht="14.25" customHeight="1" x14ac:dyDescent="0.35">
      <c r="A17" s="97"/>
      <c r="B17" s="97"/>
      <c r="C17" s="97"/>
      <c r="D17" s="97"/>
      <c r="E17" s="97"/>
      <c r="F17" s="107">
        <f t="shared" ref="F17:Q17" si="17">IF(AND(MONTH($D17)&lt;=F$5, MONTH($E17)&gt;=F$5), $C17, 0)</f>
        <v>0</v>
      </c>
      <c r="G17" s="107">
        <f t="shared" si="17"/>
        <v>0</v>
      </c>
      <c r="H17" s="107">
        <f t="shared" si="17"/>
        <v>0</v>
      </c>
      <c r="I17" s="107">
        <f t="shared" si="17"/>
        <v>0</v>
      </c>
      <c r="J17" s="107">
        <f t="shared" si="17"/>
        <v>0</v>
      </c>
      <c r="K17" s="107">
        <f t="shared" si="17"/>
        <v>0</v>
      </c>
      <c r="L17" s="107">
        <f t="shared" si="17"/>
        <v>0</v>
      </c>
      <c r="M17" s="107">
        <f t="shared" si="17"/>
        <v>0</v>
      </c>
      <c r="N17" s="107">
        <f t="shared" si="17"/>
        <v>0</v>
      </c>
      <c r="O17" s="107">
        <f t="shared" si="17"/>
        <v>0</v>
      </c>
      <c r="P17" s="107">
        <f t="shared" si="17"/>
        <v>0</v>
      </c>
      <c r="Q17" s="107">
        <f t="shared" si="17"/>
        <v>0</v>
      </c>
      <c r="R17" s="97"/>
      <c r="S17" s="97"/>
      <c r="T17" s="97"/>
      <c r="U17" s="97"/>
      <c r="V17" s="97"/>
      <c r="W17" s="97"/>
    </row>
    <row r="18" spans="1:23" ht="14.25" customHeight="1" x14ac:dyDescent="0.35">
      <c r="A18" s="97"/>
      <c r="B18" s="97"/>
      <c r="C18" s="97"/>
      <c r="D18" s="97"/>
      <c r="E18" s="97"/>
      <c r="F18" s="107">
        <f t="shared" ref="F18:Q18" si="18">IF(AND(MONTH($D18)&lt;=F$5, MONTH($E18)&gt;=F$5), $C18, 0)</f>
        <v>0</v>
      </c>
      <c r="G18" s="107">
        <f t="shared" si="18"/>
        <v>0</v>
      </c>
      <c r="H18" s="107">
        <f t="shared" si="18"/>
        <v>0</v>
      </c>
      <c r="I18" s="107">
        <f t="shared" si="18"/>
        <v>0</v>
      </c>
      <c r="J18" s="107">
        <f t="shared" si="18"/>
        <v>0</v>
      </c>
      <c r="K18" s="107">
        <f t="shared" si="18"/>
        <v>0</v>
      </c>
      <c r="L18" s="107">
        <f t="shared" si="18"/>
        <v>0</v>
      </c>
      <c r="M18" s="107">
        <f t="shared" si="18"/>
        <v>0</v>
      </c>
      <c r="N18" s="107">
        <f t="shared" si="18"/>
        <v>0</v>
      </c>
      <c r="O18" s="107">
        <f t="shared" si="18"/>
        <v>0</v>
      </c>
      <c r="P18" s="107">
        <f t="shared" si="18"/>
        <v>0</v>
      </c>
      <c r="Q18" s="107">
        <f t="shared" si="18"/>
        <v>0</v>
      </c>
      <c r="R18" s="97"/>
      <c r="S18" s="97"/>
      <c r="T18" s="97"/>
      <c r="U18" s="97"/>
      <c r="V18" s="97"/>
      <c r="W18" s="97"/>
    </row>
    <row r="19" spans="1:23" ht="14.25" customHeight="1" x14ac:dyDescent="0.35">
      <c r="A19" s="97"/>
      <c r="B19" s="97"/>
      <c r="C19" s="97"/>
      <c r="D19" s="97"/>
      <c r="E19" s="97"/>
      <c r="F19" s="107">
        <f t="shared" ref="F19:Q19" si="19">IF(AND(MONTH($D19)&lt;=F$5, MONTH($E19)&gt;=F$5), $C19, 0)</f>
        <v>0</v>
      </c>
      <c r="G19" s="107">
        <f t="shared" si="19"/>
        <v>0</v>
      </c>
      <c r="H19" s="107">
        <f t="shared" si="19"/>
        <v>0</v>
      </c>
      <c r="I19" s="107">
        <f t="shared" si="19"/>
        <v>0</v>
      </c>
      <c r="J19" s="107">
        <f t="shared" si="19"/>
        <v>0</v>
      </c>
      <c r="K19" s="107">
        <f t="shared" si="19"/>
        <v>0</v>
      </c>
      <c r="L19" s="107">
        <f t="shared" si="19"/>
        <v>0</v>
      </c>
      <c r="M19" s="107">
        <f t="shared" si="19"/>
        <v>0</v>
      </c>
      <c r="N19" s="107">
        <f t="shared" si="19"/>
        <v>0</v>
      </c>
      <c r="O19" s="107">
        <f t="shared" si="19"/>
        <v>0</v>
      </c>
      <c r="P19" s="107">
        <f t="shared" si="19"/>
        <v>0</v>
      </c>
      <c r="Q19" s="107">
        <f t="shared" si="19"/>
        <v>0</v>
      </c>
      <c r="R19" s="97"/>
      <c r="S19" s="97"/>
      <c r="T19" s="97"/>
      <c r="U19" s="97"/>
      <c r="V19" s="97"/>
      <c r="W19" s="97"/>
    </row>
    <row r="20" spans="1:23" ht="14.25" customHeight="1" x14ac:dyDescent="0.35">
      <c r="A20" s="97"/>
      <c r="B20" s="97"/>
      <c r="C20" s="97"/>
      <c r="D20" s="97"/>
      <c r="E20" s="97"/>
      <c r="F20" s="107">
        <f t="shared" ref="F20:Q20" si="20">IF(AND(MONTH($D20)&lt;=F$5, MONTH($E20)&gt;=F$5), $C20, 0)</f>
        <v>0</v>
      </c>
      <c r="G20" s="107">
        <f t="shared" si="20"/>
        <v>0</v>
      </c>
      <c r="H20" s="107">
        <f t="shared" si="20"/>
        <v>0</v>
      </c>
      <c r="I20" s="107">
        <f t="shared" si="20"/>
        <v>0</v>
      </c>
      <c r="J20" s="107">
        <f t="shared" si="20"/>
        <v>0</v>
      </c>
      <c r="K20" s="107">
        <f t="shared" si="20"/>
        <v>0</v>
      </c>
      <c r="L20" s="107">
        <f t="shared" si="20"/>
        <v>0</v>
      </c>
      <c r="M20" s="107">
        <f t="shared" si="20"/>
        <v>0</v>
      </c>
      <c r="N20" s="107">
        <f t="shared" si="20"/>
        <v>0</v>
      </c>
      <c r="O20" s="107">
        <f t="shared" si="20"/>
        <v>0</v>
      </c>
      <c r="P20" s="107">
        <f t="shared" si="20"/>
        <v>0</v>
      </c>
      <c r="Q20" s="107">
        <f t="shared" si="20"/>
        <v>0</v>
      </c>
      <c r="R20" s="97"/>
      <c r="S20" s="97"/>
      <c r="T20" s="97"/>
      <c r="U20" s="97"/>
      <c r="V20" s="97"/>
      <c r="W20" s="97"/>
    </row>
    <row r="21" spans="1:23" ht="14.25" customHeight="1" x14ac:dyDescent="0.35">
      <c r="A21" s="97"/>
      <c r="B21" s="97"/>
      <c r="C21" s="97"/>
      <c r="D21" s="97"/>
      <c r="E21" s="97"/>
      <c r="F21" s="107">
        <f t="shared" ref="F21:Q21" si="21">IF(AND(MONTH($D21)&lt;=F$5, MONTH($E21)&gt;=F$5), $C21, 0)</f>
        <v>0</v>
      </c>
      <c r="G21" s="107">
        <f t="shared" si="21"/>
        <v>0</v>
      </c>
      <c r="H21" s="107">
        <f t="shared" si="21"/>
        <v>0</v>
      </c>
      <c r="I21" s="107">
        <f t="shared" si="21"/>
        <v>0</v>
      </c>
      <c r="J21" s="107">
        <f t="shared" si="21"/>
        <v>0</v>
      </c>
      <c r="K21" s="107">
        <f t="shared" si="21"/>
        <v>0</v>
      </c>
      <c r="L21" s="107">
        <f t="shared" si="21"/>
        <v>0</v>
      </c>
      <c r="M21" s="107">
        <f t="shared" si="21"/>
        <v>0</v>
      </c>
      <c r="N21" s="107">
        <f t="shared" si="21"/>
        <v>0</v>
      </c>
      <c r="O21" s="107">
        <f t="shared" si="21"/>
        <v>0</v>
      </c>
      <c r="P21" s="107">
        <f t="shared" si="21"/>
        <v>0</v>
      </c>
      <c r="Q21" s="107">
        <f t="shared" si="21"/>
        <v>0</v>
      </c>
      <c r="R21" s="97"/>
      <c r="S21" s="97"/>
      <c r="T21" s="97"/>
      <c r="U21" s="97"/>
      <c r="V21" s="97"/>
      <c r="W21" s="97"/>
    </row>
    <row r="22" spans="1:23" ht="14.25" customHeight="1" x14ac:dyDescent="0.35">
      <c r="A22" s="97"/>
      <c r="B22" s="97"/>
      <c r="C22" s="97"/>
      <c r="D22" s="97"/>
      <c r="E22" s="97"/>
      <c r="F22" s="107">
        <f t="shared" ref="F22:Q22" si="22">IF(AND(MONTH($D22)&lt;=F$5, MONTH($E22)&gt;=F$5), $C22, 0)</f>
        <v>0</v>
      </c>
      <c r="G22" s="107">
        <f t="shared" si="22"/>
        <v>0</v>
      </c>
      <c r="H22" s="107">
        <f t="shared" si="22"/>
        <v>0</v>
      </c>
      <c r="I22" s="107">
        <f t="shared" si="22"/>
        <v>0</v>
      </c>
      <c r="J22" s="107">
        <f t="shared" si="22"/>
        <v>0</v>
      </c>
      <c r="K22" s="107">
        <f t="shared" si="22"/>
        <v>0</v>
      </c>
      <c r="L22" s="107">
        <f t="shared" si="22"/>
        <v>0</v>
      </c>
      <c r="M22" s="107">
        <f t="shared" si="22"/>
        <v>0</v>
      </c>
      <c r="N22" s="107">
        <f t="shared" si="22"/>
        <v>0</v>
      </c>
      <c r="O22" s="107">
        <f t="shared" si="22"/>
        <v>0</v>
      </c>
      <c r="P22" s="107">
        <f t="shared" si="22"/>
        <v>0</v>
      </c>
      <c r="Q22" s="107">
        <f t="shared" si="22"/>
        <v>0</v>
      </c>
      <c r="R22" s="97"/>
      <c r="S22" s="97"/>
      <c r="T22" s="97"/>
      <c r="U22" s="97"/>
      <c r="V22" s="97"/>
      <c r="W22" s="97"/>
    </row>
    <row r="23" spans="1:23" ht="14.25" customHeight="1" x14ac:dyDescent="0.35">
      <c r="A23" s="97"/>
      <c r="B23" s="97"/>
      <c r="C23" s="97"/>
      <c r="D23" s="97"/>
      <c r="E23" s="97"/>
      <c r="F23" s="107">
        <f t="shared" ref="F23:Q23" si="23">IF(AND(MONTH($D23)&lt;=F$5, MONTH($E23)&gt;=F$5), $C23, 0)</f>
        <v>0</v>
      </c>
      <c r="G23" s="107">
        <f t="shared" si="23"/>
        <v>0</v>
      </c>
      <c r="H23" s="107">
        <f t="shared" si="23"/>
        <v>0</v>
      </c>
      <c r="I23" s="107">
        <f t="shared" si="23"/>
        <v>0</v>
      </c>
      <c r="J23" s="107">
        <f t="shared" si="23"/>
        <v>0</v>
      </c>
      <c r="K23" s="107">
        <f t="shared" si="23"/>
        <v>0</v>
      </c>
      <c r="L23" s="107">
        <f t="shared" si="23"/>
        <v>0</v>
      </c>
      <c r="M23" s="107">
        <f t="shared" si="23"/>
        <v>0</v>
      </c>
      <c r="N23" s="107">
        <f t="shared" si="23"/>
        <v>0</v>
      </c>
      <c r="O23" s="107">
        <f t="shared" si="23"/>
        <v>0</v>
      </c>
      <c r="P23" s="107">
        <f t="shared" si="23"/>
        <v>0</v>
      </c>
      <c r="Q23" s="107">
        <f t="shared" si="23"/>
        <v>0</v>
      </c>
      <c r="R23" s="97"/>
      <c r="S23" s="97"/>
      <c r="T23" s="97"/>
      <c r="U23" s="97"/>
      <c r="V23" s="97"/>
      <c r="W23" s="97"/>
    </row>
    <row r="24" spans="1:23" ht="14.25" customHeight="1" x14ac:dyDescent="0.35">
      <c r="A24" s="97"/>
      <c r="B24" s="97"/>
      <c r="C24" s="97"/>
      <c r="D24" s="97"/>
      <c r="E24" s="97"/>
      <c r="F24" s="107">
        <f t="shared" ref="F24:Q24" si="24">IF(AND(MONTH($D24)&lt;=F$5, MONTH($E24)&gt;=F$5), $C24, 0)</f>
        <v>0</v>
      </c>
      <c r="G24" s="107">
        <f t="shared" si="24"/>
        <v>0</v>
      </c>
      <c r="H24" s="107">
        <f t="shared" si="24"/>
        <v>0</v>
      </c>
      <c r="I24" s="107">
        <f t="shared" si="24"/>
        <v>0</v>
      </c>
      <c r="J24" s="107">
        <f t="shared" si="24"/>
        <v>0</v>
      </c>
      <c r="K24" s="107">
        <f t="shared" si="24"/>
        <v>0</v>
      </c>
      <c r="L24" s="107">
        <f t="shared" si="24"/>
        <v>0</v>
      </c>
      <c r="M24" s="107">
        <f t="shared" si="24"/>
        <v>0</v>
      </c>
      <c r="N24" s="107">
        <f t="shared" si="24"/>
        <v>0</v>
      </c>
      <c r="O24" s="107">
        <f t="shared" si="24"/>
        <v>0</v>
      </c>
      <c r="P24" s="107">
        <f t="shared" si="24"/>
        <v>0</v>
      </c>
      <c r="Q24" s="107">
        <f t="shared" si="24"/>
        <v>0</v>
      </c>
      <c r="R24" s="97"/>
      <c r="S24" s="97"/>
      <c r="T24" s="97"/>
      <c r="U24" s="97"/>
      <c r="V24" s="97"/>
      <c r="W24" s="97"/>
    </row>
    <row r="25" spans="1:23" ht="14.25" customHeight="1" x14ac:dyDescent="0.35">
      <c r="A25" s="97"/>
      <c r="B25" s="97"/>
      <c r="C25" s="97"/>
      <c r="D25" s="97"/>
      <c r="E25" s="97"/>
      <c r="F25" s="107">
        <f t="shared" ref="F25:Q25" si="25">IF(AND(MONTH($D25)&lt;=F$5, MONTH($E25)&gt;=F$5), $C25, 0)</f>
        <v>0</v>
      </c>
      <c r="G25" s="107">
        <f t="shared" si="25"/>
        <v>0</v>
      </c>
      <c r="H25" s="107">
        <f t="shared" si="25"/>
        <v>0</v>
      </c>
      <c r="I25" s="107">
        <f t="shared" si="25"/>
        <v>0</v>
      </c>
      <c r="J25" s="107">
        <f t="shared" si="25"/>
        <v>0</v>
      </c>
      <c r="K25" s="107">
        <f t="shared" si="25"/>
        <v>0</v>
      </c>
      <c r="L25" s="107">
        <f t="shared" si="25"/>
        <v>0</v>
      </c>
      <c r="M25" s="107">
        <f t="shared" si="25"/>
        <v>0</v>
      </c>
      <c r="N25" s="107">
        <f t="shared" si="25"/>
        <v>0</v>
      </c>
      <c r="O25" s="107">
        <f t="shared" si="25"/>
        <v>0</v>
      </c>
      <c r="P25" s="107">
        <f t="shared" si="25"/>
        <v>0</v>
      </c>
      <c r="Q25" s="107">
        <f t="shared" si="25"/>
        <v>0</v>
      </c>
      <c r="R25" s="97"/>
      <c r="S25" s="97"/>
      <c r="T25" s="97"/>
      <c r="U25" s="97"/>
      <c r="V25" s="97"/>
      <c r="W25" s="97"/>
    </row>
    <row r="26" spans="1:23" ht="14.25" customHeight="1" x14ac:dyDescent="0.35">
      <c r="A26" s="97"/>
      <c r="B26" s="97"/>
      <c r="C26" s="97"/>
      <c r="D26" s="97"/>
      <c r="E26" s="97"/>
      <c r="F26" s="107">
        <f t="shared" ref="F26:Q26" si="26">IF(AND(MONTH($D26)&lt;=F$5, MONTH($E26)&gt;=F$5), $C26, 0)</f>
        <v>0</v>
      </c>
      <c r="G26" s="107">
        <f t="shared" si="26"/>
        <v>0</v>
      </c>
      <c r="H26" s="107">
        <f t="shared" si="26"/>
        <v>0</v>
      </c>
      <c r="I26" s="107">
        <f t="shared" si="26"/>
        <v>0</v>
      </c>
      <c r="J26" s="107">
        <f t="shared" si="26"/>
        <v>0</v>
      </c>
      <c r="K26" s="107">
        <f t="shared" si="26"/>
        <v>0</v>
      </c>
      <c r="L26" s="107">
        <f t="shared" si="26"/>
        <v>0</v>
      </c>
      <c r="M26" s="107">
        <f t="shared" si="26"/>
        <v>0</v>
      </c>
      <c r="N26" s="107">
        <f t="shared" si="26"/>
        <v>0</v>
      </c>
      <c r="O26" s="107">
        <f t="shared" si="26"/>
        <v>0</v>
      </c>
      <c r="P26" s="107">
        <f t="shared" si="26"/>
        <v>0</v>
      </c>
      <c r="Q26" s="107">
        <f t="shared" si="26"/>
        <v>0</v>
      </c>
      <c r="R26" s="97"/>
      <c r="S26" s="97"/>
      <c r="T26" s="97"/>
      <c r="U26" s="97"/>
      <c r="V26" s="97"/>
      <c r="W26" s="97"/>
    </row>
    <row r="27" spans="1:23" ht="14.25" customHeight="1" x14ac:dyDescent="0.35">
      <c r="A27" s="97"/>
      <c r="B27" s="97"/>
      <c r="C27" s="97"/>
      <c r="D27" s="97"/>
      <c r="E27" s="97"/>
      <c r="F27" s="107">
        <f t="shared" ref="F27:Q27" si="27">IF(AND(MONTH($D27)&lt;=F$5, MONTH($E27)&gt;=F$5), $C27, 0)</f>
        <v>0</v>
      </c>
      <c r="G27" s="107">
        <f t="shared" si="27"/>
        <v>0</v>
      </c>
      <c r="H27" s="107">
        <f t="shared" si="27"/>
        <v>0</v>
      </c>
      <c r="I27" s="107">
        <f t="shared" si="27"/>
        <v>0</v>
      </c>
      <c r="J27" s="107">
        <f t="shared" si="27"/>
        <v>0</v>
      </c>
      <c r="K27" s="107">
        <f t="shared" si="27"/>
        <v>0</v>
      </c>
      <c r="L27" s="107">
        <f t="shared" si="27"/>
        <v>0</v>
      </c>
      <c r="M27" s="107">
        <f t="shared" si="27"/>
        <v>0</v>
      </c>
      <c r="N27" s="107">
        <f t="shared" si="27"/>
        <v>0</v>
      </c>
      <c r="O27" s="107">
        <f t="shared" si="27"/>
        <v>0</v>
      </c>
      <c r="P27" s="107">
        <f t="shared" si="27"/>
        <v>0</v>
      </c>
      <c r="Q27" s="107">
        <f t="shared" si="27"/>
        <v>0</v>
      </c>
      <c r="R27" s="97"/>
      <c r="S27" s="97"/>
      <c r="T27" s="97"/>
      <c r="U27" s="97"/>
      <c r="V27" s="97"/>
      <c r="W27" s="97"/>
    </row>
    <row r="28" spans="1:23" ht="14.25" customHeight="1" x14ac:dyDescent="0.35">
      <c r="A28" s="97"/>
      <c r="B28" s="97"/>
      <c r="C28" s="97"/>
      <c r="D28" s="97"/>
      <c r="E28" s="97"/>
      <c r="F28" s="107">
        <f t="shared" ref="F28:Q28" si="28">IF(AND(MONTH($D28)&lt;=F$5, MONTH($E28)&gt;=F$5), $C28, 0)</f>
        <v>0</v>
      </c>
      <c r="G28" s="107">
        <f t="shared" si="28"/>
        <v>0</v>
      </c>
      <c r="H28" s="107">
        <f t="shared" si="28"/>
        <v>0</v>
      </c>
      <c r="I28" s="107">
        <f t="shared" si="28"/>
        <v>0</v>
      </c>
      <c r="J28" s="107">
        <f t="shared" si="28"/>
        <v>0</v>
      </c>
      <c r="K28" s="107">
        <f t="shared" si="28"/>
        <v>0</v>
      </c>
      <c r="L28" s="107">
        <f t="shared" si="28"/>
        <v>0</v>
      </c>
      <c r="M28" s="107">
        <f t="shared" si="28"/>
        <v>0</v>
      </c>
      <c r="N28" s="107">
        <f t="shared" si="28"/>
        <v>0</v>
      </c>
      <c r="O28" s="107">
        <f t="shared" si="28"/>
        <v>0</v>
      </c>
      <c r="P28" s="107">
        <f t="shared" si="28"/>
        <v>0</v>
      </c>
      <c r="Q28" s="107">
        <f t="shared" si="28"/>
        <v>0</v>
      </c>
      <c r="R28" s="97"/>
      <c r="S28" s="97"/>
      <c r="T28" s="97"/>
      <c r="U28" s="97"/>
      <c r="V28" s="97"/>
      <c r="W28" s="97"/>
    </row>
    <row r="29" spans="1:23" ht="14.25" customHeight="1" x14ac:dyDescent="0.35">
      <c r="A29" s="97"/>
      <c r="B29" s="97"/>
      <c r="C29" s="97"/>
      <c r="D29" s="97"/>
      <c r="E29" s="97"/>
      <c r="F29" s="107">
        <f t="shared" ref="F29:Q29" si="29">IF(AND(MONTH($D29)&lt;=F$5, MONTH($E29)&gt;=F$5), $C29, 0)</f>
        <v>0</v>
      </c>
      <c r="G29" s="107">
        <f t="shared" si="29"/>
        <v>0</v>
      </c>
      <c r="H29" s="107">
        <f t="shared" si="29"/>
        <v>0</v>
      </c>
      <c r="I29" s="107">
        <f t="shared" si="29"/>
        <v>0</v>
      </c>
      <c r="J29" s="107">
        <f t="shared" si="29"/>
        <v>0</v>
      </c>
      <c r="K29" s="107">
        <f t="shared" si="29"/>
        <v>0</v>
      </c>
      <c r="L29" s="107">
        <f t="shared" si="29"/>
        <v>0</v>
      </c>
      <c r="M29" s="107">
        <f t="shared" si="29"/>
        <v>0</v>
      </c>
      <c r="N29" s="107">
        <f t="shared" si="29"/>
        <v>0</v>
      </c>
      <c r="O29" s="107">
        <f t="shared" si="29"/>
        <v>0</v>
      </c>
      <c r="P29" s="107">
        <f t="shared" si="29"/>
        <v>0</v>
      </c>
      <c r="Q29" s="107">
        <f t="shared" si="29"/>
        <v>0</v>
      </c>
      <c r="R29" s="97"/>
      <c r="S29" s="97"/>
      <c r="T29" s="97"/>
      <c r="U29" s="97"/>
      <c r="V29" s="97"/>
      <c r="W29" s="97"/>
    </row>
    <row r="30" spans="1:23" ht="14.25" customHeight="1" x14ac:dyDescent="0.35">
      <c r="A30" s="97"/>
      <c r="B30" s="97"/>
      <c r="C30" s="97"/>
      <c r="D30" s="97"/>
      <c r="E30" s="97"/>
      <c r="F30" s="107">
        <f t="shared" ref="F30:Q30" si="30">IF(AND(MONTH($D30)&lt;=F$5, MONTH($E30)&gt;=F$5), $C30, 0)</f>
        <v>0</v>
      </c>
      <c r="G30" s="107">
        <f t="shared" si="30"/>
        <v>0</v>
      </c>
      <c r="H30" s="107">
        <f t="shared" si="30"/>
        <v>0</v>
      </c>
      <c r="I30" s="107">
        <f t="shared" si="30"/>
        <v>0</v>
      </c>
      <c r="J30" s="107">
        <f t="shared" si="30"/>
        <v>0</v>
      </c>
      <c r="K30" s="107">
        <f t="shared" si="30"/>
        <v>0</v>
      </c>
      <c r="L30" s="107">
        <f t="shared" si="30"/>
        <v>0</v>
      </c>
      <c r="M30" s="107">
        <f t="shared" si="30"/>
        <v>0</v>
      </c>
      <c r="N30" s="107">
        <f t="shared" si="30"/>
        <v>0</v>
      </c>
      <c r="O30" s="107">
        <f t="shared" si="30"/>
        <v>0</v>
      </c>
      <c r="P30" s="107">
        <f t="shared" si="30"/>
        <v>0</v>
      </c>
      <c r="Q30" s="107">
        <f t="shared" si="30"/>
        <v>0</v>
      </c>
      <c r="R30" s="97"/>
      <c r="S30" s="97"/>
      <c r="T30" s="97"/>
      <c r="U30" s="97"/>
      <c r="V30" s="97"/>
      <c r="W30" s="97"/>
    </row>
    <row r="31" spans="1:23" ht="14.25" customHeight="1" x14ac:dyDescent="0.35">
      <c r="A31" s="97"/>
      <c r="B31" s="97"/>
      <c r="C31" s="97"/>
      <c r="D31" s="97"/>
      <c r="E31" s="97"/>
      <c r="F31" s="107">
        <f t="shared" ref="F31:Q31" si="31">IF(AND(MONTH($D31)&lt;=F$5, MONTH($E31)&gt;=F$5), $C31, 0)</f>
        <v>0</v>
      </c>
      <c r="G31" s="107">
        <f t="shared" si="31"/>
        <v>0</v>
      </c>
      <c r="H31" s="107">
        <f t="shared" si="31"/>
        <v>0</v>
      </c>
      <c r="I31" s="107">
        <f t="shared" si="31"/>
        <v>0</v>
      </c>
      <c r="J31" s="107">
        <f t="shared" si="31"/>
        <v>0</v>
      </c>
      <c r="K31" s="107">
        <f t="shared" si="31"/>
        <v>0</v>
      </c>
      <c r="L31" s="107">
        <f t="shared" si="31"/>
        <v>0</v>
      </c>
      <c r="M31" s="107">
        <f t="shared" si="31"/>
        <v>0</v>
      </c>
      <c r="N31" s="107">
        <f t="shared" si="31"/>
        <v>0</v>
      </c>
      <c r="O31" s="107">
        <f t="shared" si="31"/>
        <v>0</v>
      </c>
      <c r="P31" s="107">
        <f t="shared" si="31"/>
        <v>0</v>
      </c>
      <c r="Q31" s="107">
        <f t="shared" si="31"/>
        <v>0</v>
      </c>
      <c r="R31" s="97"/>
      <c r="S31" s="97"/>
      <c r="T31" s="97"/>
      <c r="U31" s="97"/>
      <c r="V31" s="97"/>
      <c r="W31" s="97"/>
    </row>
    <row r="32" spans="1:23" ht="14.25" customHeight="1" x14ac:dyDescent="0.35">
      <c r="A32" s="97"/>
      <c r="B32" s="97"/>
      <c r="C32" s="97"/>
      <c r="D32" s="97"/>
      <c r="E32" s="97"/>
      <c r="F32" s="107">
        <f t="shared" ref="F32:Q32" si="32">IF(AND(MONTH($D32)&lt;=F$5, MONTH($E32)&gt;=F$5), $C32, 0)</f>
        <v>0</v>
      </c>
      <c r="G32" s="107">
        <f t="shared" si="32"/>
        <v>0</v>
      </c>
      <c r="H32" s="107">
        <f t="shared" si="32"/>
        <v>0</v>
      </c>
      <c r="I32" s="107">
        <f t="shared" si="32"/>
        <v>0</v>
      </c>
      <c r="J32" s="107">
        <f t="shared" si="32"/>
        <v>0</v>
      </c>
      <c r="K32" s="107">
        <f t="shared" si="32"/>
        <v>0</v>
      </c>
      <c r="L32" s="107">
        <f t="shared" si="32"/>
        <v>0</v>
      </c>
      <c r="M32" s="107">
        <f t="shared" si="32"/>
        <v>0</v>
      </c>
      <c r="N32" s="107">
        <f t="shared" si="32"/>
        <v>0</v>
      </c>
      <c r="O32" s="107">
        <f t="shared" si="32"/>
        <v>0</v>
      </c>
      <c r="P32" s="107">
        <f t="shared" si="32"/>
        <v>0</v>
      </c>
      <c r="Q32" s="107">
        <f t="shared" si="32"/>
        <v>0</v>
      </c>
      <c r="R32" s="97"/>
      <c r="S32" s="97"/>
      <c r="T32" s="97"/>
      <c r="U32" s="97"/>
      <c r="V32" s="97"/>
      <c r="W32" s="97"/>
    </row>
    <row r="33" spans="1:23" ht="14.25" customHeight="1" x14ac:dyDescent="0.35">
      <c r="A33" s="97"/>
      <c r="B33" s="97"/>
      <c r="C33" s="97"/>
      <c r="D33" s="97"/>
      <c r="E33" s="97"/>
      <c r="F33" s="107">
        <f t="shared" ref="F33:Q33" si="33">IF(AND(MONTH($D33)&lt;=F$5, MONTH($E33)&gt;=F$5), $C33, 0)</f>
        <v>0</v>
      </c>
      <c r="G33" s="107">
        <f t="shared" si="33"/>
        <v>0</v>
      </c>
      <c r="H33" s="107">
        <f t="shared" si="33"/>
        <v>0</v>
      </c>
      <c r="I33" s="107">
        <f t="shared" si="33"/>
        <v>0</v>
      </c>
      <c r="J33" s="107">
        <f t="shared" si="33"/>
        <v>0</v>
      </c>
      <c r="K33" s="107">
        <f t="shared" si="33"/>
        <v>0</v>
      </c>
      <c r="L33" s="107">
        <f t="shared" si="33"/>
        <v>0</v>
      </c>
      <c r="M33" s="107">
        <f t="shared" si="33"/>
        <v>0</v>
      </c>
      <c r="N33" s="107">
        <f t="shared" si="33"/>
        <v>0</v>
      </c>
      <c r="O33" s="107">
        <f t="shared" si="33"/>
        <v>0</v>
      </c>
      <c r="P33" s="107">
        <f t="shared" si="33"/>
        <v>0</v>
      </c>
      <c r="Q33" s="107">
        <f t="shared" si="33"/>
        <v>0</v>
      </c>
      <c r="R33" s="97"/>
      <c r="S33" s="97"/>
      <c r="T33" s="97"/>
      <c r="U33" s="97"/>
      <c r="V33" s="97"/>
      <c r="W33" s="97"/>
    </row>
    <row r="34" spans="1:23" ht="14.25" customHeight="1" x14ac:dyDescent="0.35">
      <c r="A34" s="97"/>
      <c r="B34" s="97"/>
      <c r="C34" s="97"/>
      <c r="D34" s="97"/>
      <c r="E34" s="97"/>
      <c r="F34" s="107">
        <f t="shared" ref="F34:Q34" si="34">IF(AND(MONTH($D34)&lt;=F$5, MONTH($E34)&gt;=F$5), $C34, 0)</f>
        <v>0</v>
      </c>
      <c r="G34" s="107">
        <f t="shared" si="34"/>
        <v>0</v>
      </c>
      <c r="H34" s="107">
        <f t="shared" si="34"/>
        <v>0</v>
      </c>
      <c r="I34" s="107">
        <f t="shared" si="34"/>
        <v>0</v>
      </c>
      <c r="J34" s="107">
        <f t="shared" si="34"/>
        <v>0</v>
      </c>
      <c r="K34" s="107">
        <f t="shared" si="34"/>
        <v>0</v>
      </c>
      <c r="L34" s="107">
        <f t="shared" si="34"/>
        <v>0</v>
      </c>
      <c r="M34" s="107">
        <f t="shared" si="34"/>
        <v>0</v>
      </c>
      <c r="N34" s="107">
        <f t="shared" si="34"/>
        <v>0</v>
      </c>
      <c r="O34" s="107">
        <f t="shared" si="34"/>
        <v>0</v>
      </c>
      <c r="P34" s="107">
        <f t="shared" si="34"/>
        <v>0</v>
      </c>
      <c r="Q34" s="107">
        <f t="shared" si="34"/>
        <v>0</v>
      </c>
      <c r="R34" s="97"/>
      <c r="S34" s="97"/>
      <c r="T34" s="97"/>
      <c r="U34" s="97"/>
      <c r="V34" s="97"/>
      <c r="W34" s="97"/>
    </row>
    <row r="35" spans="1:23" ht="14.25" customHeight="1" x14ac:dyDescent="0.35">
      <c r="A35" s="97"/>
      <c r="B35" s="97"/>
      <c r="C35" s="97"/>
      <c r="D35" s="97"/>
      <c r="E35" s="97"/>
      <c r="F35" s="107">
        <f t="shared" ref="F35:Q35" si="35">IF(AND(MONTH($D35)&lt;=F$5, MONTH($E35)&gt;=F$5), $C35, 0)</f>
        <v>0</v>
      </c>
      <c r="G35" s="107">
        <f t="shared" si="35"/>
        <v>0</v>
      </c>
      <c r="H35" s="107">
        <f t="shared" si="35"/>
        <v>0</v>
      </c>
      <c r="I35" s="107">
        <f t="shared" si="35"/>
        <v>0</v>
      </c>
      <c r="J35" s="107">
        <f t="shared" si="35"/>
        <v>0</v>
      </c>
      <c r="K35" s="107">
        <f t="shared" si="35"/>
        <v>0</v>
      </c>
      <c r="L35" s="107">
        <f t="shared" si="35"/>
        <v>0</v>
      </c>
      <c r="M35" s="107">
        <f t="shared" si="35"/>
        <v>0</v>
      </c>
      <c r="N35" s="107">
        <f t="shared" si="35"/>
        <v>0</v>
      </c>
      <c r="O35" s="107">
        <f t="shared" si="35"/>
        <v>0</v>
      </c>
      <c r="P35" s="107">
        <f t="shared" si="35"/>
        <v>0</v>
      </c>
      <c r="Q35" s="107">
        <f t="shared" si="35"/>
        <v>0</v>
      </c>
      <c r="R35" s="97"/>
      <c r="S35" s="97"/>
      <c r="T35" s="97"/>
      <c r="U35" s="97"/>
      <c r="V35" s="97"/>
      <c r="W35" s="97"/>
    </row>
    <row r="36" spans="1:23" ht="14.25" customHeight="1" x14ac:dyDescent="0.35">
      <c r="A36" s="97"/>
      <c r="B36" s="97"/>
      <c r="C36" s="97"/>
      <c r="D36" s="97"/>
      <c r="E36" s="97"/>
      <c r="F36" s="107">
        <f t="shared" ref="F36:Q36" si="36">IF(AND(MONTH($D36)&lt;=F$5, MONTH($E36)&gt;=F$5), $C36, 0)</f>
        <v>0</v>
      </c>
      <c r="G36" s="107">
        <f t="shared" si="36"/>
        <v>0</v>
      </c>
      <c r="H36" s="107">
        <f t="shared" si="36"/>
        <v>0</v>
      </c>
      <c r="I36" s="107">
        <f t="shared" si="36"/>
        <v>0</v>
      </c>
      <c r="J36" s="107">
        <f t="shared" si="36"/>
        <v>0</v>
      </c>
      <c r="K36" s="107">
        <f t="shared" si="36"/>
        <v>0</v>
      </c>
      <c r="L36" s="107">
        <f t="shared" si="36"/>
        <v>0</v>
      </c>
      <c r="M36" s="107">
        <f t="shared" si="36"/>
        <v>0</v>
      </c>
      <c r="N36" s="107">
        <f t="shared" si="36"/>
        <v>0</v>
      </c>
      <c r="O36" s="107">
        <f t="shared" si="36"/>
        <v>0</v>
      </c>
      <c r="P36" s="107">
        <f t="shared" si="36"/>
        <v>0</v>
      </c>
      <c r="Q36" s="107">
        <f t="shared" si="36"/>
        <v>0</v>
      </c>
      <c r="R36" s="97"/>
      <c r="S36" s="97"/>
      <c r="T36" s="97"/>
      <c r="U36" s="97"/>
      <c r="V36" s="97"/>
      <c r="W36" s="97"/>
    </row>
    <row r="37" spans="1:23" ht="14.25" customHeight="1" x14ac:dyDescent="0.35">
      <c r="A37" s="97"/>
      <c r="B37" s="97"/>
      <c r="C37" s="97"/>
      <c r="D37" s="97"/>
      <c r="E37" s="97"/>
      <c r="F37" s="107">
        <f t="shared" ref="F37:Q37" si="37">IF(AND(MONTH($D37)&lt;=F$5, MONTH($E37)&gt;=F$5), $C37, 0)</f>
        <v>0</v>
      </c>
      <c r="G37" s="107">
        <f t="shared" si="37"/>
        <v>0</v>
      </c>
      <c r="H37" s="107">
        <f t="shared" si="37"/>
        <v>0</v>
      </c>
      <c r="I37" s="107">
        <f t="shared" si="37"/>
        <v>0</v>
      </c>
      <c r="J37" s="107">
        <f t="shared" si="37"/>
        <v>0</v>
      </c>
      <c r="K37" s="107">
        <f t="shared" si="37"/>
        <v>0</v>
      </c>
      <c r="L37" s="107">
        <f t="shared" si="37"/>
        <v>0</v>
      </c>
      <c r="M37" s="107">
        <f t="shared" si="37"/>
        <v>0</v>
      </c>
      <c r="N37" s="107">
        <f t="shared" si="37"/>
        <v>0</v>
      </c>
      <c r="O37" s="107">
        <f t="shared" si="37"/>
        <v>0</v>
      </c>
      <c r="P37" s="107">
        <f t="shared" si="37"/>
        <v>0</v>
      </c>
      <c r="Q37" s="107">
        <f t="shared" si="37"/>
        <v>0</v>
      </c>
      <c r="R37" s="97"/>
      <c r="S37" s="97"/>
      <c r="T37" s="97"/>
      <c r="U37" s="97"/>
      <c r="V37" s="97"/>
      <c r="W37" s="97"/>
    </row>
    <row r="38" spans="1:23" ht="14.25" customHeight="1" x14ac:dyDescent="0.35">
      <c r="A38" s="97"/>
      <c r="B38" s="97"/>
      <c r="C38" s="97"/>
      <c r="D38" s="97"/>
      <c r="E38" s="97"/>
      <c r="F38" s="107">
        <f t="shared" ref="F38:Q38" si="38">IF(AND(MONTH($D38)&lt;=F$5, MONTH($E38)&gt;=F$5), $C38, 0)</f>
        <v>0</v>
      </c>
      <c r="G38" s="107">
        <f t="shared" si="38"/>
        <v>0</v>
      </c>
      <c r="H38" s="107">
        <f t="shared" si="38"/>
        <v>0</v>
      </c>
      <c r="I38" s="107">
        <f t="shared" si="38"/>
        <v>0</v>
      </c>
      <c r="J38" s="107">
        <f t="shared" si="38"/>
        <v>0</v>
      </c>
      <c r="K38" s="107">
        <f t="shared" si="38"/>
        <v>0</v>
      </c>
      <c r="L38" s="107">
        <f t="shared" si="38"/>
        <v>0</v>
      </c>
      <c r="M38" s="107">
        <f t="shared" si="38"/>
        <v>0</v>
      </c>
      <c r="N38" s="107">
        <f t="shared" si="38"/>
        <v>0</v>
      </c>
      <c r="O38" s="107">
        <f t="shared" si="38"/>
        <v>0</v>
      </c>
      <c r="P38" s="107">
        <f t="shared" si="38"/>
        <v>0</v>
      </c>
      <c r="Q38" s="107">
        <f t="shared" si="38"/>
        <v>0</v>
      </c>
      <c r="R38" s="97"/>
      <c r="S38" s="97"/>
      <c r="T38" s="97"/>
      <c r="U38" s="97"/>
      <c r="V38" s="97"/>
      <c r="W38" s="97"/>
    </row>
    <row r="39" spans="1:23" ht="14.25" customHeight="1" x14ac:dyDescent="0.35">
      <c r="A39" s="97"/>
      <c r="B39" s="97"/>
      <c r="C39" s="97"/>
      <c r="D39" s="97"/>
      <c r="E39" s="97"/>
      <c r="F39" s="107">
        <f t="shared" ref="F39:Q39" si="39">IF(AND(MONTH($D39)&lt;=F$5, MONTH($E39)&gt;=F$5), $C39, 0)</f>
        <v>0</v>
      </c>
      <c r="G39" s="107">
        <f t="shared" si="39"/>
        <v>0</v>
      </c>
      <c r="H39" s="107">
        <f t="shared" si="39"/>
        <v>0</v>
      </c>
      <c r="I39" s="107">
        <f t="shared" si="39"/>
        <v>0</v>
      </c>
      <c r="J39" s="107">
        <f t="shared" si="39"/>
        <v>0</v>
      </c>
      <c r="K39" s="107">
        <f t="shared" si="39"/>
        <v>0</v>
      </c>
      <c r="L39" s="107">
        <f t="shared" si="39"/>
        <v>0</v>
      </c>
      <c r="M39" s="107">
        <f t="shared" si="39"/>
        <v>0</v>
      </c>
      <c r="N39" s="107">
        <f t="shared" si="39"/>
        <v>0</v>
      </c>
      <c r="O39" s="107">
        <f t="shared" si="39"/>
        <v>0</v>
      </c>
      <c r="P39" s="107">
        <f t="shared" si="39"/>
        <v>0</v>
      </c>
      <c r="Q39" s="107">
        <f t="shared" si="39"/>
        <v>0</v>
      </c>
      <c r="R39" s="97"/>
      <c r="S39" s="97"/>
      <c r="T39" s="97"/>
      <c r="U39" s="97"/>
      <c r="V39" s="97"/>
      <c r="W39" s="97"/>
    </row>
    <row r="40" spans="1:23" ht="14.25" customHeight="1" x14ac:dyDescent="0.35">
      <c r="A40" s="97"/>
      <c r="B40" s="97"/>
      <c r="C40" s="97"/>
      <c r="D40" s="97"/>
      <c r="E40" s="97"/>
      <c r="F40" s="107">
        <f t="shared" ref="F40:Q40" si="40">IF(AND(MONTH($D40)&lt;=F$5, MONTH($E40)&gt;=F$5), $C40, 0)</f>
        <v>0</v>
      </c>
      <c r="G40" s="107">
        <f t="shared" si="40"/>
        <v>0</v>
      </c>
      <c r="H40" s="107">
        <f t="shared" si="40"/>
        <v>0</v>
      </c>
      <c r="I40" s="107">
        <f t="shared" si="40"/>
        <v>0</v>
      </c>
      <c r="J40" s="107">
        <f t="shared" si="40"/>
        <v>0</v>
      </c>
      <c r="K40" s="107">
        <f t="shared" si="40"/>
        <v>0</v>
      </c>
      <c r="L40" s="107">
        <f t="shared" si="40"/>
        <v>0</v>
      </c>
      <c r="M40" s="107">
        <f t="shared" si="40"/>
        <v>0</v>
      </c>
      <c r="N40" s="107">
        <f t="shared" si="40"/>
        <v>0</v>
      </c>
      <c r="O40" s="107">
        <f t="shared" si="40"/>
        <v>0</v>
      </c>
      <c r="P40" s="107">
        <f t="shared" si="40"/>
        <v>0</v>
      </c>
      <c r="Q40" s="107">
        <f t="shared" si="40"/>
        <v>0</v>
      </c>
      <c r="R40" s="97"/>
      <c r="S40" s="97"/>
      <c r="T40" s="97"/>
      <c r="U40" s="97"/>
      <c r="V40" s="97"/>
      <c r="W40" s="97"/>
    </row>
    <row r="41" spans="1:23" ht="14.25" customHeight="1" x14ac:dyDescent="0.35">
      <c r="A41" s="97"/>
      <c r="B41" s="97"/>
      <c r="C41" s="97"/>
      <c r="D41" s="97"/>
      <c r="E41" s="97"/>
      <c r="F41" s="107">
        <f t="shared" ref="F41:Q41" si="41">IF(AND(MONTH($D41)&lt;=F$5, MONTH($E41)&gt;=F$5), $C41, 0)</f>
        <v>0</v>
      </c>
      <c r="G41" s="107">
        <f t="shared" si="41"/>
        <v>0</v>
      </c>
      <c r="H41" s="107">
        <f t="shared" si="41"/>
        <v>0</v>
      </c>
      <c r="I41" s="107">
        <f t="shared" si="41"/>
        <v>0</v>
      </c>
      <c r="J41" s="107">
        <f t="shared" si="41"/>
        <v>0</v>
      </c>
      <c r="K41" s="107">
        <f t="shared" si="41"/>
        <v>0</v>
      </c>
      <c r="L41" s="107">
        <f t="shared" si="41"/>
        <v>0</v>
      </c>
      <c r="M41" s="107">
        <f t="shared" si="41"/>
        <v>0</v>
      </c>
      <c r="N41" s="107">
        <f t="shared" si="41"/>
        <v>0</v>
      </c>
      <c r="O41" s="107">
        <f t="shared" si="41"/>
        <v>0</v>
      </c>
      <c r="P41" s="107">
        <f t="shared" si="41"/>
        <v>0</v>
      </c>
      <c r="Q41" s="107">
        <f t="shared" si="41"/>
        <v>0</v>
      </c>
      <c r="R41" s="97"/>
      <c r="S41" s="97"/>
      <c r="T41" s="97"/>
      <c r="U41" s="97"/>
      <c r="V41" s="97"/>
      <c r="W41" s="97"/>
    </row>
    <row r="42" spans="1:23" ht="14.25" customHeight="1" x14ac:dyDescent="0.35">
      <c r="A42" s="97"/>
      <c r="B42" s="97"/>
      <c r="C42" s="97"/>
      <c r="D42" s="97"/>
      <c r="E42" s="97"/>
      <c r="F42" s="107">
        <f t="shared" ref="F42:Q42" si="42">IF(AND(MONTH($D42)&lt;=F$5, MONTH($E42)&gt;=F$5), $C42, 0)</f>
        <v>0</v>
      </c>
      <c r="G42" s="107">
        <f t="shared" si="42"/>
        <v>0</v>
      </c>
      <c r="H42" s="107">
        <f t="shared" si="42"/>
        <v>0</v>
      </c>
      <c r="I42" s="107">
        <f t="shared" si="42"/>
        <v>0</v>
      </c>
      <c r="J42" s="107">
        <f t="shared" si="42"/>
        <v>0</v>
      </c>
      <c r="K42" s="107">
        <f t="shared" si="42"/>
        <v>0</v>
      </c>
      <c r="L42" s="107">
        <f t="shared" si="42"/>
        <v>0</v>
      </c>
      <c r="M42" s="107">
        <f t="shared" si="42"/>
        <v>0</v>
      </c>
      <c r="N42" s="107">
        <f t="shared" si="42"/>
        <v>0</v>
      </c>
      <c r="O42" s="107">
        <f t="shared" si="42"/>
        <v>0</v>
      </c>
      <c r="P42" s="107">
        <f t="shared" si="42"/>
        <v>0</v>
      </c>
      <c r="Q42" s="107">
        <f t="shared" si="42"/>
        <v>0</v>
      </c>
      <c r="R42" s="97"/>
      <c r="S42" s="97"/>
      <c r="T42" s="97"/>
      <c r="U42" s="97"/>
      <c r="V42" s="97"/>
      <c r="W42" s="97"/>
    </row>
    <row r="43" spans="1:23" ht="14.25" customHeight="1" x14ac:dyDescent="0.35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</row>
    <row r="44" spans="1:23" ht="14.25" customHeight="1" x14ac:dyDescent="0.35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</row>
    <row r="45" spans="1:23" ht="14.25" customHeight="1" x14ac:dyDescent="0.3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</row>
    <row r="46" spans="1:23" ht="14.25" customHeight="1" x14ac:dyDescent="0.35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</row>
    <row r="47" spans="1:23" ht="14.25" customHeight="1" x14ac:dyDescent="0.35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</row>
    <row r="48" spans="1:23" ht="14.25" customHeight="1" x14ac:dyDescent="0.35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</row>
    <row r="49" spans="1:23" ht="14.25" customHeight="1" x14ac:dyDescent="0.35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</row>
    <row r="50" spans="1:23" ht="14.25" customHeight="1" x14ac:dyDescent="0.35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</row>
    <row r="51" spans="1:23" ht="14.25" customHeight="1" x14ac:dyDescent="0.35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</row>
    <row r="52" spans="1:23" ht="14.25" customHeight="1" x14ac:dyDescent="0.35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</row>
    <row r="53" spans="1:23" ht="14.25" customHeight="1" x14ac:dyDescent="0.35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</row>
    <row r="54" spans="1:23" ht="14.25" customHeight="1" x14ac:dyDescent="0.35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</row>
    <row r="55" spans="1:23" ht="14.25" customHeight="1" x14ac:dyDescent="0.3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</row>
    <row r="56" spans="1:23" ht="14.25" customHeight="1" x14ac:dyDescent="0.35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</row>
    <row r="57" spans="1:23" ht="14.25" customHeight="1" x14ac:dyDescent="0.35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</row>
    <row r="58" spans="1:23" ht="14.25" customHeight="1" x14ac:dyDescent="0.35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</row>
    <row r="59" spans="1:23" ht="14.25" customHeight="1" x14ac:dyDescent="0.35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</row>
    <row r="60" spans="1:23" ht="14.25" customHeight="1" x14ac:dyDescent="0.35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</row>
    <row r="61" spans="1:23" ht="14.25" customHeight="1" x14ac:dyDescent="0.35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</row>
    <row r="62" spans="1:23" ht="14.25" customHeight="1" x14ac:dyDescent="0.35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</row>
    <row r="63" spans="1:23" ht="14.25" customHeight="1" x14ac:dyDescent="0.35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</row>
    <row r="64" spans="1:23" ht="14.25" customHeight="1" x14ac:dyDescent="0.35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</row>
    <row r="65" spans="1:23" ht="14.25" customHeight="1" x14ac:dyDescent="0.3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</row>
    <row r="66" spans="1:23" ht="14.25" customHeight="1" x14ac:dyDescent="0.35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</row>
    <row r="67" spans="1:23" ht="14.25" customHeight="1" x14ac:dyDescent="0.35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</row>
    <row r="68" spans="1:23" ht="14.25" customHeight="1" x14ac:dyDescent="0.35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</row>
    <row r="69" spans="1:23" ht="14.25" customHeight="1" x14ac:dyDescent="0.35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</row>
    <row r="70" spans="1:23" ht="14.25" customHeight="1" x14ac:dyDescent="0.35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</row>
    <row r="71" spans="1:23" ht="14.25" customHeight="1" x14ac:dyDescent="0.35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</row>
    <row r="72" spans="1:23" ht="14.25" customHeight="1" x14ac:dyDescent="0.35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</row>
    <row r="73" spans="1:23" ht="14.25" customHeight="1" x14ac:dyDescent="0.35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</row>
    <row r="74" spans="1:23" ht="14.25" customHeight="1" x14ac:dyDescent="0.35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</row>
    <row r="75" spans="1:23" ht="14.25" customHeight="1" x14ac:dyDescent="0.3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</row>
    <row r="76" spans="1:23" ht="14.25" customHeight="1" x14ac:dyDescent="0.35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</row>
    <row r="77" spans="1:23" ht="14.25" customHeight="1" x14ac:dyDescent="0.35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</row>
    <row r="78" spans="1:23" ht="14.25" customHeight="1" x14ac:dyDescent="0.35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</row>
    <row r="79" spans="1:23" ht="14.25" customHeight="1" x14ac:dyDescent="0.35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</row>
    <row r="80" spans="1:23" ht="14.25" customHeight="1" x14ac:dyDescent="0.35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</row>
    <row r="81" spans="1:23" ht="14.25" customHeight="1" x14ac:dyDescent="0.35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</row>
    <row r="82" spans="1:23" ht="14.25" customHeight="1" x14ac:dyDescent="0.35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</row>
    <row r="83" spans="1:23" ht="14.25" customHeight="1" x14ac:dyDescent="0.35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</row>
    <row r="84" spans="1:23" ht="14.25" customHeight="1" x14ac:dyDescent="0.35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</row>
    <row r="85" spans="1:23" ht="14.25" customHeight="1" x14ac:dyDescent="0.3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</row>
    <row r="86" spans="1:23" ht="14.25" customHeight="1" x14ac:dyDescent="0.35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</row>
    <row r="87" spans="1:23" ht="14.25" customHeight="1" x14ac:dyDescent="0.35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</row>
    <row r="88" spans="1:23" ht="14.25" customHeight="1" x14ac:dyDescent="0.35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</row>
    <row r="89" spans="1:23" ht="14.25" customHeight="1" x14ac:dyDescent="0.35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</row>
    <row r="90" spans="1:23" ht="14.25" customHeight="1" x14ac:dyDescent="0.35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</row>
    <row r="91" spans="1:23" ht="14.25" customHeight="1" x14ac:dyDescent="0.35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</row>
    <row r="92" spans="1:23" ht="14.25" customHeight="1" x14ac:dyDescent="0.35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</row>
    <row r="93" spans="1:23" ht="14.25" customHeight="1" x14ac:dyDescent="0.35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</row>
    <row r="94" spans="1:23" ht="14.25" customHeight="1" x14ac:dyDescent="0.35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</row>
    <row r="95" spans="1:23" ht="14.25" customHeight="1" x14ac:dyDescent="0.3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</row>
    <row r="96" spans="1:23" ht="14.25" customHeight="1" x14ac:dyDescent="0.35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</row>
    <row r="97" spans="1:23" ht="14.25" customHeight="1" x14ac:dyDescent="0.35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</row>
    <row r="98" spans="1:23" ht="14.25" customHeight="1" x14ac:dyDescent="0.35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</row>
    <row r="99" spans="1:23" ht="14.25" customHeight="1" x14ac:dyDescent="0.35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</row>
    <row r="100" spans="1:23" ht="14.25" customHeight="1" x14ac:dyDescent="0.35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</row>
    <row r="101" spans="1:23" ht="14.25" customHeight="1" x14ac:dyDescent="0.35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</row>
    <row r="102" spans="1:23" ht="14.25" customHeight="1" x14ac:dyDescent="0.35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</row>
    <row r="103" spans="1:23" ht="14.25" customHeight="1" x14ac:dyDescent="0.35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</row>
    <row r="104" spans="1:23" ht="14.25" customHeight="1" x14ac:dyDescent="0.35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</row>
    <row r="105" spans="1:23" ht="14.25" customHeight="1" x14ac:dyDescent="0.3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</row>
    <row r="106" spans="1:23" ht="14.25" customHeight="1" x14ac:dyDescent="0.35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</row>
    <row r="107" spans="1:23" ht="14.25" customHeight="1" x14ac:dyDescent="0.35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</row>
    <row r="108" spans="1:23" ht="14.25" customHeight="1" x14ac:dyDescent="0.35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</row>
    <row r="109" spans="1:23" ht="14.25" customHeight="1" x14ac:dyDescent="0.35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</row>
    <row r="110" spans="1:23" ht="14.25" customHeight="1" x14ac:dyDescent="0.35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</row>
    <row r="111" spans="1:23" ht="14.25" customHeight="1" x14ac:dyDescent="0.35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</row>
    <row r="112" spans="1:23" ht="14.25" customHeight="1" x14ac:dyDescent="0.35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</row>
    <row r="113" spans="1:23" ht="14.25" customHeight="1" x14ac:dyDescent="0.35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</row>
    <row r="114" spans="1:23" ht="14.25" customHeight="1" x14ac:dyDescent="0.35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</row>
    <row r="115" spans="1:23" ht="14.25" customHeight="1" x14ac:dyDescent="0.3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</row>
    <row r="116" spans="1:23" ht="14.25" customHeight="1" x14ac:dyDescent="0.35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</row>
    <row r="117" spans="1:23" ht="14.25" customHeight="1" x14ac:dyDescent="0.35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</row>
    <row r="118" spans="1:23" ht="14.25" customHeight="1" x14ac:dyDescent="0.35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</row>
    <row r="119" spans="1:23" ht="14.25" customHeight="1" x14ac:dyDescent="0.35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</row>
    <row r="120" spans="1:23" ht="14.25" customHeight="1" x14ac:dyDescent="0.35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</row>
    <row r="121" spans="1:23" ht="14.25" customHeight="1" x14ac:dyDescent="0.35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</row>
    <row r="122" spans="1:23" ht="14.25" customHeight="1" x14ac:dyDescent="0.35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</row>
    <row r="123" spans="1:23" ht="14.25" customHeight="1" x14ac:dyDescent="0.35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</row>
    <row r="124" spans="1:23" ht="14.25" customHeight="1" x14ac:dyDescent="0.35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</row>
    <row r="125" spans="1:23" ht="14.25" customHeight="1" x14ac:dyDescent="0.3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</row>
    <row r="126" spans="1:23" ht="14.25" customHeight="1" x14ac:dyDescent="0.35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</row>
    <row r="127" spans="1:23" ht="14.25" customHeight="1" x14ac:dyDescent="0.35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</row>
    <row r="128" spans="1:23" ht="14.25" customHeight="1" x14ac:dyDescent="0.35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</row>
    <row r="129" spans="1:23" ht="14.25" customHeight="1" x14ac:dyDescent="0.35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</row>
    <row r="130" spans="1:23" ht="14.25" customHeight="1" x14ac:dyDescent="0.35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</row>
    <row r="131" spans="1:23" ht="14.25" customHeight="1" x14ac:dyDescent="0.35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</row>
    <row r="132" spans="1:23" ht="14.25" customHeight="1" x14ac:dyDescent="0.35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</row>
    <row r="133" spans="1:23" ht="14.25" customHeight="1" x14ac:dyDescent="0.35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</row>
    <row r="134" spans="1:23" ht="14.25" customHeight="1" x14ac:dyDescent="0.35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</row>
    <row r="135" spans="1:23" ht="14.25" customHeight="1" x14ac:dyDescent="0.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</row>
    <row r="136" spans="1:23" ht="14.25" customHeight="1" x14ac:dyDescent="0.35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</row>
    <row r="137" spans="1:23" ht="14.25" customHeight="1" x14ac:dyDescent="0.35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</row>
    <row r="138" spans="1:23" ht="14.25" customHeight="1" x14ac:dyDescent="0.35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</row>
    <row r="139" spans="1:23" ht="14.25" customHeight="1" x14ac:dyDescent="0.35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</row>
    <row r="140" spans="1:23" ht="14.25" customHeight="1" x14ac:dyDescent="0.35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</row>
    <row r="141" spans="1:23" ht="14.25" customHeight="1" x14ac:dyDescent="0.35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</row>
    <row r="142" spans="1:23" ht="14.25" customHeight="1" x14ac:dyDescent="0.35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</row>
    <row r="143" spans="1:23" ht="14.25" customHeight="1" x14ac:dyDescent="0.35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</row>
    <row r="144" spans="1:23" ht="14.25" customHeight="1" x14ac:dyDescent="0.35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</row>
    <row r="145" spans="1:23" ht="14.25" customHeight="1" x14ac:dyDescent="0.3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</row>
    <row r="146" spans="1:23" ht="14.25" customHeight="1" x14ac:dyDescent="0.35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</row>
    <row r="147" spans="1:23" ht="14.25" customHeight="1" x14ac:dyDescent="0.35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</row>
    <row r="148" spans="1:23" ht="14.25" customHeight="1" x14ac:dyDescent="0.35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</row>
    <row r="149" spans="1:23" ht="14.25" customHeight="1" x14ac:dyDescent="0.35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</row>
    <row r="150" spans="1:23" ht="14.25" customHeight="1" x14ac:dyDescent="0.35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</row>
    <row r="151" spans="1:23" ht="14.25" customHeight="1" x14ac:dyDescent="0.35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</row>
    <row r="152" spans="1:23" ht="14.25" customHeight="1" x14ac:dyDescent="0.35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</row>
    <row r="153" spans="1:23" ht="14.25" customHeight="1" x14ac:dyDescent="0.35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</row>
    <row r="154" spans="1:23" ht="14.25" customHeight="1" x14ac:dyDescent="0.35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</row>
    <row r="155" spans="1:23" ht="14.25" customHeight="1" x14ac:dyDescent="0.3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</row>
    <row r="156" spans="1:23" ht="14.25" customHeight="1" x14ac:dyDescent="0.35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</row>
    <row r="157" spans="1:23" ht="14.25" customHeight="1" x14ac:dyDescent="0.35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</row>
    <row r="158" spans="1:23" ht="14.25" customHeight="1" x14ac:dyDescent="0.35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</row>
    <row r="159" spans="1:23" ht="14.25" customHeight="1" x14ac:dyDescent="0.35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</row>
    <row r="160" spans="1:23" ht="14.25" customHeight="1" x14ac:dyDescent="0.35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</row>
    <row r="161" spans="1:23" ht="14.25" customHeight="1" x14ac:dyDescent="0.35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</row>
    <row r="162" spans="1:23" ht="14.25" customHeight="1" x14ac:dyDescent="0.35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</row>
    <row r="163" spans="1:23" ht="14.25" customHeight="1" x14ac:dyDescent="0.35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</row>
    <row r="164" spans="1:23" ht="14.25" customHeight="1" x14ac:dyDescent="0.35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</row>
    <row r="165" spans="1:23" ht="14.25" customHeight="1" x14ac:dyDescent="0.3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</row>
    <row r="166" spans="1:23" ht="14.25" customHeight="1" x14ac:dyDescent="0.35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</row>
    <row r="167" spans="1:23" ht="14.25" customHeight="1" x14ac:dyDescent="0.35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</row>
    <row r="168" spans="1:23" ht="14.25" customHeight="1" x14ac:dyDescent="0.35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</row>
    <row r="169" spans="1:23" ht="14.25" customHeight="1" x14ac:dyDescent="0.35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</row>
    <row r="170" spans="1:23" ht="14.25" customHeight="1" x14ac:dyDescent="0.35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</row>
    <row r="171" spans="1:23" ht="14.25" customHeight="1" x14ac:dyDescent="0.35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</row>
    <row r="172" spans="1:23" ht="14.25" customHeight="1" x14ac:dyDescent="0.35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</row>
    <row r="173" spans="1:23" ht="14.25" customHeight="1" x14ac:dyDescent="0.35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</row>
    <row r="174" spans="1:23" ht="14.25" customHeight="1" x14ac:dyDescent="0.35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</row>
    <row r="175" spans="1:23" ht="14.25" customHeight="1" x14ac:dyDescent="0.3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</row>
    <row r="176" spans="1:23" ht="14.25" customHeight="1" x14ac:dyDescent="0.35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</row>
    <row r="177" spans="1:23" ht="14.25" customHeight="1" x14ac:dyDescent="0.35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</row>
    <row r="178" spans="1:23" ht="14.25" customHeight="1" x14ac:dyDescent="0.35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</row>
    <row r="179" spans="1:23" ht="14.25" customHeight="1" x14ac:dyDescent="0.35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</row>
    <row r="180" spans="1:23" ht="14.25" customHeight="1" x14ac:dyDescent="0.35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</row>
    <row r="181" spans="1:23" ht="14.25" customHeight="1" x14ac:dyDescent="0.35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</row>
    <row r="182" spans="1:23" ht="14.25" customHeight="1" x14ac:dyDescent="0.35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</row>
    <row r="183" spans="1:23" ht="14.25" customHeight="1" x14ac:dyDescent="0.35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</row>
    <row r="184" spans="1:23" ht="14.25" customHeight="1" x14ac:dyDescent="0.35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</row>
    <row r="185" spans="1:23" ht="14.25" customHeight="1" x14ac:dyDescent="0.3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</row>
    <row r="186" spans="1:23" ht="14.25" customHeight="1" x14ac:dyDescent="0.35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</row>
    <row r="187" spans="1:23" ht="14.25" customHeight="1" x14ac:dyDescent="0.35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</row>
    <row r="188" spans="1:23" ht="14.25" customHeight="1" x14ac:dyDescent="0.35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</row>
    <row r="189" spans="1:23" ht="14.25" customHeight="1" x14ac:dyDescent="0.35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</row>
    <row r="190" spans="1:23" ht="14.25" customHeight="1" x14ac:dyDescent="0.35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</row>
    <row r="191" spans="1:23" ht="14.25" customHeight="1" x14ac:dyDescent="0.35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</row>
    <row r="192" spans="1:23" ht="14.25" customHeight="1" x14ac:dyDescent="0.35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</row>
    <row r="193" spans="1:23" ht="14.25" customHeight="1" x14ac:dyDescent="0.35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</row>
    <row r="194" spans="1:23" ht="14.25" customHeight="1" x14ac:dyDescent="0.35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</row>
    <row r="195" spans="1:23" ht="14.25" customHeight="1" x14ac:dyDescent="0.3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</row>
    <row r="196" spans="1:23" ht="14.25" customHeight="1" x14ac:dyDescent="0.35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</row>
    <row r="197" spans="1:23" ht="14.25" customHeight="1" x14ac:dyDescent="0.35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</row>
    <row r="198" spans="1:23" ht="14.25" customHeight="1" x14ac:dyDescent="0.35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</row>
    <row r="199" spans="1:23" ht="14.25" customHeight="1" x14ac:dyDescent="0.35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</row>
    <row r="200" spans="1:23" ht="14.25" customHeight="1" x14ac:dyDescent="0.35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</row>
    <row r="201" spans="1:23" ht="14.25" customHeight="1" x14ac:dyDescent="0.35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</row>
    <row r="202" spans="1:23" ht="14.25" customHeight="1" x14ac:dyDescent="0.35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</row>
    <row r="203" spans="1:23" ht="14.25" customHeight="1" x14ac:dyDescent="0.35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</row>
    <row r="204" spans="1:23" ht="14.25" customHeight="1" x14ac:dyDescent="0.35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</row>
    <row r="205" spans="1:23" ht="14.25" customHeight="1" x14ac:dyDescent="0.3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</row>
    <row r="206" spans="1:23" ht="14.25" customHeight="1" x14ac:dyDescent="0.35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</row>
    <row r="207" spans="1:23" ht="14.25" customHeight="1" x14ac:dyDescent="0.35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</row>
    <row r="208" spans="1:23" ht="14.25" customHeight="1" x14ac:dyDescent="0.35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</row>
    <row r="209" spans="1:23" ht="14.25" customHeight="1" x14ac:dyDescent="0.35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</row>
    <row r="210" spans="1:23" ht="14.25" customHeight="1" x14ac:dyDescent="0.35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</row>
    <row r="211" spans="1:23" ht="14.25" customHeight="1" x14ac:dyDescent="0.35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</row>
    <row r="212" spans="1:23" ht="14.25" customHeight="1" x14ac:dyDescent="0.35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</row>
    <row r="213" spans="1:23" ht="14.25" customHeight="1" x14ac:dyDescent="0.35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</row>
    <row r="214" spans="1:23" ht="14.25" customHeight="1" x14ac:dyDescent="0.35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</row>
    <row r="215" spans="1:23" ht="14.25" customHeight="1" x14ac:dyDescent="0.3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</row>
    <row r="216" spans="1:23" ht="14.25" customHeight="1" x14ac:dyDescent="0.35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</row>
    <row r="217" spans="1:23" ht="14.25" customHeight="1" x14ac:dyDescent="0.35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</row>
    <row r="218" spans="1:23" ht="14.25" customHeight="1" x14ac:dyDescent="0.35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</row>
    <row r="219" spans="1:23" ht="14.25" customHeight="1" x14ac:dyDescent="0.35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</row>
    <row r="220" spans="1:23" ht="14.25" customHeight="1" x14ac:dyDescent="0.35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</row>
    <row r="221" spans="1:23" ht="14.25" customHeight="1" x14ac:dyDescent="0.35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</row>
    <row r="222" spans="1:23" ht="14.25" customHeight="1" x14ac:dyDescent="0.35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</row>
    <row r="223" spans="1:23" ht="14.25" customHeight="1" x14ac:dyDescent="0.35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</row>
    <row r="224" spans="1:23" ht="14.25" customHeight="1" x14ac:dyDescent="0.35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</row>
    <row r="225" spans="1:23" ht="14.25" customHeight="1" x14ac:dyDescent="0.3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</row>
    <row r="226" spans="1:23" ht="14.25" customHeight="1" x14ac:dyDescent="0.35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</row>
    <row r="227" spans="1:23" ht="14.25" customHeight="1" x14ac:dyDescent="0.35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</row>
    <row r="228" spans="1:23" ht="14.25" customHeight="1" x14ac:dyDescent="0.35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</row>
    <row r="229" spans="1:23" ht="14.25" customHeight="1" x14ac:dyDescent="0.35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</row>
    <row r="230" spans="1:23" ht="14.25" customHeight="1" x14ac:dyDescent="0.35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</row>
    <row r="231" spans="1:23" ht="14.25" customHeight="1" x14ac:dyDescent="0.35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</row>
    <row r="232" spans="1:23" ht="14.25" customHeight="1" x14ac:dyDescent="0.35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</row>
    <row r="233" spans="1:23" ht="14.25" customHeight="1" x14ac:dyDescent="0.35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</row>
    <row r="234" spans="1:23" ht="14.25" customHeight="1" x14ac:dyDescent="0.35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</row>
    <row r="235" spans="1:23" ht="14.25" customHeight="1" x14ac:dyDescent="0.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</row>
    <row r="236" spans="1:23" ht="14.25" customHeight="1" x14ac:dyDescent="0.35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</row>
    <row r="237" spans="1:23" ht="14.25" customHeight="1" x14ac:dyDescent="0.35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</row>
    <row r="238" spans="1:23" ht="14.25" customHeight="1" x14ac:dyDescent="0.35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</row>
    <row r="239" spans="1:23" ht="14.25" customHeight="1" x14ac:dyDescent="0.35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</row>
    <row r="240" spans="1:23" ht="14.25" customHeight="1" x14ac:dyDescent="0.35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</row>
    <row r="241" spans="1:23" ht="14.25" customHeight="1" x14ac:dyDescent="0.35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</row>
    <row r="242" spans="1:23" ht="14.25" customHeight="1" x14ac:dyDescent="0.35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</row>
    <row r="243" spans="1:23" ht="15.75" customHeight="1" x14ac:dyDescent="0.3"/>
    <row r="244" spans="1:23" ht="15.75" customHeight="1" x14ac:dyDescent="0.3"/>
    <row r="245" spans="1:23" ht="15.75" customHeight="1" x14ac:dyDescent="0.3"/>
    <row r="246" spans="1:23" ht="15.75" customHeight="1" x14ac:dyDescent="0.3"/>
    <row r="247" spans="1:23" ht="15.75" customHeight="1" x14ac:dyDescent="0.3"/>
    <row r="248" spans="1:23" ht="15.75" customHeight="1" x14ac:dyDescent="0.3"/>
    <row r="249" spans="1:23" ht="15.75" customHeight="1" x14ac:dyDescent="0.3"/>
    <row r="250" spans="1:23" ht="15.75" customHeight="1" x14ac:dyDescent="0.3"/>
    <row r="251" spans="1:23" ht="15.75" customHeight="1" x14ac:dyDescent="0.3"/>
    <row r="252" spans="1:23" ht="15.75" customHeight="1" x14ac:dyDescent="0.3"/>
    <row r="253" spans="1:23" ht="15.75" customHeight="1" x14ac:dyDescent="0.3"/>
    <row r="254" spans="1:23" ht="15.75" customHeight="1" x14ac:dyDescent="0.3"/>
    <row r="255" spans="1:23" ht="15.75" customHeight="1" x14ac:dyDescent="0.3"/>
    <row r="256" spans="1:23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zoomScale="170" zoomScaleNormal="17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18" sqref="H18"/>
    </sheetView>
  </sheetViews>
  <sheetFormatPr defaultColWidth="12.6640625" defaultRowHeight="15" customHeight="1" x14ac:dyDescent="0.3"/>
  <cols>
    <col min="1" max="1" width="8.5" customWidth="1"/>
    <col min="2" max="2" width="30" customWidth="1"/>
    <col min="3" max="3" width="12" customWidth="1"/>
    <col min="4" max="4" width="11.6640625" customWidth="1"/>
    <col min="5" max="15" width="12" customWidth="1"/>
    <col min="16" max="16" width="14" customWidth="1"/>
  </cols>
  <sheetData>
    <row r="1" spans="1:26" ht="24" customHeight="1" x14ac:dyDescent="0.3">
      <c r="A1" s="1"/>
      <c r="B1" s="212" t="s">
        <v>642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5">
      <c r="A2" s="1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.75" customHeight="1" x14ac:dyDescent="0.35">
      <c r="A3" s="1"/>
      <c r="B3" s="116" t="s">
        <v>643</v>
      </c>
      <c r="C3" s="117">
        <f ca="1">TODAY()</f>
        <v>46323</v>
      </c>
      <c r="D3" s="118" t="s">
        <v>644</v>
      </c>
      <c r="E3" s="119">
        <f>Resumen!L27</f>
        <v>63360593.460000008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5">
      <c r="A4" s="1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1"/>
      <c r="B5" s="120" t="s">
        <v>645</v>
      </c>
      <c r="C5" s="121" t="s">
        <v>646</v>
      </c>
      <c r="D5" s="121" t="s">
        <v>647</v>
      </c>
      <c r="E5" s="121" t="s">
        <v>648</v>
      </c>
      <c r="F5" s="121" t="s">
        <v>649</v>
      </c>
      <c r="G5" s="121" t="s">
        <v>650</v>
      </c>
      <c r="H5" s="121" t="s">
        <v>651</v>
      </c>
      <c r="I5" s="121" t="s">
        <v>652</v>
      </c>
      <c r="J5" s="121" t="s">
        <v>653</v>
      </c>
      <c r="K5" s="121" t="s">
        <v>654</v>
      </c>
      <c r="L5" s="121" t="s">
        <v>655</v>
      </c>
      <c r="M5" s="121" t="s">
        <v>656</v>
      </c>
      <c r="N5" s="121" t="s">
        <v>657</v>
      </c>
      <c r="O5" s="121" t="s">
        <v>658</v>
      </c>
      <c r="P5" s="121" t="s">
        <v>352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5">
      <c r="A6" s="1"/>
      <c r="B6" s="122" t="s">
        <v>659</v>
      </c>
      <c r="C6" s="123">
        <f ca="1">$C$3+7*0</f>
        <v>46323</v>
      </c>
      <c r="D6" s="123">
        <f ca="1">$C$3+7*1</f>
        <v>46330</v>
      </c>
      <c r="E6" s="123">
        <f ca="1">$C$3+7*2</f>
        <v>46337</v>
      </c>
      <c r="F6" s="123">
        <f ca="1">$C$3+7*3</f>
        <v>46344</v>
      </c>
      <c r="G6" s="123">
        <f ca="1">$C$3+7*4</f>
        <v>46351</v>
      </c>
      <c r="H6" s="123">
        <f ca="1">$C$3+7*5</f>
        <v>46358</v>
      </c>
      <c r="I6" s="123">
        <f ca="1">$C$3+7*6</f>
        <v>46365</v>
      </c>
      <c r="J6" s="123">
        <f ca="1">$C$3+7*7</f>
        <v>46372</v>
      </c>
      <c r="K6" s="123">
        <f ca="1">$C$3+7*8</f>
        <v>46379</v>
      </c>
      <c r="L6" s="123">
        <f ca="1">$C$3+7*9</f>
        <v>46386</v>
      </c>
      <c r="M6" s="123">
        <f ca="1">$C$3+7*10</f>
        <v>46393</v>
      </c>
      <c r="N6" s="123">
        <f ca="1">$C$3+7*11</f>
        <v>46400</v>
      </c>
      <c r="O6" s="123">
        <f ca="1">$C$3+7*12</f>
        <v>46407</v>
      </c>
      <c r="P6" s="9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5">
      <c r="A7" s="1"/>
      <c r="B7" s="122" t="s">
        <v>660</v>
      </c>
      <c r="C7" s="123">
        <f t="shared" ref="C7:O7" ca="1" si="0">C6+6</f>
        <v>46329</v>
      </c>
      <c r="D7" s="123">
        <f t="shared" ca="1" si="0"/>
        <v>46336</v>
      </c>
      <c r="E7" s="123">
        <f t="shared" ca="1" si="0"/>
        <v>46343</v>
      </c>
      <c r="F7" s="123">
        <f t="shared" ca="1" si="0"/>
        <v>46350</v>
      </c>
      <c r="G7" s="123">
        <f t="shared" ca="1" si="0"/>
        <v>46357</v>
      </c>
      <c r="H7" s="123">
        <f t="shared" ca="1" si="0"/>
        <v>46364</v>
      </c>
      <c r="I7" s="123">
        <f t="shared" ca="1" si="0"/>
        <v>46371</v>
      </c>
      <c r="J7" s="123">
        <f t="shared" ca="1" si="0"/>
        <v>46378</v>
      </c>
      <c r="K7" s="123">
        <f t="shared" ca="1" si="0"/>
        <v>46385</v>
      </c>
      <c r="L7" s="123">
        <f t="shared" ca="1" si="0"/>
        <v>46392</v>
      </c>
      <c r="M7" s="123">
        <f t="shared" ca="1" si="0"/>
        <v>46399</v>
      </c>
      <c r="N7" s="123">
        <f t="shared" ca="1" si="0"/>
        <v>46406</v>
      </c>
      <c r="O7" s="123">
        <f t="shared" ca="1" si="0"/>
        <v>46413</v>
      </c>
      <c r="P7" s="97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35">
      <c r="A8" s="1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5">
      <c r="A9" s="1"/>
      <c r="B9" s="116" t="s">
        <v>661</v>
      </c>
      <c r="C9" s="124">
        <f>$E$3</f>
        <v>63360593.460000008</v>
      </c>
      <c r="D9" s="124">
        <f t="shared" ref="D9:O9" ca="1" si="1">C22</f>
        <v>51975917.530000009</v>
      </c>
      <c r="E9" s="124">
        <f t="shared" ca="1" si="1"/>
        <v>76388834.120000005</v>
      </c>
      <c r="F9" s="124">
        <f t="shared" ca="1" si="1"/>
        <v>68059710.786666676</v>
      </c>
      <c r="G9" s="124">
        <f t="shared" ca="1" si="1"/>
        <v>68059710.786666676</v>
      </c>
      <c r="H9" s="124">
        <f t="shared" ca="1" si="1"/>
        <v>68059710.786666676</v>
      </c>
      <c r="I9" s="124">
        <f t="shared" ca="1" si="1"/>
        <v>48059710.786666676</v>
      </c>
      <c r="J9" s="124">
        <f t="shared" ca="1" si="1"/>
        <v>39730587.453333341</v>
      </c>
      <c r="K9" s="124">
        <f t="shared" ca="1" si="1"/>
        <v>39730587.453333341</v>
      </c>
      <c r="L9" s="124">
        <f t="shared" ca="1" si="1"/>
        <v>39730587.453333341</v>
      </c>
      <c r="M9" s="124">
        <f t="shared" ca="1" si="1"/>
        <v>39730587.453333341</v>
      </c>
      <c r="N9" s="124">
        <f t="shared" ca="1" si="1"/>
        <v>39730587.453333341</v>
      </c>
      <c r="O9" s="124">
        <f t="shared" ca="1" si="1"/>
        <v>39730587.453333341</v>
      </c>
      <c r="P9" s="97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">
      <c r="A10" s="1"/>
      <c r="B10" s="125" t="s">
        <v>662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36" t="s">
        <v>663</v>
      </c>
      <c r="C11" s="127">
        <f ca="1">SUMIFS(CxC!$N:$N,CxC!$O:$O,"&gt;="&amp;C$6,CxC!$O:$O,"&lt;="&amp;C$7)</f>
        <v>0</v>
      </c>
      <c r="D11" s="127">
        <f ca="1">SUMIFS(CxC!$N:$N,CxC!$O:$O,"&gt;="&amp;D$6,CxC!$O:$O,"&lt;="&amp;D$7)</f>
        <v>24412916.59</v>
      </c>
      <c r="E11" s="127">
        <f ca="1">SUMIFS(CxC!$N:$N,CxC!$O:$O,"&gt;="&amp;E$6,CxC!$O:$O,"&lt;="&amp;E$7)</f>
        <v>0</v>
      </c>
      <c r="F11" s="127">
        <f ca="1">SUMIFS(CxC!$N:$N,CxC!$O:$O,"&gt;="&amp;F$6,CxC!$O:$O,"&lt;="&amp;F$7)</f>
        <v>0</v>
      </c>
      <c r="G11" s="127">
        <f ca="1">SUMIFS(CxC!$N:$N,CxC!$O:$O,"&gt;="&amp;G$6,CxC!$O:$O,"&lt;="&amp;G$7)</f>
        <v>0</v>
      </c>
      <c r="H11" s="127">
        <f ca="1">SUMIFS(CxC!$N:$N,CxC!$O:$O,"&gt;="&amp;H$6,CxC!$O:$O,"&lt;="&amp;H$7)</f>
        <v>0</v>
      </c>
      <c r="I11" s="127">
        <f ca="1">SUMIFS(CxC!$N:$N,CxC!$O:$O,"&gt;="&amp;I$6,CxC!$O:$O,"&lt;="&amp;I$7)</f>
        <v>0</v>
      </c>
      <c r="J11" s="127">
        <f ca="1">SUMIFS(CxC!$N:$N,CxC!$O:$O,"&gt;="&amp;J$6,CxC!$O:$O,"&lt;="&amp;J$7)</f>
        <v>0</v>
      </c>
      <c r="K11" s="127">
        <f ca="1">SUMIFS(CxC!$N:$N,CxC!$O:$O,"&gt;="&amp;K$6,CxC!$O:$O,"&lt;="&amp;K$7)</f>
        <v>0</v>
      </c>
      <c r="L11" s="127">
        <f ca="1">SUMIFS(CxC!$N:$N,CxC!$O:$O,"&gt;="&amp;L$6,CxC!$O:$O,"&lt;="&amp;L$7)</f>
        <v>0</v>
      </c>
      <c r="M11" s="127">
        <f ca="1">SUMIFS(CxC!$N:$N,CxC!$O:$O,"&gt;="&amp;M$6,CxC!$O:$O,"&lt;="&amp;M$7)</f>
        <v>0</v>
      </c>
      <c r="N11" s="127">
        <f ca="1">SUMIFS(CxC!$N:$N,CxC!$O:$O,"&gt;="&amp;N$6,CxC!$O:$O,"&lt;="&amp;N$7)</f>
        <v>0</v>
      </c>
      <c r="O11" s="127">
        <f ca="1">SUMIFS(CxC!$N:$N,CxC!$O:$O,"&gt;="&amp;O$6,CxC!$O:$O,"&lt;="&amp;O$7)</f>
        <v>0</v>
      </c>
      <c r="P11" s="128">
        <f t="shared" ref="P11:P13" ca="1" si="2">SUM(C11:O11)</f>
        <v>24412916.59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">
      <c r="A12" s="1"/>
      <c r="B12" s="36" t="s">
        <v>667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128">
        <f t="shared" si="2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3">
      <c r="A13" s="1"/>
      <c r="B13" s="116" t="s">
        <v>668</v>
      </c>
      <c r="C13" s="124">
        <f t="shared" ref="C13:O13" ca="1" si="3">SUM(C11:C12)</f>
        <v>0</v>
      </c>
      <c r="D13" s="124">
        <f t="shared" ca="1" si="3"/>
        <v>24412916.59</v>
      </c>
      <c r="E13" s="124">
        <f t="shared" ca="1" si="3"/>
        <v>0</v>
      </c>
      <c r="F13" s="124">
        <f t="shared" ca="1" si="3"/>
        <v>0</v>
      </c>
      <c r="G13" s="124">
        <f t="shared" ca="1" si="3"/>
        <v>0</v>
      </c>
      <c r="H13" s="124">
        <f t="shared" ca="1" si="3"/>
        <v>0</v>
      </c>
      <c r="I13" s="124">
        <f t="shared" ca="1" si="3"/>
        <v>0</v>
      </c>
      <c r="J13" s="124">
        <f t="shared" ca="1" si="3"/>
        <v>0</v>
      </c>
      <c r="K13" s="124">
        <f t="shared" ca="1" si="3"/>
        <v>0</v>
      </c>
      <c r="L13" s="124">
        <f t="shared" ca="1" si="3"/>
        <v>0</v>
      </c>
      <c r="M13" s="124">
        <f t="shared" ca="1" si="3"/>
        <v>0</v>
      </c>
      <c r="N13" s="124">
        <f t="shared" ca="1" si="3"/>
        <v>0</v>
      </c>
      <c r="O13" s="124">
        <f t="shared" ca="1" si="3"/>
        <v>0</v>
      </c>
      <c r="P13" s="128">
        <f t="shared" ca="1" si="2"/>
        <v>24412916.59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1"/>
      <c r="B14" s="129" t="s">
        <v>669</v>
      </c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"/>
      <c r="B15" s="36" t="s">
        <v>670</v>
      </c>
      <c r="C15" s="127">
        <f ca="1">-SUMIFS(CxP!$Q:$Q,CxP!$S:$S,"&lt;="&amp;C$7,CxP!$S:$S,"&gt;"&amp;DATE(2000,1,1))</f>
        <v>-11384675.930000002</v>
      </c>
      <c r="D15" s="127">
        <f ca="1">-SUMIFS(CxP!$Q:$Q,CxP!$S:$S,"&gt;="&amp;D$6,CxP!$S:$S,"&lt;="&amp;D$7)</f>
        <v>0</v>
      </c>
      <c r="E15" s="127">
        <f ca="1">-SUMIFS(CxP!$Q:$Q,CxP!$S:$S,"&gt;="&amp;E$6,CxP!$S:$S,"&lt;="&amp;E$7)</f>
        <v>0</v>
      </c>
      <c r="F15" s="127">
        <f ca="1">-SUMIFS(CxP!$Q:$Q,CxP!$S:$S,"&gt;="&amp;F$6,CxP!$S:$S,"&lt;="&amp;F$7)</f>
        <v>0</v>
      </c>
      <c r="G15" s="127">
        <f ca="1">-SUMIFS(CxP!$Q:$Q,CxP!$S:$S,"&gt;="&amp;G$6,CxP!$S:$S,"&lt;="&amp;G$7)</f>
        <v>0</v>
      </c>
      <c r="H15" s="127">
        <f ca="1">-SUMIFS(CxP!$Q:$Q,CxP!$S:$S,"&gt;="&amp;H$6,CxP!$S:$S,"&lt;="&amp;H$7)</f>
        <v>0</v>
      </c>
      <c r="I15" s="127">
        <f ca="1">-SUMIFS(CxP!$Q:$Q,CxP!$S:$S,"&gt;="&amp;I$6,CxP!$S:$S,"&lt;="&amp;I$7)</f>
        <v>0</v>
      </c>
      <c r="J15" s="127">
        <f ca="1">-SUMIFS(CxP!$Q:$Q,CxP!$S:$S,"&gt;="&amp;J$6,CxP!$S:$S,"&lt;="&amp;J$7)</f>
        <v>0</v>
      </c>
      <c r="K15" s="127">
        <f ca="1">-SUMIFS(CxP!$Q:$Q,CxP!$S:$S,"&gt;="&amp;K$6,CxP!$S:$S,"&lt;="&amp;K$7)</f>
        <v>0</v>
      </c>
      <c r="L15" s="127">
        <f ca="1">-SUMIFS(CxP!$Q:$Q,CxP!$S:$S,"&gt;="&amp;L$6,CxP!$S:$S,"&lt;="&amp;L$7)</f>
        <v>0</v>
      </c>
      <c r="M15" s="127">
        <f ca="1">-SUMIFS(CxP!$Q:$Q,CxP!$S:$S,"&gt;="&amp;M$6,CxP!$S:$S,"&lt;="&amp;M$7)</f>
        <v>0</v>
      </c>
      <c r="N15" s="127">
        <f ca="1">-SUMIFS(CxP!$Q:$Q,CxP!$S:$S,"&gt;="&amp;N$6,CxP!$S:$S,"&lt;="&amp;N$7)</f>
        <v>0</v>
      </c>
      <c r="O15" s="127">
        <f ca="1">-SUMIFS(CxP!$Q:$Q,CxP!$S:$S,"&gt;="&amp;O$6,CxP!$S:$S,"&lt;="&amp;O$7)</f>
        <v>0</v>
      </c>
      <c r="P15" s="128">
        <f t="shared" ref="P15:P21" ca="1" si="4">SUM(C15:O15)</f>
        <v>-11384675.930000002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1"/>
      <c r="B16" s="36" t="s">
        <v>673</v>
      </c>
      <c r="C16" s="127">
        <f ca="1">-SUMPRODUCT('Costos Fijos'!$C$6:$C$18,--('Costos Fijos'!$D$6:$D$18&lt;=DATE(YEAR(C$6),MONTH(C$6),'Costos Fijos'!$C$3)),--('Costos Fijos'!$E$6:$E$18&gt;=DATE(YEAR(C$6),MONTH(C$6),'Costos Fijos'!$C$3)))*(DATE(YEAR(C$6),MONTH(C$6),'Costos Fijos'!$C$3)&gt;=C$6)*(DATE(YEAR(C$6),MONTH(C$6),'Costos Fijos'!$C$3)&lt;=C$7)</f>
        <v>0</v>
      </c>
      <c r="D16" s="127">
        <f ca="1">-SUMPRODUCT('Costos Fijos'!$C$6:$C$18,--('Costos Fijos'!$D$6:$D$18&lt;=DATE(YEAR(D$6),MONTH(D$6),'Costos Fijos'!$C$3)),--('Costos Fijos'!$E$6:$E$18&gt;=DATE(YEAR(D$6),MONTH(D$6),'Costos Fijos'!$C$3)))*(DATE(YEAR(D$6),MONTH(D$6),'Costos Fijos'!$C$3)&gt;=D$6)*(DATE(YEAR(D$6),MONTH(D$6),'Costos Fijos'!$C$3)&lt;=D$7)</f>
        <v>0</v>
      </c>
      <c r="E16" s="127">
        <f ca="1">-SUMPRODUCT('Costos Fijos'!$C$6:$C$18,--('Costos Fijos'!$D$6:$D$18&lt;=DATE(YEAR(E$6),MONTH(E$6),'Costos Fijos'!$C$3)),--('Costos Fijos'!$E$6:$E$18&gt;=DATE(YEAR(E$6),MONTH(E$6),'Costos Fijos'!$C$3)))*(DATE(YEAR(E$6),MONTH(E$6),'Costos Fijos'!$C$3)&gt;=E$6)*(DATE(YEAR(E$6),MONTH(E$6),'Costos Fijos'!$C$3)&lt;=E$7)</f>
        <v>-8329123.333333333</v>
      </c>
      <c r="F16" s="127">
        <f ca="1">-SUMPRODUCT('Costos Fijos'!$C$6:$C$18,--('Costos Fijos'!$D$6:$D$18&lt;=DATE(YEAR(F$6),MONTH(F$6),'Costos Fijos'!$C$3)),--('Costos Fijos'!$E$6:$E$18&gt;=DATE(YEAR(F$6),MONTH(F$6),'Costos Fijos'!$C$3)))*(DATE(YEAR(F$6),MONTH(F$6),'Costos Fijos'!$C$3)&gt;=F$6)*(DATE(YEAR(F$6),MONTH(F$6),'Costos Fijos'!$C$3)&lt;=F$7)</f>
        <v>0</v>
      </c>
      <c r="G16" s="127">
        <f ca="1">-SUMPRODUCT('Costos Fijos'!$C$6:$C$18,--('Costos Fijos'!$D$6:$D$18&lt;=DATE(YEAR(G$6),MONTH(G$6),'Costos Fijos'!$C$3)),--('Costos Fijos'!$E$6:$E$18&gt;=DATE(YEAR(G$6),MONTH(G$6),'Costos Fijos'!$C$3)))*(DATE(YEAR(G$6),MONTH(G$6),'Costos Fijos'!$C$3)&gt;=G$6)*(DATE(YEAR(G$6),MONTH(G$6),'Costos Fijos'!$C$3)&lt;=G$7)</f>
        <v>0</v>
      </c>
      <c r="H16" s="127">
        <f ca="1">-SUMPRODUCT('Costos Fijos'!$C$6:$C$18,--('Costos Fijos'!$D$6:$D$18&lt;=DATE(YEAR(H$6),MONTH(H$6),'Costos Fijos'!$C$3)),--('Costos Fijos'!$E$6:$E$18&gt;=DATE(YEAR(H$6),MONTH(H$6),'Costos Fijos'!$C$3)))*(DATE(YEAR(H$6),MONTH(H$6),'Costos Fijos'!$C$3)&gt;=H$6)*(DATE(YEAR(H$6),MONTH(H$6),'Costos Fijos'!$C$3)&lt;=H$7)</f>
        <v>0</v>
      </c>
      <c r="I16" s="127">
        <f ca="1">-SUMPRODUCT('Costos Fijos'!$C$6:$C$18,--('Costos Fijos'!$D$6:$D$18&lt;=DATE(YEAR(I$6),MONTH(I$6),'Costos Fijos'!$C$3)),--('Costos Fijos'!$E$6:$E$18&gt;=DATE(YEAR(I$6),MONTH(I$6),'Costos Fijos'!$C$3)))*(DATE(YEAR(I$6),MONTH(I$6),'Costos Fijos'!$C$3)&gt;=I$6)*(DATE(YEAR(I$6),MONTH(I$6),'Costos Fijos'!$C$3)&lt;=I$7)</f>
        <v>-8329123.333333333</v>
      </c>
      <c r="J16" s="127">
        <f ca="1">-SUMPRODUCT('Costos Fijos'!$C$6:$C$18,--('Costos Fijos'!$D$6:$D$18&lt;=DATE(YEAR(J$6),MONTH(J$6),'Costos Fijos'!$C$3)),--('Costos Fijos'!$E$6:$E$18&gt;=DATE(YEAR(J$6),MONTH(J$6),'Costos Fijos'!$C$3)))*(DATE(YEAR(J$6),MONTH(J$6),'Costos Fijos'!$C$3)&gt;=J$6)*(DATE(YEAR(J$6),MONTH(J$6),'Costos Fijos'!$C$3)&lt;=J$7)</f>
        <v>0</v>
      </c>
      <c r="K16" s="127">
        <f ca="1">-SUMPRODUCT('Costos Fijos'!$C$6:$C$18,--('Costos Fijos'!$D$6:$D$18&lt;=DATE(YEAR(K$6),MONTH(K$6),'Costos Fijos'!$C$3)),--('Costos Fijos'!$E$6:$E$18&gt;=DATE(YEAR(K$6),MONTH(K$6),'Costos Fijos'!$C$3)))*(DATE(YEAR(K$6),MONTH(K$6),'Costos Fijos'!$C$3)&gt;=K$6)*(DATE(YEAR(K$6),MONTH(K$6),'Costos Fijos'!$C$3)&lt;=K$7)</f>
        <v>0</v>
      </c>
      <c r="L16" s="127">
        <f ca="1">-SUMPRODUCT('Costos Fijos'!$C$6:$C$18,--('Costos Fijos'!$D$6:$D$18&lt;=DATE(YEAR(L$6),MONTH(L$6),'Costos Fijos'!$C$3)),--('Costos Fijos'!$E$6:$E$18&gt;=DATE(YEAR(L$6),MONTH(L$6),'Costos Fijos'!$C$3)))*(DATE(YEAR(L$6),MONTH(L$6),'Costos Fijos'!$C$3)&gt;=L$6)*(DATE(YEAR(L$6),MONTH(L$6),'Costos Fijos'!$C$3)&lt;=L$7)</f>
        <v>0</v>
      </c>
      <c r="M16" s="127">
        <f ca="1">-SUMPRODUCT('Costos Fijos'!$C$6:$C$18,--('Costos Fijos'!$D$6:$D$18&lt;=DATE(YEAR(M$6),MONTH(M$6),'Costos Fijos'!$C$3)),--('Costos Fijos'!$E$6:$E$18&gt;=DATE(YEAR(M$6),MONTH(M$6),'Costos Fijos'!$C$3)))*(DATE(YEAR(M$6),MONTH(M$6),'Costos Fijos'!$C$3)&gt;=M$6)*(DATE(YEAR(M$6),MONTH(M$6),'Costos Fijos'!$C$3)&lt;=M$7)</f>
        <v>0</v>
      </c>
      <c r="N16" s="127">
        <f ca="1">-SUMPRODUCT('Costos Fijos'!$C$6:$C$18,--('Costos Fijos'!$D$6:$D$18&lt;=DATE(YEAR(N$6),MONTH(N$6),'Costos Fijos'!$C$3)),--('Costos Fijos'!$E$6:$E$18&gt;=DATE(YEAR(N$6),MONTH(N$6),'Costos Fijos'!$C$3)))*(DATE(YEAR(N$6),MONTH(N$6),'Costos Fijos'!$C$3)&gt;=N$6)*(DATE(YEAR(N$6),MONTH(N$6),'Costos Fijos'!$C$3)&lt;=N$7)</f>
        <v>0</v>
      </c>
      <c r="O16" s="127">
        <f ca="1">-SUMPRODUCT('Costos Fijos'!$C$6:$C$18,--('Costos Fijos'!$D$6:$D$18&lt;=DATE(YEAR(O$6),MONTH(O$6),'Costos Fijos'!$C$3)),--('Costos Fijos'!$E$6:$E$18&gt;=DATE(YEAR(O$6),MONTH(O$6),'Costos Fijos'!$C$3)))*(DATE(YEAR(O$6),MONTH(O$6),'Costos Fijos'!$C$3)&gt;=O$6)*(DATE(YEAR(O$6),MONTH(O$6),'Costos Fijos'!$C$3)&lt;=O$7)</f>
        <v>0</v>
      </c>
      <c r="P16" s="128">
        <f t="shared" ca="1" si="4"/>
        <v>-16658246.666666666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1"/>
      <c r="B17" s="36" t="s">
        <v>689</v>
      </c>
      <c r="C17" s="31"/>
      <c r="D17" s="31"/>
      <c r="E17" s="31"/>
      <c r="F17" s="31"/>
      <c r="G17" s="31"/>
      <c r="H17" s="31">
        <v>-20000000</v>
      </c>
      <c r="I17" s="31"/>
      <c r="J17" s="31"/>
      <c r="K17" s="31"/>
      <c r="L17" s="31"/>
      <c r="M17" s="31"/>
      <c r="N17" s="31"/>
      <c r="O17" s="31"/>
      <c r="P17" s="128">
        <f t="shared" si="4"/>
        <v>-20000000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">
      <c r="A18" s="1"/>
      <c r="B18" s="36" t="s">
        <v>690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128">
        <f t="shared" si="4"/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3">
      <c r="A19" s="1"/>
      <c r="B19" s="27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128">
        <f t="shared" si="4"/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3">
      <c r="A20" s="1"/>
      <c r="B20" s="116" t="s">
        <v>691</v>
      </c>
      <c r="C20" s="124">
        <f t="shared" ref="C20:O20" ca="1" si="5">SUM(C15:C19)</f>
        <v>-11384675.930000002</v>
      </c>
      <c r="D20" s="124">
        <f t="shared" ca="1" si="5"/>
        <v>0</v>
      </c>
      <c r="E20" s="124">
        <f t="shared" ca="1" si="5"/>
        <v>-8329123.333333333</v>
      </c>
      <c r="F20" s="124">
        <f t="shared" ca="1" si="5"/>
        <v>0</v>
      </c>
      <c r="G20" s="124">
        <f t="shared" ca="1" si="5"/>
        <v>0</v>
      </c>
      <c r="H20" s="124">
        <f t="shared" ca="1" si="5"/>
        <v>-20000000</v>
      </c>
      <c r="I20" s="124">
        <f t="shared" ca="1" si="5"/>
        <v>-8329123.333333333</v>
      </c>
      <c r="J20" s="124">
        <f t="shared" ca="1" si="5"/>
        <v>0</v>
      </c>
      <c r="K20" s="124">
        <f t="shared" ca="1" si="5"/>
        <v>0</v>
      </c>
      <c r="L20" s="124">
        <f t="shared" ca="1" si="5"/>
        <v>0</v>
      </c>
      <c r="M20" s="124">
        <f t="shared" ca="1" si="5"/>
        <v>0</v>
      </c>
      <c r="N20" s="124">
        <f t="shared" ca="1" si="5"/>
        <v>0</v>
      </c>
      <c r="O20" s="124">
        <f t="shared" ca="1" si="5"/>
        <v>0</v>
      </c>
      <c r="P20" s="128">
        <f t="shared" ca="1" si="4"/>
        <v>-48042922.596666671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3">
      <c r="A21" s="1"/>
      <c r="B21" s="116" t="s">
        <v>692</v>
      </c>
      <c r="C21" s="124">
        <f t="shared" ref="C21:O21" ca="1" si="6">C13+C20</f>
        <v>-11384675.930000002</v>
      </c>
      <c r="D21" s="124">
        <f t="shared" ca="1" si="6"/>
        <v>24412916.59</v>
      </c>
      <c r="E21" s="124">
        <f t="shared" ca="1" si="6"/>
        <v>-8329123.333333333</v>
      </c>
      <c r="F21" s="124">
        <f t="shared" ca="1" si="6"/>
        <v>0</v>
      </c>
      <c r="G21" s="124">
        <f t="shared" ca="1" si="6"/>
        <v>0</v>
      </c>
      <c r="H21" s="124">
        <f t="shared" ca="1" si="6"/>
        <v>-20000000</v>
      </c>
      <c r="I21" s="124">
        <f t="shared" ca="1" si="6"/>
        <v>-8329123.333333333</v>
      </c>
      <c r="J21" s="124">
        <f t="shared" ca="1" si="6"/>
        <v>0</v>
      </c>
      <c r="K21" s="124">
        <f t="shared" ca="1" si="6"/>
        <v>0</v>
      </c>
      <c r="L21" s="124">
        <f t="shared" ca="1" si="6"/>
        <v>0</v>
      </c>
      <c r="M21" s="124">
        <f t="shared" ca="1" si="6"/>
        <v>0</v>
      </c>
      <c r="N21" s="124">
        <f t="shared" ca="1" si="6"/>
        <v>0</v>
      </c>
      <c r="O21" s="124">
        <f t="shared" ca="1" si="6"/>
        <v>0</v>
      </c>
      <c r="P21" s="128">
        <f t="shared" ca="1" si="4"/>
        <v>-23630006.006666668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3">
      <c r="A22" s="1"/>
      <c r="B22" s="133" t="s">
        <v>693</v>
      </c>
      <c r="C22" s="134">
        <f t="shared" ref="C22:O22" ca="1" si="7">C9+C21</f>
        <v>51975917.530000009</v>
      </c>
      <c r="D22" s="134">
        <f t="shared" ca="1" si="7"/>
        <v>76388834.120000005</v>
      </c>
      <c r="E22" s="134">
        <f t="shared" ca="1" si="7"/>
        <v>68059710.786666676</v>
      </c>
      <c r="F22" s="134">
        <f t="shared" ca="1" si="7"/>
        <v>68059710.786666676</v>
      </c>
      <c r="G22" s="134">
        <f t="shared" ca="1" si="7"/>
        <v>68059710.786666676</v>
      </c>
      <c r="H22" s="134">
        <f t="shared" ca="1" si="7"/>
        <v>48059710.786666676</v>
      </c>
      <c r="I22" s="134">
        <f t="shared" ca="1" si="7"/>
        <v>39730587.453333341</v>
      </c>
      <c r="J22" s="134">
        <f t="shared" ca="1" si="7"/>
        <v>39730587.453333341</v>
      </c>
      <c r="K22" s="134">
        <f t="shared" ca="1" si="7"/>
        <v>39730587.453333341</v>
      </c>
      <c r="L22" s="134">
        <f t="shared" ca="1" si="7"/>
        <v>39730587.453333341</v>
      </c>
      <c r="M22" s="134">
        <f t="shared" ca="1" si="7"/>
        <v>39730587.453333341</v>
      </c>
      <c r="N22" s="134">
        <f t="shared" ca="1" si="7"/>
        <v>39730587.453333341</v>
      </c>
      <c r="O22" s="134">
        <f t="shared" ca="1" si="7"/>
        <v>39730587.453333341</v>
      </c>
      <c r="P22" s="135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3">
      <c r="A23" s="1"/>
      <c r="B23" s="136" t="s">
        <v>695</v>
      </c>
      <c r="C23" s="137" t="str">
        <f t="shared" ref="C23:O23" ca="1" si="8">IF(C22&lt;0,"Negativo",IF(C22&lt;20000000,"Bajo","Bien"))</f>
        <v>Bien</v>
      </c>
      <c r="D23" s="137" t="str">
        <f t="shared" ca="1" si="8"/>
        <v>Bien</v>
      </c>
      <c r="E23" s="137" t="str">
        <f t="shared" ca="1" si="8"/>
        <v>Bien</v>
      </c>
      <c r="F23" s="137" t="str">
        <f t="shared" ca="1" si="8"/>
        <v>Bien</v>
      </c>
      <c r="G23" s="137" t="str">
        <f t="shared" ca="1" si="8"/>
        <v>Bien</v>
      </c>
      <c r="H23" s="137" t="str">
        <f t="shared" ca="1" si="8"/>
        <v>Bien</v>
      </c>
      <c r="I23" s="137" t="str">
        <f t="shared" ca="1" si="8"/>
        <v>Bien</v>
      </c>
      <c r="J23" s="137" t="str">
        <f t="shared" ca="1" si="8"/>
        <v>Bien</v>
      </c>
      <c r="K23" s="137" t="str">
        <f t="shared" ca="1" si="8"/>
        <v>Bien</v>
      </c>
      <c r="L23" s="137" t="str">
        <f t="shared" ca="1" si="8"/>
        <v>Bien</v>
      </c>
      <c r="M23" s="137" t="str">
        <f t="shared" ca="1" si="8"/>
        <v>Bien</v>
      </c>
      <c r="N23" s="137" t="str">
        <f t="shared" ca="1" si="8"/>
        <v>Bien</v>
      </c>
      <c r="O23" s="137" t="str">
        <f t="shared" ca="1" si="8"/>
        <v>Bien</v>
      </c>
      <c r="P23" s="135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35">
      <c r="A25" s="1"/>
      <c r="B25" s="5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3">
      <c r="A26" s="1"/>
      <c r="B26" s="21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3">
      <c r="A27" s="1"/>
      <c r="B27" s="21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3">
      <c r="A28" s="1"/>
      <c r="B28" s="21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B1:P1"/>
    <mergeCell ref="B26:P26"/>
    <mergeCell ref="B27:P27"/>
    <mergeCell ref="B28:P28"/>
  </mergeCells>
  <conditionalFormatting sqref="C22:O22">
    <cfRule type="cellIs" dxfId="2" priority="1" operator="lessThan">
      <formula>0</formula>
    </cfRule>
    <cfRule type="cellIs" dxfId="1" priority="2" operator="between">
      <formula>0</formula>
      <formula>20000000</formula>
    </cfRule>
  </conditionalFormatting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zoomScale="80" zoomScaleNormal="80" workbookViewId="0">
      <pane ySplit="4" topLeftCell="A15" activePane="bottomLeft" state="frozen"/>
      <selection pane="bottomLeft" activeCell="H23" sqref="H23"/>
    </sheetView>
  </sheetViews>
  <sheetFormatPr defaultColWidth="12.6640625" defaultRowHeight="15" customHeight="1" x14ac:dyDescent="0.3"/>
  <cols>
    <col min="1" max="1" width="2" customWidth="1"/>
    <col min="2" max="2" width="12" customWidth="1"/>
    <col min="3" max="3" width="13" customWidth="1"/>
    <col min="4" max="6" width="17" customWidth="1"/>
    <col min="7" max="7" width="15" customWidth="1"/>
    <col min="8" max="8" width="17" customWidth="1"/>
    <col min="9" max="9" width="15" customWidth="1"/>
    <col min="10" max="10" width="16" customWidth="1"/>
    <col min="11" max="11" width="30" customWidth="1"/>
  </cols>
  <sheetData>
    <row r="1" spans="1:26" ht="24" customHeight="1" x14ac:dyDescent="0.3">
      <c r="A1" s="1"/>
      <c r="B1" s="205" t="s">
        <v>704</v>
      </c>
      <c r="C1" s="204"/>
      <c r="D1" s="204"/>
      <c r="E1" s="204"/>
      <c r="F1" s="204"/>
      <c r="G1" s="204"/>
      <c r="H1" s="204"/>
      <c r="I1" s="204"/>
      <c r="J1" s="204"/>
      <c r="K1" s="20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">
      <c r="A3" s="1"/>
      <c r="B3" s="208" t="s">
        <v>706</v>
      </c>
      <c r="C3" s="204"/>
      <c r="D3" s="204"/>
      <c r="E3" s="204"/>
      <c r="F3" s="204"/>
      <c r="G3" s="204"/>
      <c r="H3" s="204"/>
      <c r="I3" s="204"/>
      <c r="J3" s="204"/>
      <c r="K3" s="20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">
      <c r="A4" s="1"/>
      <c r="B4" s="6" t="s">
        <v>126</v>
      </c>
      <c r="C4" s="6" t="s">
        <v>707</v>
      </c>
      <c r="D4" s="6" t="s">
        <v>27</v>
      </c>
      <c r="E4" s="6" t="s">
        <v>708</v>
      </c>
      <c r="F4" s="6" t="s">
        <v>709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1"/>
      <c r="B5" s="36" t="s">
        <v>710</v>
      </c>
      <c r="C5" s="127">
        <f>SUMIFS(CxC!$I$11:$I$51,CxC!$T$11:$T$51,1)+SUMIFS(CxC!$H$56:$H$61,CxC!$C$56:$C$61,"&gt;="&amp;DATE(2026,1,1),CxC!$C$56:$C$61,"&lt;="&amp;EOMONTH(DATE(2026,1,1),0))</f>
        <v>0</v>
      </c>
      <c r="D5" s="127">
        <f>SUMIFS(CxP!$L$6:$L$163,CxP!$B$6:$B$163,"&gt;="&amp;DATE(2026,1,1),CxP!$B$6:$B$163,"&lt;="&amp;EOMONTH(DATE(2026,1,1),0))</f>
        <v>0</v>
      </c>
      <c r="E5" s="127">
        <f>SUMIFS(CxC!$U$11:$U$51,CxC!$T$11:$T$51,1)</f>
        <v>0</v>
      </c>
      <c r="F5" s="140">
        <f t="shared" ref="F5:F16" si="0">C5-D5-E5</f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">
      <c r="A6" s="1"/>
      <c r="B6" s="36" t="s">
        <v>718</v>
      </c>
      <c r="C6" s="127">
        <f>SUMIFS(CxC!$I$11:$I$51,CxC!$T$11:$T$51,2)+SUMIFS(CxC!$H$56:$H$61,CxC!$C$56:$C$61,"&gt;="&amp;DATE(2026,2,1),CxC!$C$56:$C$61,"&lt;="&amp;EOMONTH(DATE(2026,2,1),0))</f>
        <v>0</v>
      </c>
      <c r="D6" s="127">
        <f>SUMIFS(CxP!$L$6:$L$163,CxP!$B$6:$B$163,"&gt;="&amp;DATE(2026,2,1),CxP!$B$6:$B$163,"&lt;="&amp;EOMONTH(DATE(2026,2,1),0))</f>
        <v>0</v>
      </c>
      <c r="E6" s="127">
        <f>SUMIFS(CxC!$U$11:$U$51,CxC!$T$11:$T$51,2)</f>
        <v>0</v>
      </c>
      <c r="F6" s="140">
        <f t="shared" si="0"/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">
      <c r="A7" s="1"/>
      <c r="B7" s="36" t="s">
        <v>721</v>
      </c>
      <c r="C7" s="127">
        <f>SUMIFS(CxC!$I$11:$I$51,CxC!$T$11:$T$51,3)+SUMIFS(CxC!$H$56:$H$61,CxC!$C$56:$C$61,"&gt;="&amp;DATE(2026,3,1),CxC!$C$56:$C$61,"&lt;="&amp;EOMONTH(DATE(2026,3,1),0))</f>
        <v>0</v>
      </c>
      <c r="D7" s="127">
        <f>SUMIFS(CxP!$L$6:$L$163,CxP!$B$6:$B$163,"&gt;="&amp;DATE(2026,3,1),CxP!$B$6:$B$163,"&lt;="&amp;EOMONTH(DATE(2026,3,1),0))</f>
        <v>95000</v>
      </c>
      <c r="E7" s="127">
        <f>SUMIFS(CxC!$U$11:$U$51,CxC!$T$11:$T$51,3)</f>
        <v>0</v>
      </c>
      <c r="F7" s="140">
        <f t="shared" si="0"/>
        <v>-95000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3">
      <c r="A8" s="1"/>
      <c r="B8" s="36" t="s">
        <v>725</v>
      </c>
      <c r="C8" s="127">
        <f>SUMIFS(CxC!$I$11:$I$51,CxC!$T$11:$T$51,4)+SUMIFS(CxC!$H$56:$H$61,CxC!$C$56:$C$61,"&gt;="&amp;DATE(2026,4,1),CxC!$C$56:$C$61,"&lt;="&amp;EOMONTH(DATE(2026,4,1),0))</f>
        <v>6068166.2300000004</v>
      </c>
      <c r="D8" s="127">
        <f>SUMIFS(CxP!$L$6:$L$163,CxP!$B$6:$B$163,"&gt;="&amp;DATE(2026,4,1),CxP!$B$6:$B$163,"&lt;="&amp;EOMONTH(DATE(2026,4,1),0))</f>
        <v>2243500.81</v>
      </c>
      <c r="E8" s="127">
        <f>SUMIFS(CxC!$U$11:$U$51,CxC!$T$11:$T$51,4)</f>
        <v>908232.78450000007</v>
      </c>
      <c r="F8" s="140">
        <f t="shared" si="0"/>
        <v>2916432.6355000003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">
      <c r="A9" s="1"/>
      <c r="B9" s="36" t="s">
        <v>729</v>
      </c>
      <c r="C9" s="127">
        <f>SUMIFS(CxC!$I$11:$I$51,CxC!$T$11:$T$51,5)+SUMIFS(CxC!$H$56:$H$61,CxC!$C$56:$C$61,"&gt;="&amp;DATE(2026,5,1),CxC!$C$56:$C$61,"&lt;="&amp;EOMONTH(DATE(2026,5,1),0))</f>
        <v>48913291.82</v>
      </c>
      <c r="D9" s="127">
        <f>SUMIFS(CxP!$L$6:$L$163,CxP!$B$6:$B$163,"&gt;="&amp;DATE(2026,5,1),CxP!$B$6:$B$163,"&lt;="&amp;EOMONTH(DATE(2026,5,1),0))</f>
        <v>2430837.7905882355</v>
      </c>
      <c r="E9" s="127">
        <f>SUMIFS(CxC!$U$11:$U$51,CxC!$T$11:$T$51,5)</f>
        <v>1721400.1424999998</v>
      </c>
      <c r="F9" s="140">
        <f t="shared" si="0"/>
        <v>44761053.886911765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">
      <c r="A10" s="1"/>
      <c r="B10" s="36" t="s">
        <v>731</v>
      </c>
      <c r="C10" s="127">
        <f>SUMIFS(CxC!$I$11:$I$51,CxC!$T$11:$T$51,6)+SUMIFS(CxC!$H$56:$H$61,CxC!$C$56:$C$61,"&gt;="&amp;DATE(2026,6,1),CxC!$C$56:$C$61,"&lt;="&amp;EOMONTH(DATE(2026,6,1),0))</f>
        <v>0</v>
      </c>
      <c r="D10" s="127">
        <f>SUMIFS(CxP!$L$6:$L$163,CxP!$B$6:$B$163,"&gt;="&amp;DATE(2026,6,1),CxP!$B$6:$B$163,"&lt;="&amp;EOMONTH(DATE(2026,6,1),0))</f>
        <v>22760979.479999997</v>
      </c>
      <c r="E10" s="127">
        <f>SUMIFS(CxC!$U$11:$U$51,CxC!$T$11:$T$51,6)</f>
        <v>0</v>
      </c>
      <c r="F10" s="140">
        <f t="shared" si="0"/>
        <v>-22760979.479999997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36" t="s">
        <v>734</v>
      </c>
      <c r="C11" s="127">
        <f>SUMIFS(CxC!$I$11:$I$51,CxC!$T$11:$T$51,7)+SUMIFS(CxC!$H$56:$H$61,CxC!$C$56:$C$61,"&gt;="&amp;DATE(2026,7,1),CxC!$C$56:$C$61,"&lt;="&amp;EOMONTH(DATE(2026,7,1),0))</f>
        <v>5510885.0199999996</v>
      </c>
      <c r="D11" s="127">
        <f>SUMIFS(CxP!$L$6:$L$163,CxP!$B$6:$B$163,"&gt;="&amp;DATE(2026,7,1),CxP!$B$6:$B$163,"&lt;="&amp;EOMONTH(DATE(2026,7,1),0))</f>
        <v>5277581.0999999996</v>
      </c>
      <c r="E11" s="127">
        <f>SUMIFS(CxC!$U$11:$U$51,CxC!$T$11:$T$51,7)</f>
        <v>1136577.378</v>
      </c>
      <c r="F11" s="140">
        <f t="shared" si="0"/>
        <v>-903273.4580000001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">
      <c r="A12" s="1"/>
      <c r="B12" s="36" t="s">
        <v>740</v>
      </c>
      <c r="C12" s="127">
        <f>SUMIFS(CxC!$I$11:$I$51,CxC!$T$11:$T$51,8)+SUMIFS(CxC!$H$56:$H$61,CxC!$C$56:$C$61,"&gt;="&amp;DATE(2026,8,1),CxC!$C$56:$C$61,"&lt;="&amp;EOMONTH(DATE(2026,8,1),0))</f>
        <v>11913869.82</v>
      </c>
      <c r="D12" s="127">
        <f>SUMIFS(CxP!$L$6:$L$163,CxP!$B$6:$B$163,"&gt;="&amp;DATE(2026,8,1),CxP!$B$6:$B$163,"&lt;="&amp;EOMONTH(DATE(2026,8,1),0))</f>
        <v>2490288.4900000002</v>
      </c>
      <c r="E12" s="127">
        <f>SUMIFS(CxC!$U$11:$U$51,CxC!$T$11:$T$51,8)</f>
        <v>1687900.4729999998</v>
      </c>
      <c r="F12" s="140">
        <f t="shared" si="0"/>
        <v>7735680.8570000008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3">
      <c r="A13" s="1"/>
      <c r="B13" s="36" t="s">
        <v>753</v>
      </c>
      <c r="C13" s="127">
        <f>SUMIFS(CxC!$I$11:$I$51,CxC!$T$11:$T$51,9)+SUMIFS(CxC!$H$56:$H$61,CxC!$C$56:$C$61,"&gt;="&amp;DATE(2026,9,1),CxC!$C$56:$C$61,"&lt;="&amp;EOMONTH(DATE(2026,9,1),0))</f>
        <v>9030551.2300000004</v>
      </c>
      <c r="D13" s="127">
        <f>SUMIFS(CxP!$L$6:$L$163,CxP!$B$6:$B$163,"&gt;="&amp;DATE(2026,9,1),CxP!$B$6:$B$163,"&lt;="&amp;EOMONTH(DATE(2026,9,1),0))</f>
        <v>9521822</v>
      </c>
      <c r="E13" s="127">
        <f>SUMIFS(CxC!$U$11:$U$51,CxC!$T$11:$T$51,9)</f>
        <v>1102072.6845</v>
      </c>
      <c r="F13" s="140">
        <f t="shared" si="0"/>
        <v>-1593343.4544999995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1"/>
      <c r="B14" s="36" t="s">
        <v>764</v>
      </c>
      <c r="C14" s="127">
        <f>SUMIFS(CxC!$I$11:$I$51,CxC!$T$11:$T$51,10)+SUMIFS(CxC!$H$56:$H$61,CxC!$C$56:$C$61,"&gt;="&amp;DATE(2026,10,1),CxC!$C$56:$C$61,"&lt;="&amp;EOMONTH(DATE(2026,10,1),0))</f>
        <v>3931316.2199999997</v>
      </c>
      <c r="D14" s="127">
        <f>SUMIFS(CxP!$L$6:$L$163,CxP!$B$6:$B$163,"&gt;="&amp;DATE(2026,10,1),CxP!$B$6:$B$163,"&lt;="&amp;EOMONTH(DATE(2026,10,1),0))</f>
        <v>1786087.1</v>
      </c>
      <c r="E14" s="127">
        <f>SUMIFS(CxC!$U$11:$U$51,CxC!$T$11:$T$51,10)</f>
        <v>1037824.308</v>
      </c>
      <c r="F14" s="140">
        <f t="shared" si="0"/>
        <v>1107404.8119999997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"/>
      <c r="B15" s="36" t="s">
        <v>769</v>
      </c>
      <c r="C15" s="127">
        <f>SUMIFS(CxC!$I$11:$I$51,CxC!$T$11:$T$51,11)+SUMIFS(CxC!$H$56:$H$61,CxC!$C$56:$C$61,"&gt;="&amp;DATE(2026,11,1),CxC!$C$56:$C$61,"&lt;="&amp;EOMONTH(DATE(2026,11,1),0))</f>
        <v>0</v>
      </c>
      <c r="D15" s="127">
        <f>SUMIFS(CxP!$L$6:$L$163,CxP!$B$6:$B$163,"&gt;="&amp;DATE(2026,11,1),CxP!$B$6:$B$163,"&lt;="&amp;EOMONTH(DATE(2026,11,1),0))</f>
        <v>0</v>
      </c>
      <c r="E15" s="127">
        <f>SUMIFS(CxC!$U$11:$U$51,CxC!$T$11:$T$51,11)</f>
        <v>0</v>
      </c>
      <c r="F15" s="140">
        <f t="shared" si="0"/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1"/>
      <c r="B16" s="36" t="s">
        <v>780</v>
      </c>
      <c r="C16" s="127">
        <f>SUMIFS(CxC!$I$11:$I$51,CxC!$T$11:$T$51,12)+SUMIFS(CxC!$H$56:$H$61,CxC!$C$56:$C$61,"&gt;="&amp;DATE(2026,12,1),CxC!$C$56:$C$61,"&lt;="&amp;EOMONTH(DATE(2026,12,1),0))</f>
        <v>0</v>
      </c>
      <c r="D16" s="127">
        <f>SUMIFS(CxP!$L$6:$L$163,CxP!$B$6:$B$163,"&gt;="&amp;DATE(2026,12,1),CxP!$B$6:$B$163,"&lt;="&amp;EOMONTH(DATE(2026,12,1),0))</f>
        <v>0</v>
      </c>
      <c r="E16" s="127">
        <f>SUMIFS(CxC!$U$11:$U$51,CxC!$T$11:$T$51,12)</f>
        <v>0</v>
      </c>
      <c r="F16" s="140">
        <f t="shared" si="0"/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1"/>
      <c r="B17" s="5" t="s">
        <v>352</v>
      </c>
      <c r="C17" s="140">
        <f t="shared" ref="C17:F17" si="1">SUM(C5:C16)</f>
        <v>85368080.339999989</v>
      </c>
      <c r="D17" s="140">
        <f t="shared" si="1"/>
        <v>46606096.770588234</v>
      </c>
      <c r="E17" s="140">
        <f t="shared" si="1"/>
        <v>7594007.7705000006</v>
      </c>
      <c r="F17" s="140">
        <f t="shared" si="1"/>
        <v>31167975.798911765</v>
      </c>
      <c r="G17" s="36"/>
      <c r="H17" s="36"/>
      <c r="I17" s="36"/>
      <c r="J17" s="36"/>
      <c r="K17" s="3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3">
      <c r="A19" s="1"/>
      <c r="B19" s="208" t="s">
        <v>788</v>
      </c>
      <c r="C19" s="204"/>
      <c r="D19" s="204"/>
      <c r="E19" s="204"/>
      <c r="F19" s="204"/>
      <c r="G19" s="204"/>
      <c r="H19" s="204"/>
      <c r="I19" s="204"/>
      <c r="J19" s="204"/>
      <c r="K19" s="20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 x14ac:dyDescent="0.3">
      <c r="A20" s="1"/>
      <c r="B20" s="6" t="s">
        <v>789</v>
      </c>
      <c r="C20" s="6" t="s">
        <v>790</v>
      </c>
      <c r="D20" s="6" t="s">
        <v>707</v>
      </c>
      <c r="E20" s="6" t="s">
        <v>27</v>
      </c>
      <c r="F20" s="6" t="s">
        <v>128</v>
      </c>
      <c r="G20" s="6" t="s">
        <v>791</v>
      </c>
      <c r="H20" s="6" t="s">
        <v>792</v>
      </c>
      <c r="I20" s="6" t="s">
        <v>793</v>
      </c>
      <c r="J20" s="6" t="s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3">
      <c r="A21" s="1"/>
      <c r="B21" s="36" t="s">
        <v>794</v>
      </c>
      <c r="C21" s="26" t="s">
        <v>795</v>
      </c>
      <c r="D21" s="153">
        <f t="shared" ref="D21:F21" si="2">C5+C6</f>
        <v>0</v>
      </c>
      <c r="E21" s="153">
        <f t="shared" si="2"/>
        <v>0</v>
      </c>
      <c r="F21" s="153">
        <f t="shared" si="2"/>
        <v>0</v>
      </c>
      <c r="G21" s="140">
        <f t="shared" ref="G21:G26" si="3">D21-E21-F21</f>
        <v>0</v>
      </c>
      <c r="H21" s="31">
        <v>0</v>
      </c>
      <c r="I21" s="73">
        <f t="shared" ref="I21:I26" si="4">G21-H21</f>
        <v>0</v>
      </c>
      <c r="J21" s="41" t="str">
        <f t="shared" ref="J21:J26" si="5">IF(G21&lt;=0,"Saldo a favor",IF(H21=0,"Por pagar",IF(ABS(I21)&lt;1000,"Pagado","Pago parcial")))</f>
        <v>Saldo a favor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3">
      <c r="A22" s="1"/>
      <c r="B22" s="36" t="s">
        <v>796</v>
      </c>
      <c r="C22" s="26" t="s">
        <v>797</v>
      </c>
      <c r="D22" s="153">
        <f t="shared" ref="D22:F22" si="6">C7+C8</f>
        <v>6068166.2300000004</v>
      </c>
      <c r="E22" s="153">
        <f t="shared" si="6"/>
        <v>2338500.81</v>
      </c>
      <c r="F22" s="153">
        <f t="shared" si="6"/>
        <v>908232.78450000007</v>
      </c>
      <c r="G22" s="140">
        <f t="shared" si="3"/>
        <v>2821432.6355000003</v>
      </c>
      <c r="H22" s="31">
        <v>0</v>
      </c>
      <c r="I22" s="73">
        <f t="shared" si="4"/>
        <v>2821432.6355000003</v>
      </c>
      <c r="J22" s="41" t="str">
        <f t="shared" si="5"/>
        <v>Por pagar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3">
      <c r="A23" s="1"/>
      <c r="B23" s="36" t="s">
        <v>798</v>
      </c>
      <c r="C23" s="26" t="s">
        <v>799</v>
      </c>
      <c r="D23" s="153">
        <f t="shared" ref="D23:F23" si="7">C9+C10</f>
        <v>48913291.82</v>
      </c>
      <c r="E23" s="153">
        <f t="shared" si="7"/>
        <v>25191817.270588234</v>
      </c>
      <c r="F23" s="153">
        <f t="shared" si="7"/>
        <v>1721400.1424999998</v>
      </c>
      <c r="G23" s="140">
        <f t="shared" si="3"/>
        <v>22000074.406911768</v>
      </c>
      <c r="H23" s="31">
        <v>18406000</v>
      </c>
      <c r="I23" s="73">
        <f t="shared" si="4"/>
        <v>3594074.406911768</v>
      </c>
      <c r="J23" s="41" t="str">
        <f t="shared" si="5"/>
        <v>Pago parcial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3">
      <c r="A24" s="1"/>
      <c r="B24" s="36" t="s">
        <v>801</v>
      </c>
      <c r="C24" s="26" t="s">
        <v>802</v>
      </c>
      <c r="D24" s="153">
        <f t="shared" ref="D24:F24" si="8">C11+C12</f>
        <v>17424754.84</v>
      </c>
      <c r="E24" s="153">
        <f t="shared" si="8"/>
        <v>7767869.5899999999</v>
      </c>
      <c r="F24" s="153">
        <f t="shared" si="8"/>
        <v>2824477.8509999998</v>
      </c>
      <c r="G24" s="140">
        <f t="shared" si="3"/>
        <v>6832407.3990000002</v>
      </c>
      <c r="H24" s="31">
        <v>0</v>
      </c>
      <c r="I24" s="73">
        <f t="shared" si="4"/>
        <v>6832407.3990000002</v>
      </c>
      <c r="J24" s="41" t="str">
        <f t="shared" si="5"/>
        <v>Por pagar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3">
      <c r="A25" s="1"/>
      <c r="B25" s="36" t="s">
        <v>803</v>
      </c>
      <c r="C25" s="26" t="s">
        <v>804</v>
      </c>
      <c r="D25" s="153">
        <f t="shared" ref="D25:F25" si="9">C13+C14</f>
        <v>12961867.449999999</v>
      </c>
      <c r="E25" s="153">
        <f t="shared" si="9"/>
        <v>11307909.1</v>
      </c>
      <c r="F25" s="153">
        <f t="shared" si="9"/>
        <v>2139896.9924999997</v>
      </c>
      <c r="G25" s="140">
        <f t="shared" si="3"/>
        <v>-485938.64250000007</v>
      </c>
      <c r="H25" s="31">
        <v>0</v>
      </c>
      <c r="I25" s="73">
        <f t="shared" si="4"/>
        <v>-485938.64250000007</v>
      </c>
      <c r="J25" s="41" t="str">
        <f t="shared" si="5"/>
        <v>Saldo a favor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3">
      <c r="A26" s="1"/>
      <c r="B26" s="36" t="s">
        <v>805</v>
      </c>
      <c r="C26" s="26" t="s">
        <v>806</v>
      </c>
      <c r="D26" s="153">
        <f t="shared" ref="D26:F26" si="10">C15+C16</f>
        <v>0</v>
      </c>
      <c r="E26" s="153">
        <f t="shared" si="10"/>
        <v>0</v>
      </c>
      <c r="F26" s="153">
        <f t="shared" si="10"/>
        <v>0</v>
      </c>
      <c r="G26" s="140">
        <f t="shared" si="3"/>
        <v>0</v>
      </c>
      <c r="H26" s="31">
        <v>0</v>
      </c>
      <c r="I26" s="73">
        <f t="shared" si="4"/>
        <v>0</v>
      </c>
      <c r="J26" s="41" t="str">
        <f t="shared" si="5"/>
        <v>Saldo a favor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3">
      <c r="A27" s="1"/>
      <c r="B27" s="5" t="s">
        <v>352</v>
      </c>
      <c r="C27" s="36"/>
      <c r="D27" s="140">
        <f t="shared" ref="D27:I27" si="11">SUM(D21:D26)</f>
        <v>85368080.340000004</v>
      </c>
      <c r="E27" s="140">
        <f t="shared" si="11"/>
        <v>46606096.770588234</v>
      </c>
      <c r="F27" s="140">
        <f t="shared" si="11"/>
        <v>7594007.7704999996</v>
      </c>
      <c r="G27" s="140">
        <f t="shared" si="11"/>
        <v>31167975.798911765</v>
      </c>
      <c r="H27" s="140">
        <f t="shared" si="11"/>
        <v>18406000</v>
      </c>
      <c r="I27" s="140">
        <f t="shared" si="11"/>
        <v>12761975.798911769</v>
      </c>
      <c r="J27" s="1"/>
      <c r="K27" s="3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3">
      <c r="A29" s="1"/>
      <c r="B29" s="208" t="s">
        <v>404</v>
      </c>
      <c r="C29" s="204"/>
      <c r="D29" s="204"/>
      <c r="E29" s="204"/>
      <c r="F29" s="204"/>
      <c r="G29" s="204"/>
      <c r="H29" s="204"/>
      <c r="I29" s="204"/>
      <c r="J29" s="204"/>
      <c r="K29" s="20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3">
      <c r="A30" s="1"/>
      <c r="B30" s="207" t="s">
        <v>808</v>
      </c>
      <c r="C30" s="204"/>
      <c r="D30" s="204"/>
      <c r="E30" s="204"/>
      <c r="F30" s="73">
        <f>C17-(CxC!$I$52+SUM(CxC!$H$56:$H$61))</f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3">
      <c r="A31" s="1"/>
      <c r="B31" s="207" t="s">
        <v>809</v>
      </c>
      <c r="C31" s="204"/>
      <c r="D31" s="204"/>
      <c r="E31" s="204"/>
      <c r="F31" s="73">
        <f>D17-CxP!$L$164</f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3">
      <c r="A33" s="1"/>
      <c r="B33" s="208" t="s">
        <v>47</v>
      </c>
      <c r="C33" s="204"/>
      <c r="D33" s="204"/>
      <c r="E33" s="204"/>
      <c r="F33" s="204"/>
      <c r="G33" s="204"/>
      <c r="H33" s="204"/>
      <c r="I33" s="204"/>
      <c r="J33" s="204"/>
      <c r="K33" s="20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3">
      <c r="A34" s="1"/>
      <c r="B34" s="203" t="s">
        <v>811</v>
      </c>
      <c r="C34" s="204"/>
      <c r="D34" s="204"/>
      <c r="E34" s="204"/>
      <c r="F34" s="204"/>
      <c r="G34" s="204"/>
      <c r="H34" s="204"/>
      <c r="I34" s="204"/>
      <c r="J34" s="204"/>
      <c r="K34" s="20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3">
      <c r="A35" s="1"/>
      <c r="B35" s="203" t="s">
        <v>812</v>
      </c>
      <c r="C35" s="204"/>
      <c r="D35" s="204"/>
      <c r="E35" s="204"/>
      <c r="F35" s="204"/>
      <c r="G35" s="204"/>
      <c r="H35" s="204"/>
      <c r="I35" s="204"/>
      <c r="J35" s="204"/>
      <c r="K35" s="20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3">
      <c r="A36" s="1"/>
      <c r="B36" s="203" t="s">
        <v>813</v>
      </c>
      <c r="C36" s="204"/>
      <c r="D36" s="204"/>
      <c r="E36" s="204"/>
      <c r="F36" s="204"/>
      <c r="G36" s="204"/>
      <c r="H36" s="204"/>
      <c r="I36" s="204"/>
      <c r="J36" s="204"/>
      <c r="K36" s="20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B34:K34"/>
    <mergeCell ref="B35:K35"/>
    <mergeCell ref="B36:K36"/>
    <mergeCell ref="B1:K1"/>
    <mergeCell ref="B3:K3"/>
    <mergeCell ref="B19:K19"/>
    <mergeCell ref="B29:K29"/>
    <mergeCell ref="B30:E30"/>
    <mergeCell ref="B31:E31"/>
    <mergeCell ref="B33:K33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000"/>
  <sheetViews>
    <sheetView showGridLines="0" workbookViewId="0"/>
  </sheetViews>
  <sheetFormatPr defaultColWidth="12.6640625" defaultRowHeight="15" customHeight="1" x14ac:dyDescent="0.3"/>
  <cols>
    <col min="1" max="1" width="3.1640625" customWidth="1"/>
    <col min="2" max="2" width="26.75" customWidth="1"/>
    <col min="3" max="3" width="12.6640625" customWidth="1"/>
    <col min="4" max="4" width="24.4140625" customWidth="1"/>
    <col min="5" max="5" width="4.6640625" customWidth="1"/>
    <col min="6" max="6" width="24" customWidth="1"/>
  </cols>
  <sheetData>
    <row r="1" spans="1:18" ht="15" customHeight="1" x14ac:dyDescent="0.35">
      <c r="A1" s="1"/>
      <c r="B1" s="97"/>
      <c r="C1" s="1"/>
      <c r="D1" s="97"/>
      <c r="E1" s="97"/>
      <c r="F1" s="97"/>
    </row>
    <row r="2" spans="1:18" ht="15" customHeight="1" x14ac:dyDescent="0.35">
      <c r="A2" s="97"/>
      <c r="B2" s="2"/>
      <c r="C2" s="1"/>
      <c r="D2" s="97"/>
      <c r="E2" s="97"/>
      <c r="F2" s="2" t="s">
        <v>712</v>
      </c>
      <c r="G2" s="138">
        <v>0</v>
      </c>
      <c r="H2" s="138">
        <v>0</v>
      </c>
      <c r="I2" s="138">
        <v>0</v>
      </c>
      <c r="J2" s="138">
        <v>0</v>
      </c>
      <c r="K2" s="138">
        <v>0.05</v>
      </c>
      <c r="L2" s="138">
        <v>0.05</v>
      </c>
      <c r="M2" s="138">
        <v>0.1</v>
      </c>
      <c r="N2" s="138">
        <v>0.1</v>
      </c>
      <c r="O2" s="138">
        <v>0.15</v>
      </c>
      <c r="P2" s="138">
        <v>0.15</v>
      </c>
      <c r="Q2" s="138">
        <v>0.2</v>
      </c>
      <c r="R2" s="138">
        <v>0.2</v>
      </c>
    </row>
    <row r="3" spans="1:18" ht="15" customHeight="1" x14ac:dyDescent="0.35">
      <c r="A3" s="97"/>
      <c r="B3" s="2" t="s">
        <v>713</v>
      </c>
      <c r="C3" s="1"/>
      <c r="D3" s="97"/>
      <c r="E3" s="97"/>
      <c r="F3" s="2" t="s">
        <v>714</v>
      </c>
      <c r="G3" s="139">
        <v>46023</v>
      </c>
      <c r="H3" s="139">
        <v>46054</v>
      </c>
      <c r="I3" s="139">
        <v>46082</v>
      </c>
      <c r="J3" s="139">
        <v>46113</v>
      </c>
      <c r="K3" s="139">
        <v>46143</v>
      </c>
      <c r="L3" s="139">
        <v>46174</v>
      </c>
      <c r="M3" s="139">
        <v>46204</v>
      </c>
      <c r="N3" s="139">
        <v>46235</v>
      </c>
      <c r="O3" s="139">
        <v>46266</v>
      </c>
      <c r="P3" s="139">
        <v>46296</v>
      </c>
      <c r="Q3" s="139">
        <v>46327</v>
      </c>
      <c r="R3" s="139">
        <v>46357</v>
      </c>
    </row>
    <row r="4" spans="1:18" ht="15" customHeight="1" x14ac:dyDescent="0.35">
      <c r="A4" s="97"/>
      <c r="B4" s="1" t="s">
        <v>715</v>
      </c>
      <c r="C4" s="141">
        <v>10</v>
      </c>
      <c r="D4" s="142" t="s">
        <v>716</v>
      </c>
      <c r="E4" s="97"/>
      <c r="F4" s="1" t="s">
        <v>717</v>
      </c>
      <c r="G4" s="143">
        <f t="shared" ref="G4:R4" si="0">SUMPRODUCT($C$5:$C$7,$D$5:$D$7)*$C$4*G$2</f>
        <v>0</v>
      </c>
      <c r="H4" s="143">
        <f t="shared" si="0"/>
        <v>0</v>
      </c>
      <c r="I4" s="143">
        <f t="shared" si="0"/>
        <v>0</v>
      </c>
      <c r="J4" s="143">
        <f t="shared" si="0"/>
        <v>0</v>
      </c>
      <c r="K4" s="143">
        <f t="shared" si="0"/>
        <v>9375000</v>
      </c>
      <c r="L4" s="143">
        <f t="shared" si="0"/>
        <v>9375000</v>
      </c>
      <c r="M4" s="143">
        <f t="shared" si="0"/>
        <v>18750000</v>
      </c>
      <c r="N4" s="143">
        <f t="shared" si="0"/>
        <v>18750000</v>
      </c>
      <c r="O4" s="143">
        <f t="shared" si="0"/>
        <v>28125000</v>
      </c>
      <c r="P4" s="143">
        <f t="shared" si="0"/>
        <v>28125000</v>
      </c>
      <c r="Q4" s="143">
        <f t="shared" si="0"/>
        <v>37500000</v>
      </c>
      <c r="R4" s="143">
        <f t="shared" si="0"/>
        <v>37500000</v>
      </c>
    </row>
    <row r="5" spans="1:18" ht="15" customHeight="1" x14ac:dyDescent="0.35">
      <c r="A5" s="97"/>
      <c r="B5" s="1" t="s">
        <v>720</v>
      </c>
      <c r="C5" s="110">
        <v>20000000</v>
      </c>
      <c r="D5" s="144">
        <v>0.9</v>
      </c>
      <c r="E5" s="97"/>
      <c r="F5" s="1" t="s">
        <v>722</v>
      </c>
      <c r="G5" s="145">
        <f t="shared" ref="G5:R5" si="1">SUMPRODUCT($C$9:$C$11,$D$5:$D$7)</f>
        <v>0.20000000000000004</v>
      </c>
      <c r="H5" s="145">
        <f t="shared" si="1"/>
        <v>0.20000000000000004</v>
      </c>
      <c r="I5" s="145">
        <f t="shared" si="1"/>
        <v>0.20000000000000004</v>
      </c>
      <c r="J5" s="145">
        <f t="shared" si="1"/>
        <v>0.20000000000000004</v>
      </c>
      <c r="K5" s="145">
        <f t="shared" si="1"/>
        <v>0.20000000000000004</v>
      </c>
      <c r="L5" s="145">
        <f t="shared" si="1"/>
        <v>0.20000000000000004</v>
      </c>
      <c r="M5" s="145">
        <f t="shared" si="1"/>
        <v>0.20000000000000004</v>
      </c>
      <c r="N5" s="145">
        <f t="shared" si="1"/>
        <v>0.20000000000000004</v>
      </c>
      <c r="O5" s="145">
        <f t="shared" si="1"/>
        <v>0.20000000000000004</v>
      </c>
      <c r="P5" s="145">
        <f t="shared" si="1"/>
        <v>0.20000000000000004</v>
      </c>
      <c r="Q5" s="145">
        <f t="shared" si="1"/>
        <v>0.20000000000000004</v>
      </c>
      <c r="R5" s="145">
        <f t="shared" si="1"/>
        <v>0.20000000000000004</v>
      </c>
    </row>
    <row r="6" spans="1:18" ht="15" customHeight="1" x14ac:dyDescent="0.35">
      <c r="A6" s="97"/>
      <c r="B6" s="1" t="s">
        <v>724</v>
      </c>
      <c r="C6" s="110">
        <v>10000000</v>
      </c>
      <c r="D6" s="144">
        <v>0.05</v>
      </c>
      <c r="E6" s="97"/>
      <c r="F6" s="1" t="s">
        <v>40</v>
      </c>
      <c r="G6" s="143">
        <f t="shared" ref="G6:R6" si="2">(G4*(1-G5))</f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7499999.9999999991</v>
      </c>
      <c r="L6" s="143">
        <f t="shared" si="2"/>
        <v>7499999.9999999991</v>
      </c>
      <c r="M6" s="143">
        <f t="shared" si="2"/>
        <v>14999999.999999998</v>
      </c>
      <c r="N6" s="143">
        <f t="shared" si="2"/>
        <v>14999999.999999998</v>
      </c>
      <c r="O6" s="143">
        <f t="shared" si="2"/>
        <v>22499999.999999996</v>
      </c>
      <c r="P6" s="143">
        <f t="shared" si="2"/>
        <v>22499999.999999996</v>
      </c>
      <c r="Q6" s="143">
        <f t="shared" si="2"/>
        <v>29999999.999999996</v>
      </c>
      <c r="R6" s="143">
        <f t="shared" si="2"/>
        <v>29999999.999999996</v>
      </c>
    </row>
    <row r="7" spans="1:18" ht="15" customHeight="1" x14ac:dyDescent="0.35">
      <c r="A7" s="97"/>
      <c r="B7" s="1" t="s">
        <v>727</v>
      </c>
      <c r="C7" s="110">
        <v>5000000</v>
      </c>
      <c r="D7" s="144">
        <v>0.05</v>
      </c>
      <c r="E7" s="97"/>
      <c r="F7" s="97"/>
    </row>
    <row r="8" spans="1:18" ht="15" customHeight="1" x14ac:dyDescent="0.35">
      <c r="A8" s="97"/>
      <c r="B8" s="97"/>
      <c r="C8" s="1"/>
      <c r="D8" s="97"/>
      <c r="E8" s="97"/>
      <c r="F8" s="1" t="s">
        <v>728</v>
      </c>
      <c r="G8" s="143">
        <f t="shared" ref="G8:R8" ca="1" si="3">G4*$C$14 + IFERROR(OFFSET(G4, 0, -INT($C$13/30))*(1-$C$14), 0)</f>
        <v>0</v>
      </c>
      <c r="H8" s="143">
        <f t="shared" ca="1" si="3"/>
        <v>0</v>
      </c>
      <c r="I8" s="143">
        <f t="shared" ca="1" si="3"/>
        <v>0</v>
      </c>
      <c r="J8" s="143">
        <f t="shared" ca="1" si="3"/>
        <v>0</v>
      </c>
      <c r="K8" s="143">
        <f t="shared" ca="1" si="3"/>
        <v>4687500</v>
      </c>
      <c r="L8" s="143">
        <f t="shared" ca="1" si="3"/>
        <v>9375000</v>
      </c>
      <c r="M8" s="143">
        <f t="shared" ca="1" si="3"/>
        <v>14062500</v>
      </c>
      <c r="N8" s="143">
        <f t="shared" ca="1" si="3"/>
        <v>18750000</v>
      </c>
      <c r="O8" s="143">
        <f t="shared" ca="1" si="3"/>
        <v>23437500</v>
      </c>
      <c r="P8" s="143">
        <f t="shared" ca="1" si="3"/>
        <v>28125000</v>
      </c>
      <c r="Q8" s="143">
        <f t="shared" ca="1" si="3"/>
        <v>32812500</v>
      </c>
      <c r="R8" s="143">
        <f t="shared" ca="1" si="3"/>
        <v>37500000</v>
      </c>
    </row>
    <row r="9" spans="1:18" ht="15" customHeight="1" x14ac:dyDescent="0.35">
      <c r="A9" s="97"/>
      <c r="B9" s="1" t="s">
        <v>730</v>
      </c>
      <c r="C9" s="146">
        <v>0.2</v>
      </c>
      <c r="D9" s="97"/>
      <c r="E9" s="97"/>
      <c r="F9" s="1" t="s">
        <v>40</v>
      </c>
      <c r="G9" s="143">
        <f t="shared" ref="G9:R9" ca="1" si="4">G6*$C$17 + IFERROR(OFFSET(G6, 0, -INT($C$16/30))*(1-$C$17), 0)</f>
        <v>0</v>
      </c>
      <c r="H9" s="143">
        <f t="shared" ca="1" si="4"/>
        <v>0</v>
      </c>
      <c r="I9" s="143">
        <f t="shared" ca="1" si="4"/>
        <v>0</v>
      </c>
      <c r="J9" s="143">
        <f t="shared" ca="1" si="4"/>
        <v>0</v>
      </c>
      <c r="K9" s="143">
        <f t="shared" ca="1" si="4"/>
        <v>3749999.9999999995</v>
      </c>
      <c r="L9" s="143">
        <f t="shared" ca="1" si="4"/>
        <v>7499999.9999999991</v>
      </c>
      <c r="M9" s="143">
        <f t="shared" ca="1" si="4"/>
        <v>11249999.999999998</v>
      </c>
      <c r="N9" s="143">
        <f t="shared" ca="1" si="4"/>
        <v>14999999.999999998</v>
      </c>
      <c r="O9" s="143">
        <f t="shared" ca="1" si="4"/>
        <v>18749999.999999996</v>
      </c>
      <c r="P9" s="143">
        <f t="shared" ca="1" si="4"/>
        <v>22499999.999999996</v>
      </c>
      <c r="Q9" s="143">
        <f t="shared" ca="1" si="4"/>
        <v>26249999.999999996</v>
      </c>
      <c r="R9" s="143">
        <f t="shared" ca="1" si="4"/>
        <v>29999999.999999996</v>
      </c>
    </row>
    <row r="10" spans="1:18" ht="15" customHeight="1" x14ac:dyDescent="0.35">
      <c r="A10" s="97"/>
      <c r="B10" s="1" t="s">
        <v>732</v>
      </c>
      <c r="C10" s="146">
        <v>0.2</v>
      </c>
      <c r="D10" s="97"/>
      <c r="E10" s="97"/>
      <c r="F10" s="1" t="s">
        <v>733</v>
      </c>
      <c r="G10" s="148">
        <f t="shared" ref="G10:R10" ca="1" si="5">G8-G9</f>
        <v>0</v>
      </c>
      <c r="H10" s="148">
        <f t="shared" ca="1" si="5"/>
        <v>0</v>
      </c>
      <c r="I10" s="148">
        <f t="shared" ca="1" si="5"/>
        <v>0</v>
      </c>
      <c r="J10" s="148">
        <f t="shared" ca="1" si="5"/>
        <v>0</v>
      </c>
      <c r="K10" s="148">
        <f t="shared" ca="1" si="5"/>
        <v>937500.00000000047</v>
      </c>
      <c r="L10" s="148">
        <f t="shared" ca="1" si="5"/>
        <v>1875000.0000000009</v>
      </c>
      <c r="M10" s="148">
        <f t="shared" ca="1" si="5"/>
        <v>2812500.0000000019</v>
      </c>
      <c r="N10" s="148">
        <f t="shared" ca="1" si="5"/>
        <v>3750000.0000000019</v>
      </c>
      <c r="O10" s="148">
        <f t="shared" ca="1" si="5"/>
        <v>4687500.0000000037</v>
      </c>
      <c r="P10" s="148">
        <f t="shared" ca="1" si="5"/>
        <v>5625000.0000000037</v>
      </c>
      <c r="Q10" s="148">
        <f t="shared" ca="1" si="5"/>
        <v>6562500.0000000037</v>
      </c>
      <c r="R10" s="148">
        <f t="shared" ca="1" si="5"/>
        <v>7500000.0000000037</v>
      </c>
    </row>
    <row r="11" spans="1:18" ht="15" customHeight="1" x14ac:dyDescent="0.35">
      <c r="A11" s="97"/>
      <c r="B11" s="1" t="s">
        <v>735</v>
      </c>
      <c r="C11" s="146">
        <v>0.2</v>
      </c>
      <c r="D11" s="97"/>
      <c r="E11" s="97"/>
      <c r="F11" s="97"/>
    </row>
    <row r="12" spans="1:18" ht="15" customHeight="1" x14ac:dyDescent="0.35">
      <c r="A12" s="97"/>
      <c r="B12" s="97"/>
      <c r="C12" s="1"/>
      <c r="D12" s="97"/>
      <c r="E12" s="97"/>
      <c r="F12" s="97"/>
    </row>
    <row r="13" spans="1:18" ht="15" customHeight="1" x14ac:dyDescent="0.35">
      <c r="A13" s="97"/>
      <c r="B13" s="1" t="s">
        <v>736</v>
      </c>
      <c r="C13" s="141">
        <v>30</v>
      </c>
      <c r="D13" s="97"/>
      <c r="E13" s="97"/>
      <c r="F13" s="97"/>
    </row>
    <row r="14" spans="1:18" ht="15" customHeight="1" x14ac:dyDescent="0.35">
      <c r="A14" s="97"/>
      <c r="B14" s="1" t="s">
        <v>737</v>
      </c>
      <c r="C14" s="146">
        <v>0.5</v>
      </c>
      <c r="D14" s="97"/>
      <c r="E14" s="97"/>
      <c r="F14" s="97"/>
    </row>
    <row r="15" spans="1:18" ht="15" customHeight="1" x14ac:dyDescent="0.35">
      <c r="A15" s="97"/>
      <c r="B15" s="97"/>
      <c r="C15" s="1"/>
      <c r="D15" s="97"/>
      <c r="E15" s="97"/>
      <c r="F15" s="97"/>
    </row>
    <row r="16" spans="1:18" ht="15" customHeight="1" x14ac:dyDescent="0.35">
      <c r="A16" s="97"/>
      <c r="B16" s="1" t="s">
        <v>738</v>
      </c>
      <c r="C16" s="141">
        <v>30</v>
      </c>
      <c r="D16" s="97"/>
      <c r="E16" s="97"/>
      <c r="F16" s="97"/>
    </row>
    <row r="17" spans="1:6" ht="15" customHeight="1" x14ac:dyDescent="0.35">
      <c r="A17" s="97"/>
      <c r="B17" s="1" t="s">
        <v>739</v>
      </c>
      <c r="C17" s="146">
        <v>0.5</v>
      </c>
      <c r="D17" s="97"/>
      <c r="E17" s="97"/>
      <c r="F17" s="97"/>
    </row>
    <row r="18" spans="1:6" ht="15" customHeight="1" x14ac:dyDescent="0.35">
      <c r="A18" s="97"/>
      <c r="B18" s="150" t="s">
        <v>743</v>
      </c>
      <c r="C18" s="152">
        <v>0.1</v>
      </c>
      <c r="D18" s="1" t="s">
        <v>744</v>
      </c>
      <c r="E18" s="97"/>
      <c r="F18" s="97"/>
    </row>
    <row r="19" spans="1:6" ht="15" customHeight="1" x14ac:dyDescent="0.35">
      <c r="A19" s="97"/>
      <c r="B19" s="97"/>
      <c r="C19" s="1"/>
      <c r="D19" s="97"/>
      <c r="E19" s="97"/>
      <c r="F19" s="97"/>
    </row>
    <row r="20" spans="1:6" ht="15" customHeight="1" x14ac:dyDescent="0.35">
      <c r="A20" s="97"/>
      <c r="B20" s="1" t="s">
        <v>745</v>
      </c>
      <c r="C20" s="110">
        <v>1000000</v>
      </c>
      <c r="D20" s="97"/>
      <c r="E20" s="97"/>
      <c r="F20" s="97"/>
    </row>
    <row r="21" spans="1:6" ht="15.75" customHeight="1" x14ac:dyDescent="0.35">
      <c r="A21" s="97"/>
      <c r="B21" s="97"/>
      <c r="C21" s="1"/>
      <c r="D21" s="97"/>
      <c r="E21" s="97"/>
      <c r="F21" s="1" t="s">
        <v>747</v>
      </c>
    </row>
    <row r="22" spans="1:6" ht="15.75" customHeight="1" x14ac:dyDescent="0.35">
      <c r="A22" s="97"/>
      <c r="B22" s="97"/>
      <c r="C22" s="1"/>
      <c r="D22" s="97"/>
      <c r="E22" s="97"/>
      <c r="F22" s="97"/>
    </row>
    <row r="23" spans="1:6" ht="15.75" customHeight="1" x14ac:dyDescent="0.35">
      <c r="A23" s="97"/>
      <c r="B23" s="97"/>
      <c r="C23" s="1"/>
      <c r="D23" s="97"/>
      <c r="E23" s="97"/>
      <c r="F23" s="97"/>
    </row>
    <row r="24" spans="1:6" ht="15.75" customHeight="1" x14ac:dyDescent="0.35">
      <c r="A24" s="97"/>
      <c r="B24" s="97"/>
      <c r="C24" s="1"/>
      <c r="D24" s="97"/>
      <c r="E24" s="97"/>
      <c r="F24" s="97"/>
    </row>
    <row r="25" spans="1:6" ht="15.75" customHeight="1" x14ac:dyDescent="0.35">
      <c r="A25" s="97"/>
      <c r="B25" s="97"/>
      <c r="C25" s="1"/>
      <c r="D25" s="97"/>
      <c r="E25" s="97"/>
      <c r="F25" s="97"/>
    </row>
    <row r="26" spans="1:6" ht="15.75" customHeight="1" x14ac:dyDescent="0.35">
      <c r="A26" s="97"/>
      <c r="B26" s="97"/>
      <c r="C26" s="1"/>
      <c r="D26" s="97"/>
      <c r="E26" s="97"/>
      <c r="F26" s="97"/>
    </row>
    <row r="27" spans="1:6" ht="15.75" customHeight="1" x14ac:dyDescent="0.35">
      <c r="A27" s="97"/>
      <c r="B27" s="97"/>
      <c r="C27" s="1"/>
      <c r="D27" s="97"/>
      <c r="E27" s="97"/>
      <c r="F27" s="97"/>
    </row>
    <row r="28" spans="1:6" ht="15.75" customHeight="1" x14ac:dyDescent="0.35">
      <c r="A28" s="97"/>
      <c r="B28" s="97"/>
      <c r="C28" s="1"/>
      <c r="D28" s="97"/>
      <c r="E28" s="97"/>
      <c r="F28" s="97"/>
    </row>
    <row r="29" spans="1:6" ht="15.75" customHeight="1" x14ac:dyDescent="0.35">
      <c r="A29" s="97"/>
      <c r="B29" s="97"/>
      <c r="C29" s="1"/>
      <c r="D29" s="97"/>
      <c r="E29" s="97"/>
      <c r="F29" s="97"/>
    </row>
    <row r="30" spans="1:6" ht="15.75" customHeight="1" x14ac:dyDescent="0.35">
      <c r="A30" s="97"/>
      <c r="B30" s="97"/>
      <c r="C30" s="1"/>
      <c r="D30" s="97"/>
      <c r="E30" s="97"/>
      <c r="F30" s="97"/>
    </row>
    <row r="31" spans="1:6" ht="15.75" customHeight="1" x14ac:dyDescent="0.35">
      <c r="A31" s="97"/>
      <c r="B31" s="97"/>
      <c r="C31" s="1"/>
      <c r="D31" s="97"/>
      <c r="E31" s="97"/>
      <c r="F31" s="97"/>
    </row>
    <row r="32" spans="1:6" ht="15.75" customHeight="1" x14ac:dyDescent="0.35">
      <c r="A32" s="97"/>
      <c r="B32" s="97"/>
      <c r="C32" s="1"/>
      <c r="D32" s="97"/>
      <c r="E32" s="97"/>
      <c r="F32" s="97"/>
    </row>
    <row r="33" spans="1:6" ht="15.75" customHeight="1" x14ac:dyDescent="0.35">
      <c r="A33" s="97"/>
      <c r="B33" s="97"/>
      <c r="C33" s="1"/>
      <c r="D33" s="97"/>
      <c r="E33" s="97"/>
      <c r="F33" s="97"/>
    </row>
    <row r="34" spans="1:6" ht="15.75" customHeight="1" x14ac:dyDescent="0.35">
      <c r="A34" s="97"/>
      <c r="B34" s="97"/>
      <c r="C34" s="1"/>
      <c r="D34" s="97"/>
      <c r="E34" s="97"/>
      <c r="F34" s="97"/>
    </row>
    <row r="35" spans="1:6" ht="15.75" customHeight="1" x14ac:dyDescent="0.35">
      <c r="A35" s="97"/>
      <c r="B35" s="97"/>
      <c r="C35" s="1"/>
      <c r="D35" s="97"/>
      <c r="E35" s="97"/>
      <c r="F35" s="97"/>
    </row>
    <row r="36" spans="1:6" ht="15.75" customHeight="1" x14ac:dyDescent="0.35">
      <c r="A36" s="97"/>
      <c r="B36" s="97"/>
      <c r="C36" s="1"/>
      <c r="D36" s="97"/>
      <c r="E36" s="97"/>
      <c r="F36" s="97"/>
    </row>
    <row r="37" spans="1:6" ht="15.75" customHeight="1" x14ac:dyDescent="0.35">
      <c r="A37" s="97"/>
      <c r="B37" s="97"/>
      <c r="C37" s="1"/>
      <c r="D37" s="97"/>
      <c r="E37" s="97"/>
      <c r="F37" s="97"/>
    </row>
    <row r="38" spans="1:6" ht="15.75" customHeight="1" x14ac:dyDescent="0.35">
      <c r="A38" s="97"/>
      <c r="B38" s="97"/>
      <c r="C38" s="1"/>
      <c r="D38" s="97"/>
      <c r="E38" s="97"/>
      <c r="F38" s="97"/>
    </row>
    <row r="39" spans="1:6" ht="15.75" customHeight="1" x14ac:dyDescent="0.35">
      <c r="A39" s="97"/>
      <c r="B39" s="97"/>
      <c r="C39" s="1"/>
      <c r="D39" s="97"/>
      <c r="E39" s="97"/>
      <c r="F39" s="97"/>
    </row>
    <row r="40" spans="1:6" ht="15.75" customHeight="1" x14ac:dyDescent="0.35">
      <c r="A40" s="97"/>
      <c r="B40" s="97"/>
      <c r="C40" s="1"/>
      <c r="D40" s="97"/>
      <c r="E40" s="97"/>
      <c r="F40" s="97"/>
    </row>
    <row r="41" spans="1:6" ht="15.75" customHeight="1" x14ac:dyDescent="0.35">
      <c r="A41" s="97"/>
      <c r="B41" s="97"/>
      <c r="C41" s="1"/>
      <c r="D41" s="97"/>
      <c r="E41" s="97"/>
      <c r="F41" s="97"/>
    </row>
    <row r="42" spans="1:6" ht="15.75" customHeight="1" x14ac:dyDescent="0.35">
      <c r="A42" s="97"/>
      <c r="B42" s="97"/>
      <c r="C42" s="1"/>
      <c r="D42" s="97"/>
      <c r="E42" s="97"/>
      <c r="F42" s="97"/>
    </row>
    <row r="43" spans="1:6" ht="15.75" customHeight="1" x14ac:dyDescent="0.35">
      <c r="A43" s="97"/>
      <c r="B43" s="97"/>
      <c r="C43" s="1"/>
      <c r="D43" s="97"/>
      <c r="E43" s="97"/>
      <c r="F43" s="97"/>
    </row>
    <row r="44" spans="1:6" ht="15.75" customHeight="1" x14ac:dyDescent="0.35">
      <c r="A44" s="97"/>
      <c r="B44" s="97"/>
      <c r="C44" s="1"/>
      <c r="D44" s="97"/>
      <c r="E44" s="97"/>
      <c r="F44" s="97"/>
    </row>
    <row r="45" spans="1:6" ht="15.75" customHeight="1" x14ac:dyDescent="0.35">
      <c r="A45" s="97"/>
      <c r="B45" s="97"/>
      <c r="C45" s="1"/>
      <c r="D45" s="97"/>
      <c r="E45" s="97"/>
      <c r="F45" s="97"/>
    </row>
    <row r="46" spans="1:6" ht="15.75" customHeight="1" x14ac:dyDescent="0.35">
      <c r="A46" s="97"/>
      <c r="B46" s="97"/>
      <c r="C46" s="1"/>
      <c r="D46" s="97"/>
      <c r="E46" s="97"/>
      <c r="F46" s="97"/>
    </row>
    <row r="47" spans="1:6" ht="15.75" customHeight="1" x14ac:dyDescent="0.35">
      <c r="A47" s="97"/>
      <c r="B47" s="97"/>
      <c r="C47" s="1"/>
      <c r="D47" s="97"/>
      <c r="E47" s="97"/>
      <c r="F47" s="97"/>
    </row>
    <row r="48" spans="1:6" ht="15.75" customHeight="1" x14ac:dyDescent="0.35">
      <c r="A48" s="97"/>
      <c r="B48" s="97"/>
      <c r="C48" s="1"/>
      <c r="D48" s="97"/>
      <c r="E48" s="97"/>
      <c r="F48" s="97"/>
    </row>
    <row r="49" spans="1:6" ht="15.75" customHeight="1" x14ac:dyDescent="0.35">
      <c r="A49" s="97"/>
      <c r="B49" s="97"/>
      <c r="C49" s="1"/>
      <c r="D49" s="97"/>
      <c r="E49" s="97"/>
      <c r="F49" s="97"/>
    </row>
    <row r="50" spans="1:6" ht="15.75" customHeight="1" x14ac:dyDescent="0.35">
      <c r="A50" s="97"/>
      <c r="B50" s="97"/>
      <c r="C50" s="1"/>
      <c r="D50" s="97"/>
      <c r="E50" s="97"/>
      <c r="F50" s="97"/>
    </row>
    <row r="51" spans="1:6" ht="15.75" customHeight="1" x14ac:dyDescent="0.35">
      <c r="A51" s="97"/>
      <c r="B51" s="97"/>
      <c r="C51" s="1"/>
      <c r="D51" s="97"/>
      <c r="E51" s="97"/>
      <c r="F51" s="97"/>
    </row>
    <row r="52" spans="1:6" ht="15.75" customHeight="1" x14ac:dyDescent="0.35">
      <c r="A52" s="97"/>
      <c r="B52" s="97"/>
      <c r="C52" s="1"/>
      <c r="D52" s="97"/>
      <c r="E52" s="97"/>
      <c r="F52" s="97"/>
    </row>
    <row r="53" spans="1:6" ht="15.75" customHeight="1" x14ac:dyDescent="0.35">
      <c r="A53" s="97"/>
      <c r="B53" s="97"/>
      <c r="C53" s="1"/>
      <c r="D53" s="97"/>
      <c r="E53" s="97"/>
      <c r="F53" s="97"/>
    </row>
    <row r="54" spans="1:6" ht="15.75" customHeight="1" x14ac:dyDescent="0.35">
      <c r="A54" s="97"/>
      <c r="B54" s="97"/>
      <c r="C54" s="1"/>
      <c r="D54" s="97"/>
      <c r="E54" s="97"/>
      <c r="F54" s="97"/>
    </row>
    <row r="55" spans="1:6" ht="15.75" customHeight="1" x14ac:dyDescent="0.35">
      <c r="A55" s="97"/>
      <c r="B55" s="97"/>
      <c r="C55" s="1"/>
      <c r="D55" s="97"/>
      <c r="E55" s="97"/>
      <c r="F55" s="97"/>
    </row>
    <row r="56" spans="1:6" ht="15.75" customHeight="1" x14ac:dyDescent="0.35">
      <c r="A56" s="97"/>
      <c r="B56" s="97"/>
      <c r="C56" s="1"/>
      <c r="D56" s="97"/>
      <c r="E56" s="97"/>
      <c r="F56" s="97"/>
    </row>
    <row r="57" spans="1:6" ht="15.75" customHeight="1" x14ac:dyDescent="0.35">
      <c r="A57" s="97"/>
      <c r="B57" s="97"/>
      <c r="C57" s="1"/>
      <c r="D57" s="97"/>
      <c r="E57" s="97"/>
      <c r="F57" s="97"/>
    </row>
    <row r="58" spans="1:6" ht="15.75" customHeight="1" x14ac:dyDescent="0.35">
      <c r="A58" s="97"/>
      <c r="B58" s="97"/>
      <c r="C58" s="1"/>
      <c r="D58" s="97"/>
      <c r="E58" s="97"/>
      <c r="F58" s="97"/>
    </row>
    <row r="59" spans="1:6" ht="15.75" customHeight="1" x14ac:dyDescent="0.35">
      <c r="A59" s="97"/>
      <c r="B59" s="97"/>
      <c r="C59" s="1"/>
      <c r="D59" s="97"/>
      <c r="E59" s="97"/>
      <c r="F59" s="97"/>
    </row>
    <row r="60" spans="1:6" ht="15.75" customHeight="1" x14ac:dyDescent="0.35">
      <c r="A60" s="97"/>
      <c r="B60" s="97"/>
      <c r="C60" s="1"/>
      <c r="D60" s="97"/>
      <c r="E60" s="97"/>
      <c r="F60" s="97"/>
    </row>
    <row r="61" spans="1:6" ht="15.75" customHeight="1" x14ac:dyDescent="0.35">
      <c r="A61" s="97"/>
      <c r="B61" s="97"/>
      <c r="C61" s="1"/>
      <c r="D61" s="97"/>
      <c r="E61" s="97"/>
      <c r="F61" s="97"/>
    </row>
    <row r="62" spans="1:6" ht="15.75" customHeight="1" x14ac:dyDescent="0.35">
      <c r="A62" s="97"/>
      <c r="B62" s="97"/>
      <c r="C62" s="1"/>
      <c r="D62" s="97"/>
      <c r="E62" s="97"/>
      <c r="F62" s="97"/>
    </row>
    <row r="63" spans="1:6" ht="15.75" customHeight="1" x14ac:dyDescent="0.35">
      <c r="A63" s="97"/>
      <c r="B63" s="97"/>
      <c r="C63" s="1"/>
      <c r="D63" s="97"/>
      <c r="E63" s="97"/>
      <c r="F63" s="97"/>
    </row>
    <row r="64" spans="1:6" ht="15.75" customHeight="1" x14ac:dyDescent="0.35">
      <c r="A64" s="97"/>
      <c r="B64" s="97"/>
      <c r="C64" s="1"/>
      <c r="D64" s="97"/>
      <c r="E64" s="97"/>
      <c r="F64" s="97"/>
    </row>
    <row r="65" spans="1:6" ht="15.75" customHeight="1" x14ac:dyDescent="0.35">
      <c r="A65" s="97"/>
      <c r="B65" s="97"/>
      <c r="C65" s="1"/>
      <c r="D65" s="97"/>
      <c r="E65" s="97"/>
      <c r="F65" s="97"/>
    </row>
    <row r="66" spans="1:6" ht="15.75" customHeight="1" x14ac:dyDescent="0.35">
      <c r="A66" s="97"/>
      <c r="B66" s="97"/>
      <c r="C66" s="1"/>
      <c r="D66" s="97"/>
      <c r="E66" s="97"/>
      <c r="F66" s="97"/>
    </row>
    <row r="67" spans="1:6" ht="15.75" customHeight="1" x14ac:dyDescent="0.35">
      <c r="A67" s="97"/>
      <c r="B67" s="97"/>
      <c r="C67" s="1"/>
      <c r="D67" s="97"/>
      <c r="E67" s="97"/>
      <c r="F67" s="97"/>
    </row>
    <row r="68" spans="1:6" ht="15.75" customHeight="1" x14ac:dyDescent="0.35">
      <c r="A68" s="97"/>
      <c r="B68" s="97"/>
      <c r="C68" s="1"/>
      <c r="D68" s="97"/>
      <c r="E68" s="97"/>
      <c r="F68" s="97"/>
    </row>
    <row r="69" spans="1:6" ht="15.75" customHeight="1" x14ac:dyDescent="0.35">
      <c r="A69" s="97"/>
      <c r="B69" s="97"/>
      <c r="C69" s="1"/>
      <c r="D69" s="97"/>
      <c r="E69" s="97"/>
      <c r="F69" s="97"/>
    </row>
    <row r="70" spans="1:6" ht="15.75" customHeight="1" x14ac:dyDescent="0.35">
      <c r="A70" s="97"/>
      <c r="B70" s="97"/>
      <c r="C70" s="1"/>
      <c r="D70" s="97"/>
      <c r="E70" s="97"/>
      <c r="F70" s="97"/>
    </row>
    <row r="71" spans="1:6" ht="15.75" customHeight="1" x14ac:dyDescent="0.35">
      <c r="A71" s="97"/>
      <c r="B71" s="97"/>
      <c r="C71" s="1"/>
      <c r="D71" s="97"/>
      <c r="E71" s="97"/>
      <c r="F71" s="97"/>
    </row>
    <row r="72" spans="1:6" ht="15.75" customHeight="1" x14ac:dyDescent="0.35">
      <c r="A72" s="97"/>
      <c r="B72" s="97"/>
      <c r="C72" s="1"/>
      <c r="D72" s="97"/>
      <c r="E72" s="97"/>
      <c r="F72" s="97"/>
    </row>
    <row r="73" spans="1:6" ht="15.75" customHeight="1" x14ac:dyDescent="0.35">
      <c r="A73" s="97"/>
      <c r="B73" s="97"/>
      <c r="C73" s="1"/>
      <c r="D73" s="97"/>
      <c r="E73" s="97"/>
      <c r="F73" s="97"/>
    </row>
    <row r="74" spans="1:6" ht="15.75" customHeight="1" x14ac:dyDescent="0.35">
      <c r="A74" s="97"/>
      <c r="B74" s="97"/>
      <c r="C74" s="1"/>
      <c r="D74" s="97"/>
      <c r="E74" s="97"/>
      <c r="F74" s="97"/>
    </row>
    <row r="75" spans="1:6" ht="15.75" customHeight="1" x14ac:dyDescent="0.35">
      <c r="A75" s="97"/>
      <c r="B75" s="97"/>
      <c r="C75" s="1"/>
      <c r="D75" s="97"/>
      <c r="E75" s="97"/>
      <c r="F75" s="97"/>
    </row>
    <row r="76" spans="1:6" ht="15.75" customHeight="1" x14ac:dyDescent="0.35">
      <c r="A76" s="97"/>
      <c r="B76" s="97"/>
      <c r="C76" s="1"/>
      <c r="D76" s="97"/>
      <c r="E76" s="97"/>
      <c r="F76" s="97"/>
    </row>
    <row r="77" spans="1:6" ht="15.75" customHeight="1" x14ac:dyDescent="0.35">
      <c r="A77" s="97"/>
      <c r="B77" s="97"/>
      <c r="C77" s="1"/>
      <c r="D77" s="97"/>
      <c r="E77" s="97"/>
      <c r="F77" s="97"/>
    </row>
    <row r="78" spans="1:6" ht="15.75" customHeight="1" x14ac:dyDescent="0.35">
      <c r="A78" s="97"/>
      <c r="B78" s="97"/>
      <c r="C78" s="1"/>
      <c r="D78" s="97"/>
      <c r="E78" s="97"/>
      <c r="F78" s="97"/>
    </row>
    <row r="79" spans="1:6" ht="15.75" customHeight="1" x14ac:dyDescent="0.35">
      <c r="A79" s="97"/>
      <c r="B79" s="97"/>
      <c r="C79" s="1"/>
      <c r="D79" s="97"/>
      <c r="E79" s="97"/>
      <c r="F79" s="97"/>
    </row>
    <row r="80" spans="1:6" ht="15.75" customHeight="1" x14ac:dyDescent="0.35">
      <c r="A80" s="97"/>
      <c r="B80" s="97"/>
      <c r="C80" s="1"/>
      <c r="D80" s="97"/>
      <c r="E80" s="97"/>
      <c r="F80" s="97"/>
    </row>
    <row r="81" spans="1:6" ht="15.75" customHeight="1" x14ac:dyDescent="0.35">
      <c r="A81" s="97"/>
      <c r="B81" s="97"/>
      <c r="C81" s="1"/>
      <c r="D81" s="97"/>
      <c r="E81" s="97"/>
      <c r="F81" s="97"/>
    </row>
    <row r="82" spans="1:6" ht="15.75" customHeight="1" x14ac:dyDescent="0.35">
      <c r="A82" s="97"/>
      <c r="B82" s="97"/>
      <c r="C82" s="1"/>
      <c r="D82" s="97"/>
      <c r="E82" s="97"/>
      <c r="F82" s="97"/>
    </row>
    <row r="83" spans="1:6" ht="15.75" customHeight="1" x14ac:dyDescent="0.35">
      <c r="A83" s="97"/>
      <c r="B83" s="97"/>
      <c r="C83" s="1"/>
      <c r="D83" s="97"/>
      <c r="E83" s="97"/>
      <c r="F83" s="97"/>
    </row>
    <row r="84" spans="1:6" ht="15.75" customHeight="1" x14ac:dyDescent="0.35">
      <c r="A84" s="97"/>
      <c r="B84" s="97"/>
      <c r="C84" s="1"/>
      <c r="D84" s="97"/>
      <c r="E84" s="97"/>
      <c r="F84" s="97"/>
    </row>
    <row r="85" spans="1:6" ht="15.75" customHeight="1" x14ac:dyDescent="0.35">
      <c r="A85" s="97"/>
      <c r="B85" s="97"/>
      <c r="C85" s="1"/>
      <c r="D85" s="97"/>
      <c r="E85" s="97"/>
      <c r="F85" s="97"/>
    </row>
    <row r="86" spans="1:6" ht="15.75" customHeight="1" x14ac:dyDescent="0.35">
      <c r="A86" s="97"/>
      <c r="B86" s="97"/>
      <c r="C86" s="1"/>
      <c r="D86" s="97"/>
      <c r="E86" s="97"/>
      <c r="F86" s="97"/>
    </row>
    <row r="87" spans="1:6" ht="15.75" customHeight="1" x14ac:dyDescent="0.35">
      <c r="A87" s="97"/>
      <c r="B87" s="97"/>
      <c r="C87" s="1"/>
      <c r="D87" s="97"/>
      <c r="E87" s="97"/>
      <c r="F87" s="97"/>
    </row>
    <row r="88" spans="1:6" ht="15.75" customHeight="1" x14ac:dyDescent="0.35">
      <c r="A88" s="97"/>
      <c r="B88" s="97"/>
      <c r="C88" s="1"/>
      <c r="D88" s="97"/>
      <c r="E88" s="97"/>
      <c r="F88" s="97"/>
    </row>
    <row r="89" spans="1:6" ht="15.75" customHeight="1" x14ac:dyDescent="0.35">
      <c r="A89" s="97"/>
      <c r="B89" s="97"/>
      <c r="C89" s="1"/>
      <c r="D89" s="97"/>
      <c r="E89" s="97"/>
      <c r="F89" s="97"/>
    </row>
    <row r="90" spans="1:6" ht="15.75" customHeight="1" x14ac:dyDescent="0.35">
      <c r="A90" s="97"/>
      <c r="B90" s="97"/>
      <c r="C90" s="1"/>
      <c r="D90" s="97"/>
      <c r="E90" s="97"/>
      <c r="F90" s="97"/>
    </row>
    <row r="91" spans="1:6" ht="15.75" customHeight="1" x14ac:dyDescent="0.35">
      <c r="A91" s="97"/>
      <c r="B91" s="97"/>
      <c r="C91" s="1"/>
      <c r="D91" s="97"/>
      <c r="E91" s="97"/>
      <c r="F91" s="97"/>
    </row>
    <row r="92" spans="1:6" ht="15.75" customHeight="1" x14ac:dyDescent="0.35">
      <c r="A92" s="97"/>
      <c r="B92" s="97"/>
      <c r="C92" s="1"/>
      <c r="D92" s="97"/>
      <c r="E92" s="97"/>
      <c r="F92" s="97"/>
    </row>
    <row r="93" spans="1:6" ht="15.75" customHeight="1" x14ac:dyDescent="0.35">
      <c r="A93" s="97"/>
      <c r="B93" s="97"/>
      <c r="C93" s="1"/>
      <c r="D93" s="97"/>
      <c r="E93" s="97"/>
      <c r="F93" s="97"/>
    </row>
    <row r="94" spans="1:6" ht="15.75" customHeight="1" x14ac:dyDescent="0.35">
      <c r="A94" s="97"/>
      <c r="B94" s="97"/>
      <c r="C94" s="1"/>
      <c r="D94" s="97"/>
      <c r="E94" s="97"/>
      <c r="F94" s="97"/>
    </row>
    <row r="95" spans="1:6" ht="15.75" customHeight="1" x14ac:dyDescent="0.35">
      <c r="A95" s="97"/>
      <c r="B95" s="97"/>
      <c r="C95" s="1"/>
      <c r="D95" s="97"/>
      <c r="E95" s="97"/>
      <c r="F95" s="97"/>
    </row>
    <row r="96" spans="1:6" ht="15.75" customHeight="1" x14ac:dyDescent="0.35">
      <c r="A96" s="97"/>
      <c r="B96" s="97"/>
      <c r="C96" s="1"/>
      <c r="D96" s="97"/>
      <c r="E96" s="97"/>
      <c r="F96" s="97"/>
    </row>
    <row r="97" spans="1:6" ht="15.75" customHeight="1" x14ac:dyDescent="0.35">
      <c r="A97" s="97"/>
      <c r="B97" s="97"/>
      <c r="C97" s="1"/>
      <c r="D97" s="97"/>
      <c r="E97" s="97"/>
      <c r="F97" s="97"/>
    </row>
    <row r="98" spans="1:6" ht="15.75" customHeight="1" x14ac:dyDescent="0.35">
      <c r="A98" s="97"/>
      <c r="B98" s="97"/>
      <c r="C98" s="1"/>
      <c r="D98" s="97"/>
      <c r="E98" s="97"/>
      <c r="F98" s="97"/>
    </row>
    <row r="99" spans="1:6" ht="15.75" customHeight="1" x14ac:dyDescent="0.35">
      <c r="A99" s="97"/>
      <c r="B99" s="97"/>
      <c r="C99" s="1"/>
      <c r="D99" s="97"/>
      <c r="E99" s="97"/>
      <c r="F99" s="97"/>
    </row>
    <row r="100" spans="1:6" ht="15.75" customHeight="1" x14ac:dyDescent="0.35">
      <c r="A100" s="97"/>
      <c r="B100" s="97"/>
      <c r="C100" s="1"/>
      <c r="D100" s="97"/>
      <c r="E100" s="97"/>
      <c r="F100" s="97"/>
    </row>
    <row r="101" spans="1:6" ht="15.75" customHeight="1" x14ac:dyDescent="0.35">
      <c r="A101" s="97"/>
      <c r="B101" s="97"/>
      <c r="C101" s="1"/>
      <c r="D101" s="97"/>
      <c r="E101" s="97"/>
      <c r="F101" s="97"/>
    </row>
    <row r="102" spans="1:6" ht="15.75" customHeight="1" x14ac:dyDescent="0.35">
      <c r="A102" s="97"/>
      <c r="B102" s="97"/>
      <c r="C102" s="1"/>
      <c r="D102" s="97"/>
      <c r="E102" s="97"/>
      <c r="F102" s="97"/>
    </row>
    <row r="103" spans="1:6" ht="15.75" customHeight="1" x14ac:dyDescent="0.35">
      <c r="A103" s="97"/>
      <c r="B103" s="97"/>
      <c r="C103" s="1"/>
      <c r="D103" s="97"/>
      <c r="E103" s="97"/>
      <c r="F103" s="97"/>
    </row>
    <row r="104" spans="1:6" ht="15.75" customHeight="1" x14ac:dyDescent="0.35">
      <c r="A104" s="97"/>
      <c r="B104" s="97"/>
      <c r="C104" s="1"/>
      <c r="D104" s="97"/>
      <c r="E104" s="97"/>
      <c r="F104" s="97"/>
    </row>
    <row r="105" spans="1:6" ht="15.75" customHeight="1" x14ac:dyDescent="0.35">
      <c r="A105" s="97"/>
      <c r="B105" s="97"/>
      <c r="C105" s="1"/>
      <c r="D105" s="97"/>
      <c r="E105" s="97"/>
      <c r="F105" s="97"/>
    </row>
    <row r="106" spans="1:6" ht="15.75" customHeight="1" x14ac:dyDescent="0.35">
      <c r="A106" s="97"/>
      <c r="B106" s="97"/>
      <c r="C106" s="1"/>
      <c r="D106" s="97"/>
      <c r="E106" s="97"/>
      <c r="F106" s="97"/>
    </row>
    <row r="107" spans="1:6" ht="15.75" customHeight="1" x14ac:dyDescent="0.35">
      <c r="A107" s="97"/>
      <c r="B107" s="97"/>
      <c r="C107" s="1"/>
      <c r="D107" s="97"/>
      <c r="E107" s="97"/>
      <c r="F107" s="97"/>
    </row>
    <row r="108" spans="1:6" ht="15.75" customHeight="1" x14ac:dyDescent="0.35">
      <c r="A108" s="97"/>
      <c r="B108" s="97"/>
      <c r="C108" s="1"/>
      <c r="D108" s="97"/>
      <c r="E108" s="97"/>
      <c r="F108" s="97"/>
    </row>
    <row r="109" spans="1:6" ht="15.75" customHeight="1" x14ac:dyDescent="0.35">
      <c r="A109" s="97"/>
      <c r="B109" s="97"/>
      <c r="C109" s="1"/>
      <c r="D109" s="97"/>
      <c r="E109" s="97"/>
      <c r="F109" s="97"/>
    </row>
    <row r="110" spans="1:6" ht="15.75" customHeight="1" x14ac:dyDescent="0.35">
      <c r="A110" s="97"/>
      <c r="B110" s="97"/>
      <c r="C110" s="1"/>
      <c r="D110" s="97"/>
      <c r="E110" s="97"/>
      <c r="F110" s="97"/>
    </row>
    <row r="111" spans="1:6" ht="15.75" customHeight="1" x14ac:dyDescent="0.35">
      <c r="A111" s="97"/>
      <c r="B111" s="97"/>
      <c r="C111" s="1"/>
      <c r="D111" s="97"/>
      <c r="E111" s="97"/>
      <c r="F111" s="97"/>
    </row>
    <row r="112" spans="1:6" ht="15.75" customHeight="1" x14ac:dyDescent="0.35">
      <c r="A112" s="97"/>
      <c r="B112" s="97"/>
      <c r="C112" s="1"/>
      <c r="D112" s="97"/>
      <c r="E112" s="97"/>
      <c r="F112" s="97"/>
    </row>
    <row r="113" spans="1:6" ht="15.75" customHeight="1" x14ac:dyDescent="0.35">
      <c r="A113" s="97"/>
      <c r="B113" s="97"/>
      <c r="C113" s="1"/>
      <c r="D113" s="97"/>
      <c r="E113" s="97"/>
      <c r="F113" s="97"/>
    </row>
    <row r="114" spans="1:6" ht="15.75" customHeight="1" x14ac:dyDescent="0.35">
      <c r="A114" s="97"/>
      <c r="B114" s="97"/>
      <c r="C114" s="1"/>
      <c r="D114" s="97"/>
      <c r="E114" s="97"/>
      <c r="F114" s="97"/>
    </row>
    <row r="115" spans="1:6" ht="15.75" customHeight="1" x14ac:dyDescent="0.35">
      <c r="A115" s="97"/>
      <c r="B115" s="97"/>
      <c r="C115" s="1"/>
      <c r="D115" s="97"/>
      <c r="E115" s="97"/>
      <c r="F115" s="97"/>
    </row>
    <row r="116" spans="1:6" ht="15.75" customHeight="1" x14ac:dyDescent="0.35">
      <c r="A116" s="97"/>
      <c r="B116" s="97"/>
      <c r="C116" s="1"/>
      <c r="D116" s="97"/>
      <c r="E116" s="97"/>
      <c r="F116" s="97"/>
    </row>
    <row r="117" spans="1:6" ht="15.75" customHeight="1" x14ac:dyDescent="0.35">
      <c r="A117" s="97"/>
      <c r="B117" s="97"/>
      <c r="C117" s="1"/>
      <c r="D117" s="97"/>
      <c r="E117" s="97"/>
      <c r="F117" s="97"/>
    </row>
    <row r="118" spans="1:6" ht="15.75" customHeight="1" x14ac:dyDescent="0.35">
      <c r="A118" s="97"/>
      <c r="B118" s="97"/>
      <c r="C118" s="1"/>
      <c r="D118" s="97"/>
      <c r="E118" s="97"/>
      <c r="F118" s="97"/>
    </row>
    <row r="119" spans="1:6" ht="15.75" customHeight="1" x14ac:dyDescent="0.35">
      <c r="A119" s="97"/>
      <c r="B119" s="97"/>
      <c r="C119" s="1"/>
      <c r="D119" s="97"/>
      <c r="E119" s="97"/>
      <c r="F119" s="97"/>
    </row>
    <row r="120" spans="1:6" ht="15.75" customHeight="1" x14ac:dyDescent="0.35">
      <c r="A120" s="97"/>
      <c r="B120" s="97"/>
      <c r="C120" s="1"/>
      <c r="D120" s="97"/>
      <c r="E120" s="97"/>
      <c r="F120" s="97"/>
    </row>
    <row r="121" spans="1:6" ht="15.75" customHeight="1" x14ac:dyDescent="0.35">
      <c r="A121" s="97"/>
      <c r="B121" s="97"/>
      <c r="C121" s="1"/>
      <c r="D121" s="97"/>
      <c r="E121" s="97"/>
      <c r="F121" s="97"/>
    </row>
    <row r="122" spans="1:6" ht="15.75" customHeight="1" x14ac:dyDescent="0.35">
      <c r="A122" s="97"/>
      <c r="B122" s="97"/>
      <c r="C122" s="1"/>
      <c r="D122" s="97"/>
      <c r="E122" s="97"/>
      <c r="F122" s="97"/>
    </row>
    <row r="123" spans="1:6" ht="15.75" customHeight="1" x14ac:dyDescent="0.35">
      <c r="A123" s="97"/>
      <c r="B123" s="97"/>
      <c r="C123" s="1"/>
      <c r="D123" s="97"/>
      <c r="E123" s="97"/>
      <c r="F123" s="97"/>
    </row>
    <row r="124" spans="1:6" ht="15.75" customHeight="1" x14ac:dyDescent="0.35">
      <c r="A124" s="97"/>
      <c r="B124" s="97"/>
      <c r="C124" s="1"/>
      <c r="D124" s="97"/>
      <c r="E124" s="97"/>
      <c r="F124" s="97"/>
    </row>
    <row r="125" spans="1:6" ht="15.75" customHeight="1" x14ac:dyDescent="0.35">
      <c r="A125" s="97"/>
      <c r="B125" s="97"/>
      <c r="C125" s="1"/>
      <c r="D125" s="97"/>
      <c r="E125" s="97"/>
      <c r="F125" s="97"/>
    </row>
    <row r="126" spans="1:6" ht="15.75" customHeight="1" x14ac:dyDescent="0.35">
      <c r="A126" s="97"/>
      <c r="B126" s="97"/>
      <c r="C126" s="1"/>
      <c r="D126" s="97"/>
      <c r="E126" s="97"/>
      <c r="F126" s="97"/>
    </row>
    <row r="127" spans="1:6" ht="15.75" customHeight="1" x14ac:dyDescent="0.35">
      <c r="A127" s="97"/>
      <c r="B127" s="97"/>
      <c r="C127" s="1"/>
      <c r="D127" s="97"/>
      <c r="E127" s="97"/>
      <c r="F127" s="97"/>
    </row>
    <row r="128" spans="1:6" ht="15.75" customHeight="1" x14ac:dyDescent="0.35">
      <c r="A128" s="97"/>
      <c r="B128" s="97"/>
      <c r="C128" s="1"/>
      <c r="D128" s="97"/>
      <c r="E128" s="97"/>
      <c r="F128" s="97"/>
    </row>
    <row r="129" spans="1:6" ht="15.75" customHeight="1" x14ac:dyDescent="0.35">
      <c r="A129" s="97"/>
      <c r="B129" s="97"/>
      <c r="C129" s="1"/>
      <c r="D129" s="97"/>
      <c r="E129" s="97"/>
      <c r="F129" s="97"/>
    </row>
    <row r="130" spans="1:6" ht="15.75" customHeight="1" x14ac:dyDescent="0.35">
      <c r="A130" s="97"/>
      <c r="B130" s="97"/>
      <c r="C130" s="1"/>
      <c r="D130" s="97"/>
      <c r="E130" s="97"/>
      <c r="F130" s="97"/>
    </row>
    <row r="131" spans="1:6" ht="15.75" customHeight="1" x14ac:dyDescent="0.35">
      <c r="A131" s="97"/>
      <c r="B131" s="97"/>
      <c r="C131" s="1"/>
      <c r="D131" s="97"/>
      <c r="E131" s="97"/>
      <c r="F131" s="97"/>
    </row>
    <row r="132" spans="1:6" ht="15.75" customHeight="1" x14ac:dyDescent="0.35">
      <c r="A132" s="97"/>
      <c r="B132" s="97"/>
      <c r="C132" s="1"/>
      <c r="D132" s="97"/>
      <c r="E132" s="97"/>
      <c r="F132" s="97"/>
    </row>
    <row r="133" spans="1:6" ht="15.75" customHeight="1" x14ac:dyDescent="0.35">
      <c r="A133" s="97"/>
      <c r="B133" s="97"/>
      <c r="C133" s="1"/>
      <c r="D133" s="97"/>
      <c r="E133" s="97"/>
      <c r="F133" s="97"/>
    </row>
    <row r="134" spans="1:6" ht="15.75" customHeight="1" x14ac:dyDescent="0.35">
      <c r="A134" s="97"/>
      <c r="B134" s="97"/>
      <c r="C134" s="1"/>
      <c r="D134" s="97"/>
      <c r="E134" s="97"/>
      <c r="F134" s="97"/>
    </row>
    <row r="135" spans="1:6" ht="15.75" customHeight="1" x14ac:dyDescent="0.35">
      <c r="A135" s="97"/>
      <c r="B135" s="97"/>
      <c r="C135" s="1"/>
      <c r="D135" s="97"/>
      <c r="E135" s="97"/>
      <c r="F135" s="97"/>
    </row>
    <row r="136" spans="1:6" ht="15.75" customHeight="1" x14ac:dyDescent="0.35">
      <c r="A136" s="97"/>
      <c r="B136" s="97"/>
      <c r="C136" s="1"/>
      <c r="D136" s="97"/>
      <c r="E136" s="97"/>
      <c r="F136" s="97"/>
    </row>
    <row r="137" spans="1:6" ht="15.75" customHeight="1" x14ac:dyDescent="0.35">
      <c r="A137" s="97"/>
      <c r="B137" s="97"/>
      <c r="C137" s="1"/>
      <c r="D137" s="97"/>
      <c r="E137" s="97"/>
      <c r="F137" s="97"/>
    </row>
    <row r="138" spans="1:6" ht="15.75" customHeight="1" x14ac:dyDescent="0.35">
      <c r="A138" s="97"/>
      <c r="B138" s="97"/>
      <c r="C138" s="1"/>
      <c r="D138" s="97"/>
      <c r="E138" s="97"/>
      <c r="F138" s="97"/>
    </row>
    <row r="139" spans="1:6" ht="15.75" customHeight="1" x14ac:dyDescent="0.35">
      <c r="A139" s="97"/>
      <c r="B139" s="97"/>
      <c r="C139" s="1"/>
      <c r="D139" s="97"/>
      <c r="E139" s="97"/>
      <c r="F139" s="97"/>
    </row>
    <row r="140" spans="1:6" ht="15.75" customHeight="1" x14ac:dyDescent="0.35">
      <c r="A140" s="97"/>
      <c r="B140" s="97"/>
      <c r="C140" s="1"/>
      <c r="D140" s="97"/>
      <c r="E140" s="97"/>
      <c r="F140" s="97"/>
    </row>
    <row r="141" spans="1:6" ht="15.75" customHeight="1" x14ac:dyDescent="0.35">
      <c r="A141" s="97"/>
      <c r="B141" s="97"/>
      <c r="C141" s="1"/>
      <c r="D141" s="97"/>
      <c r="E141" s="97"/>
      <c r="F141" s="97"/>
    </row>
    <row r="142" spans="1:6" ht="15.75" customHeight="1" x14ac:dyDescent="0.35">
      <c r="A142" s="97"/>
      <c r="B142" s="97"/>
      <c r="C142" s="1"/>
      <c r="D142" s="97"/>
      <c r="E142" s="97"/>
      <c r="F142" s="97"/>
    </row>
    <row r="143" spans="1:6" ht="15.75" customHeight="1" x14ac:dyDescent="0.35">
      <c r="A143" s="97"/>
      <c r="B143" s="97"/>
      <c r="C143" s="1"/>
      <c r="D143" s="97"/>
      <c r="E143" s="97"/>
      <c r="F143" s="97"/>
    </row>
    <row r="144" spans="1:6" ht="15.75" customHeight="1" x14ac:dyDescent="0.35">
      <c r="A144" s="97"/>
      <c r="B144" s="97"/>
      <c r="C144" s="1"/>
      <c r="D144" s="97"/>
      <c r="E144" s="97"/>
      <c r="F144" s="97"/>
    </row>
    <row r="145" spans="1:6" ht="15.75" customHeight="1" x14ac:dyDescent="0.35">
      <c r="A145" s="97"/>
      <c r="B145" s="97"/>
      <c r="C145" s="1"/>
      <c r="D145" s="97"/>
      <c r="E145" s="97"/>
      <c r="F145" s="97"/>
    </row>
    <row r="146" spans="1:6" ht="15.75" customHeight="1" x14ac:dyDescent="0.35">
      <c r="A146" s="97"/>
      <c r="B146" s="97"/>
      <c r="C146" s="1"/>
      <c r="D146" s="97"/>
      <c r="E146" s="97"/>
      <c r="F146" s="97"/>
    </row>
    <row r="147" spans="1:6" ht="15.75" customHeight="1" x14ac:dyDescent="0.35">
      <c r="A147" s="97"/>
      <c r="B147" s="97"/>
      <c r="C147" s="1"/>
      <c r="D147" s="97"/>
      <c r="E147" s="97"/>
      <c r="F147" s="97"/>
    </row>
    <row r="148" spans="1:6" ht="15.75" customHeight="1" x14ac:dyDescent="0.35">
      <c r="A148" s="97"/>
      <c r="B148" s="97"/>
      <c r="C148" s="1"/>
      <c r="D148" s="97"/>
      <c r="E148" s="97"/>
      <c r="F148" s="97"/>
    </row>
    <row r="149" spans="1:6" ht="15.75" customHeight="1" x14ac:dyDescent="0.35">
      <c r="A149" s="97"/>
      <c r="B149" s="97"/>
      <c r="C149" s="1"/>
      <c r="D149" s="97"/>
      <c r="E149" s="97"/>
      <c r="F149" s="97"/>
    </row>
    <row r="150" spans="1:6" ht="15.75" customHeight="1" x14ac:dyDescent="0.35">
      <c r="A150" s="97"/>
      <c r="B150" s="97"/>
      <c r="C150" s="1"/>
      <c r="D150" s="97"/>
      <c r="E150" s="97"/>
      <c r="F150" s="97"/>
    </row>
    <row r="151" spans="1:6" ht="15.75" customHeight="1" x14ac:dyDescent="0.35">
      <c r="A151" s="97"/>
      <c r="B151" s="97"/>
      <c r="C151" s="1"/>
      <c r="D151" s="97"/>
      <c r="E151" s="97"/>
      <c r="F151" s="97"/>
    </row>
    <row r="152" spans="1:6" ht="15.75" customHeight="1" x14ac:dyDescent="0.35">
      <c r="A152" s="97"/>
      <c r="B152" s="97"/>
      <c r="C152" s="1"/>
      <c r="D152" s="97"/>
      <c r="E152" s="97"/>
      <c r="F152" s="97"/>
    </row>
    <row r="153" spans="1:6" ht="15.75" customHeight="1" x14ac:dyDescent="0.35">
      <c r="A153" s="97"/>
      <c r="B153" s="97"/>
      <c r="C153" s="1"/>
      <c r="D153" s="97"/>
      <c r="E153" s="97"/>
      <c r="F153" s="97"/>
    </row>
    <row r="154" spans="1:6" ht="15.75" customHeight="1" x14ac:dyDescent="0.35">
      <c r="A154" s="97"/>
      <c r="B154" s="97"/>
      <c r="C154" s="1"/>
      <c r="D154" s="97"/>
      <c r="E154" s="97"/>
      <c r="F154" s="97"/>
    </row>
    <row r="155" spans="1:6" ht="15.75" customHeight="1" x14ac:dyDescent="0.35">
      <c r="A155" s="97"/>
      <c r="B155" s="97"/>
      <c r="C155" s="1"/>
      <c r="D155" s="97"/>
      <c r="E155" s="97"/>
      <c r="F155" s="97"/>
    </row>
    <row r="156" spans="1:6" ht="15.75" customHeight="1" x14ac:dyDescent="0.35">
      <c r="A156" s="97"/>
      <c r="B156" s="97"/>
      <c r="C156" s="1"/>
      <c r="D156" s="97"/>
      <c r="E156" s="97"/>
      <c r="F156" s="97"/>
    </row>
    <row r="157" spans="1:6" ht="15.75" customHeight="1" x14ac:dyDescent="0.35">
      <c r="A157" s="97"/>
      <c r="B157" s="97"/>
      <c r="C157" s="1"/>
      <c r="D157" s="97"/>
      <c r="E157" s="97"/>
      <c r="F157" s="97"/>
    </row>
    <row r="158" spans="1:6" ht="15.75" customHeight="1" x14ac:dyDescent="0.35">
      <c r="A158" s="97"/>
      <c r="B158" s="97"/>
      <c r="C158" s="1"/>
      <c r="D158" s="97"/>
      <c r="E158" s="97"/>
      <c r="F158" s="97"/>
    </row>
    <row r="159" spans="1:6" ht="15.75" customHeight="1" x14ac:dyDescent="0.35">
      <c r="A159" s="97"/>
      <c r="B159" s="97"/>
      <c r="C159" s="1"/>
      <c r="D159" s="97"/>
      <c r="E159" s="97"/>
      <c r="F159" s="97"/>
    </row>
    <row r="160" spans="1:6" ht="15.75" customHeight="1" x14ac:dyDescent="0.35">
      <c r="A160" s="97"/>
      <c r="B160" s="97"/>
      <c r="C160" s="1"/>
      <c r="D160" s="97"/>
      <c r="E160" s="97"/>
      <c r="F160" s="97"/>
    </row>
    <row r="161" spans="1:6" ht="15.75" customHeight="1" x14ac:dyDescent="0.35">
      <c r="A161" s="97"/>
      <c r="B161" s="97"/>
      <c r="C161" s="1"/>
      <c r="D161" s="97"/>
      <c r="E161" s="97"/>
      <c r="F161" s="97"/>
    </row>
    <row r="162" spans="1:6" ht="15.75" customHeight="1" x14ac:dyDescent="0.35">
      <c r="A162" s="97"/>
      <c r="B162" s="97"/>
      <c r="C162" s="1"/>
      <c r="D162" s="97"/>
      <c r="E162" s="97"/>
      <c r="F162" s="97"/>
    </row>
    <row r="163" spans="1:6" ht="15.75" customHeight="1" x14ac:dyDescent="0.35">
      <c r="A163" s="97"/>
      <c r="B163" s="97"/>
      <c r="C163" s="1"/>
      <c r="D163" s="97"/>
      <c r="E163" s="97"/>
      <c r="F163" s="97"/>
    </row>
    <row r="164" spans="1:6" ht="15.75" customHeight="1" x14ac:dyDescent="0.35">
      <c r="A164" s="97"/>
      <c r="B164" s="97"/>
      <c r="C164" s="1"/>
      <c r="D164" s="97"/>
      <c r="E164" s="97"/>
      <c r="F164" s="97"/>
    </row>
    <row r="165" spans="1:6" ht="15.75" customHeight="1" x14ac:dyDescent="0.35">
      <c r="A165" s="97"/>
      <c r="B165" s="97"/>
      <c r="C165" s="1"/>
      <c r="D165" s="97"/>
      <c r="E165" s="97"/>
      <c r="F165" s="97"/>
    </row>
    <row r="166" spans="1:6" ht="15.75" customHeight="1" x14ac:dyDescent="0.35">
      <c r="A166" s="97"/>
      <c r="B166" s="97"/>
      <c r="C166" s="1"/>
      <c r="D166" s="97"/>
      <c r="E166" s="97"/>
      <c r="F166" s="97"/>
    </row>
    <row r="167" spans="1:6" ht="15.75" customHeight="1" x14ac:dyDescent="0.35">
      <c r="A167" s="97"/>
      <c r="B167" s="97"/>
      <c r="C167" s="1"/>
      <c r="D167" s="97"/>
      <c r="E167" s="97"/>
      <c r="F167" s="97"/>
    </row>
    <row r="168" spans="1:6" ht="15.75" customHeight="1" x14ac:dyDescent="0.35">
      <c r="A168" s="97"/>
      <c r="B168" s="97"/>
      <c r="C168" s="1"/>
      <c r="D168" s="97"/>
      <c r="E168" s="97"/>
      <c r="F168" s="97"/>
    </row>
    <row r="169" spans="1:6" ht="15.75" customHeight="1" x14ac:dyDescent="0.35">
      <c r="A169" s="97"/>
      <c r="B169" s="97"/>
      <c r="C169" s="1"/>
      <c r="D169" s="97"/>
      <c r="E169" s="97"/>
      <c r="F169" s="97"/>
    </row>
    <row r="170" spans="1:6" ht="15.75" customHeight="1" x14ac:dyDescent="0.35">
      <c r="A170" s="97"/>
      <c r="B170" s="97"/>
      <c r="C170" s="1"/>
      <c r="D170" s="97"/>
      <c r="E170" s="97"/>
      <c r="F170" s="97"/>
    </row>
    <row r="171" spans="1:6" ht="15.75" customHeight="1" x14ac:dyDescent="0.35">
      <c r="A171" s="97"/>
      <c r="B171" s="97"/>
      <c r="C171" s="1"/>
      <c r="D171" s="97"/>
      <c r="E171" s="97"/>
      <c r="F171" s="97"/>
    </row>
    <row r="172" spans="1:6" ht="15.75" customHeight="1" x14ac:dyDescent="0.35">
      <c r="A172" s="97"/>
      <c r="B172" s="97"/>
      <c r="C172" s="1"/>
      <c r="D172" s="97"/>
      <c r="E172" s="97"/>
      <c r="F172" s="97"/>
    </row>
    <row r="173" spans="1:6" ht="15.75" customHeight="1" x14ac:dyDescent="0.35">
      <c r="A173" s="97"/>
      <c r="B173" s="97"/>
      <c r="C173" s="1"/>
      <c r="D173" s="97"/>
      <c r="E173" s="97"/>
      <c r="F173" s="97"/>
    </row>
    <row r="174" spans="1:6" ht="15.75" customHeight="1" x14ac:dyDescent="0.35">
      <c r="A174" s="97"/>
      <c r="B174" s="97"/>
      <c r="C174" s="1"/>
      <c r="D174" s="97"/>
      <c r="E174" s="97"/>
      <c r="F174" s="97"/>
    </row>
    <row r="175" spans="1:6" ht="15.75" customHeight="1" x14ac:dyDescent="0.35">
      <c r="A175" s="97"/>
      <c r="B175" s="97"/>
      <c r="C175" s="1"/>
      <c r="D175" s="97"/>
      <c r="E175" s="97"/>
      <c r="F175" s="97"/>
    </row>
    <row r="176" spans="1:6" ht="15.75" customHeight="1" x14ac:dyDescent="0.35">
      <c r="A176" s="97"/>
      <c r="B176" s="97"/>
      <c r="C176" s="1"/>
      <c r="D176" s="97"/>
      <c r="E176" s="97"/>
      <c r="F176" s="97"/>
    </row>
    <row r="177" spans="1:6" ht="15.75" customHeight="1" x14ac:dyDescent="0.35">
      <c r="A177" s="97"/>
      <c r="B177" s="97"/>
      <c r="C177" s="1"/>
      <c r="D177" s="97"/>
      <c r="E177" s="97"/>
      <c r="F177" s="97"/>
    </row>
    <row r="178" spans="1:6" ht="15.75" customHeight="1" x14ac:dyDescent="0.35">
      <c r="A178" s="97"/>
      <c r="B178" s="97"/>
      <c r="C178" s="1"/>
      <c r="D178" s="97"/>
      <c r="E178" s="97"/>
      <c r="F178" s="97"/>
    </row>
    <row r="179" spans="1:6" ht="15.75" customHeight="1" x14ac:dyDescent="0.35">
      <c r="A179" s="97"/>
      <c r="B179" s="97"/>
      <c r="C179" s="1"/>
      <c r="D179" s="97"/>
      <c r="E179" s="97"/>
      <c r="F179" s="97"/>
    </row>
    <row r="180" spans="1:6" ht="15.75" customHeight="1" x14ac:dyDescent="0.35">
      <c r="A180" s="97"/>
      <c r="B180" s="97"/>
      <c r="C180" s="1"/>
      <c r="D180" s="97"/>
      <c r="E180" s="97"/>
      <c r="F180" s="97"/>
    </row>
    <row r="181" spans="1:6" ht="15.75" customHeight="1" x14ac:dyDescent="0.35">
      <c r="A181" s="97"/>
      <c r="B181" s="97"/>
      <c r="C181" s="1"/>
      <c r="D181" s="97"/>
      <c r="E181" s="97"/>
      <c r="F181" s="97"/>
    </row>
    <row r="182" spans="1:6" ht="15.75" customHeight="1" x14ac:dyDescent="0.35">
      <c r="A182" s="97"/>
      <c r="B182" s="97"/>
      <c r="C182" s="1"/>
      <c r="D182" s="97"/>
      <c r="E182" s="97"/>
      <c r="F182" s="97"/>
    </row>
    <row r="183" spans="1:6" ht="15.75" customHeight="1" x14ac:dyDescent="0.35">
      <c r="A183" s="97"/>
      <c r="B183" s="97"/>
      <c r="C183" s="1"/>
      <c r="D183" s="97"/>
      <c r="E183" s="97"/>
      <c r="F183" s="97"/>
    </row>
    <row r="184" spans="1:6" ht="15.75" customHeight="1" x14ac:dyDescent="0.35">
      <c r="A184" s="97"/>
      <c r="B184" s="97"/>
      <c r="C184" s="1"/>
      <c r="D184" s="97"/>
      <c r="E184" s="97"/>
      <c r="F184" s="97"/>
    </row>
    <row r="185" spans="1:6" ht="15.75" customHeight="1" x14ac:dyDescent="0.35">
      <c r="A185" s="97"/>
      <c r="B185" s="97"/>
      <c r="C185" s="1"/>
      <c r="D185" s="97"/>
      <c r="E185" s="97"/>
      <c r="F185" s="97"/>
    </row>
    <row r="186" spans="1:6" ht="15.75" customHeight="1" x14ac:dyDescent="0.35">
      <c r="A186" s="97"/>
      <c r="B186" s="97"/>
      <c r="C186" s="1"/>
      <c r="D186" s="97"/>
      <c r="E186" s="97"/>
      <c r="F186" s="97"/>
    </row>
    <row r="187" spans="1:6" ht="15.75" customHeight="1" x14ac:dyDescent="0.35">
      <c r="A187" s="97"/>
      <c r="B187" s="97"/>
      <c r="C187" s="1"/>
      <c r="D187" s="97"/>
      <c r="E187" s="97"/>
      <c r="F187" s="97"/>
    </row>
    <row r="188" spans="1:6" ht="15.75" customHeight="1" x14ac:dyDescent="0.35">
      <c r="A188" s="97"/>
      <c r="B188" s="97"/>
      <c r="C188" s="1"/>
      <c r="D188" s="97"/>
      <c r="E188" s="97"/>
      <c r="F188" s="97"/>
    </row>
    <row r="189" spans="1:6" ht="15.75" customHeight="1" x14ac:dyDescent="0.35">
      <c r="A189" s="97"/>
      <c r="B189" s="97"/>
      <c r="C189" s="1"/>
      <c r="D189" s="97"/>
      <c r="E189" s="97"/>
      <c r="F189" s="97"/>
    </row>
    <row r="190" spans="1:6" ht="15.75" customHeight="1" x14ac:dyDescent="0.35">
      <c r="A190" s="97"/>
      <c r="B190" s="97"/>
      <c r="C190" s="1"/>
      <c r="D190" s="97"/>
      <c r="E190" s="97"/>
      <c r="F190" s="97"/>
    </row>
    <row r="191" spans="1:6" ht="15.75" customHeight="1" x14ac:dyDescent="0.35">
      <c r="A191" s="97"/>
      <c r="B191" s="97"/>
      <c r="C191" s="1"/>
      <c r="D191" s="97"/>
      <c r="E191" s="97"/>
      <c r="F191" s="97"/>
    </row>
    <row r="192" spans="1:6" ht="15.75" customHeight="1" x14ac:dyDescent="0.35">
      <c r="A192" s="97"/>
      <c r="B192" s="97"/>
      <c r="C192" s="1"/>
      <c r="D192" s="97"/>
      <c r="E192" s="97"/>
      <c r="F192" s="97"/>
    </row>
    <row r="193" spans="1:6" ht="15.75" customHeight="1" x14ac:dyDescent="0.35">
      <c r="A193" s="97"/>
      <c r="B193" s="97"/>
      <c r="C193" s="1"/>
      <c r="D193" s="97"/>
      <c r="E193" s="97"/>
      <c r="F193" s="97"/>
    </row>
    <row r="194" spans="1:6" ht="15.75" customHeight="1" x14ac:dyDescent="0.35">
      <c r="A194" s="97"/>
      <c r="B194" s="97"/>
      <c r="C194" s="1"/>
      <c r="D194" s="97"/>
      <c r="E194" s="97"/>
      <c r="F194" s="97"/>
    </row>
    <row r="195" spans="1:6" ht="15.75" customHeight="1" x14ac:dyDescent="0.35">
      <c r="A195" s="97"/>
      <c r="B195" s="97"/>
      <c r="C195" s="1"/>
      <c r="D195" s="97"/>
      <c r="E195" s="97"/>
      <c r="F195" s="97"/>
    </row>
    <row r="196" spans="1:6" ht="15.75" customHeight="1" x14ac:dyDescent="0.35">
      <c r="A196" s="97"/>
      <c r="B196" s="97"/>
      <c r="C196" s="1"/>
      <c r="D196" s="97"/>
      <c r="E196" s="97"/>
      <c r="F196" s="97"/>
    </row>
    <row r="197" spans="1:6" ht="15.75" customHeight="1" x14ac:dyDescent="0.35">
      <c r="A197" s="97"/>
      <c r="B197" s="97"/>
      <c r="C197" s="1"/>
      <c r="D197" s="97"/>
      <c r="E197" s="97"/>
      <c r="F197" s="97"/>
    </row>
    <row r="198" spans="1:6" ht="15.75" customHeight="1" x14ac:dyDescent="0.35">
      <c r="A198" s="97"/>
      <c r="B198" s="97"/>
      <c r="C198" s="1"/>
      <c r="D198" s="97"/>
      <c r="E198" s="97"/>
      <c r="F198" s="97"/>
    </row>
    <row r="199" spans="1:6" ht="15.75" customHeight="1" x14ac:dyDescent="0.35">
      <c r="A199" s="97"/>
      <c r="B199" s="97"/>
      <c r="C199" s="1"/>
      <c r="D199" s="97"/>
      <c r="E199" s="97"/>
      <c r="F199" s="97"/>
    </row>
    <row r="200" spans="1:6" ht="15.75" customHeight="1" x14ac:dyDescent="0.35">
      <c r="A200" s="97"/>
      <c r="B200" s="97"/>
      <c r="C200" s="1"/>
      <c r="D200" s="97"/>
      <c r="E200" s="97"/>
      <c r="F200" s="97"/>
    </row>
    <row r="201" spans="1:6" ht="15.75" customHeight="1" x14ac:dyDescent="0.35">
      <c r="A201" s="97"/>
      <c r="B201" s="97"/>
      <c r="C201" s="1"/>
      <c r="D201" s="97"/>
      <c r="E201" s="97"/>
      <c r="F201" s="97"/>
    </row>
    <row r="202" spans="1:6" ht="15.75" customHeight="1" x14ac:dyDescent="0.35">
      <c r="A202" s="97"/>
      <c r="B202" s="97"/>
      <c r="C202" s="1"/>
      <c r="D202" s="97"/>
      <c r="E202" s="97"/>
      <c r="F202" s="97"/>
    </row>
    <row r="203" spans="1:6" ht="15.75" customHeight="1" x14ac:dyDescent="0.35">
      <c r="A203" s="97"/>
      <c r="B203" s="97"/>
      <c r="C203" s="1"/>
      <c r="D203" s="97"/>
      <c r="E203" s="97"/>
      <c r="F203" s="97"/>
    </row>
    <row r="204" spans="1:6" ht="15.75" customHeight="1" x14ac:dyDescent="0.35">
      <c r="A204" s="97"/>
      <c r="B204" s="97"/>
      <c r="C204" s="1"/>
      <c r="D204" s="97"/>
      <c r="E204" s="97"/>
      <c r="F204" s="97"/>
    </row>
    <row r="205" spans="1:6" ht="15.75" customHeight="1" x14ac:dyDescent="0.35">
      <c r="A205" s="97"/>
      <c r="B205" s="97"/>
      <c r="C205" s="1"/>
      <c r="D205" s="97"/>
      <c r="E205" s="97"/>
      <c r="F205" s="97"/>
    </row>
    <row r="206" spans="1:6" ht="15.75" customHeight="1" x14ac:dyDescent="0.35">
      <c r="A206" s="97"/>
      <c r="B206" s="97"/>
      <c r="C206" s="1"/>
      <c r="D206" s="97"/>
      <c r="E206" s="97"/>
      <c r="F206" s="97"/>
    </row>
    <row r="207" spans="1:6" ht="15.75" customHeight="1" x14ac:dyDescent="0.35">
      <c r="A207" s="97"/>
      <c r="B207" s="97"/>
      <c r="C207" s="1"/>
      <c r="D207" s="97"/>
      <c r="E207" s="97"/>
      <c r="F207" s="97"/>
    </row>
    <row r="208" spans="1:6" ht="15.75" customHeight="1" x14ac:dyDescent="0.35">
      <c r="A208" s="97"/>
      <c r="B208" s="97"/>
      <c r="C208" s="1"/>
      <c r="D208" s="97"/>
      <c r="E208" s="97"/>
      <c r="F208" s="97"/>
    </row>
    <row r="209" spans="1:6" ht="15.75" customHeight="1" x14ac:dyDescent="0.35">
      <c r="A209" s="97"/>
      <c r="B209" s="97"/>
      <c r="C209" s="1"/>
      <c r="D209" s="97"/>
      <c r="E209" s="97"/>
      <c r="F209" s="97"/>
    </row>
    <row r="210" spans="1:6" ht="15.75" customHeight="1" x14ac:dyDescent="0.35">
      <c r="A210" s="97"/>
      <c r="B210" s="97"/>
      <c r="C210" s="1"/>
      <c r="D210" s="97"/>
      <c r="E210" s="97"/>
      <c r="F210" s="97"/>
    </row>
    <row r="211" spans="1:6" ht="15.75" customHeight="1" x14ac:dyDescent="0.35">
      <c r="A211" s="97"/>
      <c r="B211" s="97"/>
      <c r="C211" s="1"/>
      <c r="D211" s="97"/>
      <c r="E211" s="97"/>
      <c r="F211" s="97"/>
    </row>
    <row r="212" spans="1:6" ht="15.75" customHeight="1" x14ac:dyDescent="0.35">
      <c r="A212" s="97"/>
      <c r="B212" s="97"/>
      <c r="C212" s="1"/>
      <c r="D212" s="97"/>
      <c r="E212" s="97"/>
      <c r="F212" s="97"/>
    </row>
    <row r="213" spans="1:6" ht="15.75" customHeight="1" x14ac:dyDescent="0.35">
      <c r="A213" s="97"/>
      <c r="B213" s="97"/>
      <c r="C213" s="1"/>
      <c r="D213" s="97"/>
      <c r="E213" s="97"/>
      <c r="F213" s="97"/>
    </row>
    <row r="214" spans="1:6" ht="15.75" customHeight="1" x14ac:dyDescent="0.35">
      <c r="A214" s="97"/>
      <c r="B214" s="97"/>
      <c r="C214" s="1"/>
      <c r="D214" s="97"/>
      <c r="E214" s="97"/>
      <c r="F214" s="97"/>
    </row>
    <row r="215" spans="1:6" ht="15.75" customHeight="1" x14ac:dyDescent="0.35">
      <c r="A215" s="97"/>
      <c r="B215" s="97"/>
      <c r="C215" s="1"/>
      <c r="D215" s="97"/>
      <c r="E215" s="97"/>
      <c r="F215" s="97"/>
    </row>
    <row r="216" spans="1:6" ht="15.75" customHeight="1" x14ac:dyDescent="0.35">
      <c r="A216" s="97"/>
      <c r="B216" s="97"/>
      <c r="C216" s="1"/>
      <c r="D216" s="97"/>
      <c r="E216" s="97"/>
      <c r="F216" s="97"/>
    </row>
    <row r="217" spans="1:6" ht="15.75" customHeight="1" x14ac:dyDescent="0.35">
      <c r="A217" s="97"/>
      <c r="B217" s="97"/>
      <c r="C217" s="1"/>
      <c r="D217" s="97"/>
      <c r="E217" s="97"/>
      <c r="F217" s="97"/>
    </row>
    <row r="218" spans="1:6" ht="15.75" customHeight="1" x14ac:dyDescent="0.35">
      <c r="A218" s="97"/>
      <c r="B218" s="97"/>
      <c r="C218" s="1"/>
      <c r="D218" s="97"/>
      <c r="E218" s="97"/>
      <c r="F218" s="97"/>
    </row>
    <row r="219" spans="1:6" ht="15.75" customHeight="1" x14ac:dyDescent="0.35">
      <c r="A219" s="97"/>
      <c r="B219" s="97"/>
      <c r="C219" s="1"/>
      <c r="D219" s="97"/>
      <c r="E219" s="97"/>
      <c r="F219" s="97"/>
    </row>
    <row r="220" spans="1:6" ht="15.75" customHeight="1" x14ac:dyDescent="0.35">
      <c r="A220" s="97"/>
      <c r="B220" s="97"/>
      <c r="C220" s="1"/>
      <c r="D220" s="97"/>
      <c r="E220" s="97"/>
      <c r="F220" s="97"/>
    </row>
    <row r="221" spans="1:6" ht="15.75" customHeight="1" x14ac:dyDescent="0.3">
      <c r="A221" s="1"/>
      <c r="B221" s="1"/>
      <c r="C221" s="1"/>
      <c r="D221" s="1"/>
      <c r="E221" s="1"/>
      <c r="F221" s="1"/>
    </row>
    <row r="222" spans="1:6" ht="15.75" customHeight="1" x14ac:dyDescent="0.3"/>
    <row r="223" spans="1:6" ht="15.75" customHeight="1" x14ac:dyDescent="0.3"/>
    <row r="224" spans="1: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4791666666666701" right="0.74791666666666701" top="0.98402777777777795" bottom="0.9840277777777779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H998"/>
  <sheetViews>
    <sheetView showGridLines="0" zoomScale="80" zoomScaleNormal="80" workbookViewId="0">
      <selection activeCell="E13" sqref="E13"/>
    </sheetView>
  </sheetViews>
  <sheetFormatPr defaultColWidth="12.6640625" defaultRowHeight="15" customHeight="1" x14ac:dyDescent="0.3"/>
  <cols>
    <col min="1" max="1" width="19.4140625" customWidth="1"/>
    <col min="2" max="2" width="21.1640625" customWidth="1"/>
    <col min="3" max="4" width="2.5" customWidth="1"/>
    <col min="5" max="5" width="15" customWidth="1"/>
    <col min="6" max="6" width="22.1640625" customWidth="1"/>
    <col min="7" max="7" width="40.5" customWidth="1"/>
    <col min="8" max="8" width="2.5" customWidth="1"/>
  </cols>
  <sheetData>
    <row r="1" spans="1:8" ht="15" customHeight="1" x14ac:dyDescent="0.35">
      <c r="A1" s="149" t="s">
        <v>3</v>
      </c>
      <c r="B1" s="2" t="s">
        <v>7</v>
      </c>
      <c r="C1" s="97"/>
      <c r="D1" s="97"/>
      <c r="E1" s="2" t="s">
        <v>8</v>
      </c>
      <c r="F1" s="2" t="s">
        <v>741</v>
      </c>
      <c r="G1" s="2" t="s">
        <v>742</v>
      </c>
      <c r="H1" s="97"/>
    </row>
    <row r="2" spans="1:8" ht="15" hidden="1" customHeight="1" x14ac:dyDescent="0.35">
      <c r="A2" s="151" t="s">
        <v>22</v>
      </c>
      <c r="B2" s="1" t="s">
        <v>156</v>
      </c>
      <c r="C2" s="151"/>
      <c r="D2" s="151"/>
      <c r="E2" s="1" t="s">
        <v>24</v>
      </c>
      <c r="F2" s="1" t="s">
        <v>24</v>
      </c>
      <c r="G2" s="1" t="s">
        <v>24</v>
      </c>
      <c r="H2" s="151"/>
    </row>
    <row r="3" spans="1:8" ht="15" hidden="1" customHeight="1" x14ac:dyDescent="0.35">
      <c r="A3" s="151" t="s">
        <v>32</v>
      </c>
      <c r="B3" s="1" t="s">
        <v>322</v>
      </c>
      <c r="C3" s="151"/>
      <c r="D3" s="151"/>
      <c r="E3" s="1" t="s">
        <v>76</v>
      </c>
      <c r="F3" s="1" t="s">
        <v>230</v>
      </c>
      <c r="G3" s="1" t="s">
        <v>746</v>
      </c>
      <c r="H3" s="151"/>
    </row>
    <row r="4" spans="1:8" ht="15" hidden="1" customHeight="1" x14ac:dyDescent="0.35">
      <c r="A4" s="151" t="s">
        <v>55</v>
      </c>
      <c r="B4" s="1" t="s">
        <v>186</v>
      </c>
      <c r="C4" s="151"/>
      <c r="D4" s="151"/>
      <c r="E4" s="1" t="s">
        <v>167</v>
      </c>
      <c r="F4" s="1" t="s">
        <v>230</v>
      </c>
      <c r="G4" s="1" t="s">
        <v>748</v>
      </c>
      <c r="H4" s="151"/>
    </row>
    <row r="5" spans="1:8" ht="15" hidden="1" customHeight="1" x14ac:dyDescent="0.35">
      <c r="A5" s="151" t="s">
        <v>70</v>
      </c>
      <c r="B5" s="1" t="s">
        <v>260</v>
      </c>
      <c r="C5" s="151"/>
      <c r="D5" s="151"/>
      <c r="E5" s="1" t="s">
        <v>197</v>
      </c>
      <c r="F5" s="1" t="s">
        <v>230</v>
      </c>
      <c r="G5" s="1" t="s">
        <v>749</v>
      </c>
      <c r="H5" s="151"/>
    </row>
    <row r="6" spans="1:8" ht="15" hidden="1" customHeight="1" x14ac:dyDescent="0.35">
      <c r="A6" s="151" t="s">
        <v>78</v>
      </c>
      <c r="B6" s="1" t="s">
        <v>322</v>
      </c>
      <c r="C6" s="151"/>
      <c r="D6" s="151"/>
      <c r="E6" s="1" t="s">
        <v>203</v>
      </c>
      <c r="F6" s="1" t="s">
        <v>230</v>
      </c>
      <c r="G6" s="1" t="s">
        <v>750</v>
      </c>
      <c r="H6" s="151"/>
    </row>
    <row r="7" spans="1:8" ht="15" hidden="1" customHeight="1" x14ac:dyDescent="0.35">
      <c r="A7" s="151" t="s">
        <v>138</v>
      </c>
      <c r="B7" s="1" t="s">
        <v>40</v>
      </c>
      <c r="C7" s="94"/>
      <c r="D7" s="94"/>
      <c r="E7" s="1" t="s">
        <v>243</v>
      </c>
      <c r="F7" s="1" t="s">
        <v>230</v>
      </c>
      <c r="G7" s="1" t="s">
        <v>751</v>
      </c>
      <c r="H7" s="94"/>
    </row>
    <row r="8" spans="1:8" ht="15" hidden="1" customHeight="1" x14ac:dyDescent="0.3">
      <c r="A8" s="1" t="s">
        <v>90</v>
      </c>
      <c r="B8" s="1" t="s">
        <v>752</v>
      </c>
      <c r="C8" s="1"/>
      <c r="D8" s="1"/>
      <c r="E8" s="1" t="s">
        <v>248</v>
      </c>
      <c r="F8" s="1" t="s">
        <v>230</v>
      </c>
      <c r="G8" s="1" t="s">
        <v>754</v>
      </c>
      <c r="H8" s="1"/>
    </row>
    <row r="9" spans="1:8" ht="15" hidden="1" customHeight="1" x14ac:dyDescent="0.3">
      <c r="A9" s="1" t="s">
        <v>755</v>
      </c>
      <c r="B9" s="1" t="s">
        <v>752</v>
      </c>
      <c r="C9" s="94"/>
      <c r="D9" s="94"/>
      <c r="E9" s="1" t="s">
        <v>274</v>
      </c>
      <c r="F9" s="1" t="s">
        <v>230</v>
      </c>
      <c r="G9" s="1" t="s">
        <v>756</v>
      </c>
      <c r="H9" s="94"/>
    </row>
    <row r="10" spans="1:8" ht="15" hidden="1" customHeight="1" x14ac:dyDescent="0.35">
      <c r="A10" s="151" t="s">
        <v>188</v>
      </c>
      <c r="B10" s="1" t="s">
        <v>384</v>
      </c>
      <c r="C10" s="97"/>
      <c r="D10" s="97"/>
      <c r="E10" s="1" t="s">
        <v>99</v>
      </c>
      <c r="F10" s="1" t="s">
        <v>363</v>
      </c>
      <c r="G10" s="1" t="s">
        <v>757</v>
      </c>
      <c r="H10" s="97"/>
    </row>
    <row r="11" spans="1:8" ht="15" hidden="1" customHeight="1" x14ac:dyDescent="0.35">
      <c r="A11" s="1" t="s">
        <v>361</v>
      </c>
      <c r="B11" s="1" t="s">
        <v>361</v>
      </c>
      <c r="C11" s="97"/>
      <c r="D11" s="97"/>
      <c r="E11" s="1" t="s">
        <v>131</v>
      </c>
      <c r="F11" s="1" t="s">
        <v>389</v>
      </c>
      <c r="G11" s="1" t="s">
        <v>758</v>
      </c>
      <c r="H11" s="97"/>
    </row>
    <row r="12" spans="1:8" ht="15" hidden="1" customHeight="1" x14ac:dyDescent="0.35">
      <c r="A12" s="1" t="s">
        <v>459</v>
      </c>
      <c r="B12" s="1" t="s">
        <v>351</v>
      </c>
      <c r="C12" s="97"/>
      <c r="D12" s="97"/>
      <c r="E12" s="1" t="s">
        <v>174</v>
      </c>
      <c r="F12" s="1" t="s">
        <v>389</v>
      </c>
      <c r="G12" s="1" t="s">
        <v>759</v>
      </c>
      <c r="H12" s="97"/>
    </row>
    <row r="13" spans="1:8" ht="15" customHeight="1" x14ac:dyDescent="0.35">
      <c r="A13" s="1" t="s">
        <v>298</v>
      </c>
      <c r="B13" s="1" t="s">
        <v>260</v>
      </c>
      <c r="C13" s="97"/>
      <c r="D13" s="97"/>
      <c r="E13" s="1" t="s">
        <v>161</v>
      </c>
      <c r="F13" s="1" t="s">
        <v>62</v>
      </c>
      <c r="G13" s="1" t="s">
        <v>760</v>
      </c>
      <c r="H13" s="97"/>
    </row>
    <row r="14" spans="1:8" ht="15" hidden="1" customHeight="1" x14ac:dyDescent="0.35">
      <c r="A14" s="1" t="s">
        <v>761</v>
      </c>
      <c r="B14" s="1" t="s">
        <v>762</v>
      </c>
      <c r="C14" s="97"/>
      <c r="D14" s="97"/>
      <c r="E14" s="1" t="s">
        <v>182</v>
      </c>
      <c r="F14" s="1" t="s">
        <v>393</v>
      </c>
      <c r="G14" s="1" t="s">
        <v>768</v>
      </c>
      <c r="H14" s="97"/>
    </row>
    <row r="15" spans="1:8" ht="15" hidden="1" customHeight="1" x14ac:dyDescent="0.35">
      <c r="A15" s="1" t="s">
        <v>85</v>
      </c>
      <c r="B15" s="1" t="s">
        <v>260</v>
      </c>
      <c r="C15" s="97"/>
      <c r="D15" s="97"/>
      <c r="E15" s="1" t="s">
        <v>207</v>
      </c>
      <c r="F15" s="1" t="s">
        <v>382</v>
      </c>
      <c r="G15" s="1" t="s">
        <v>770</v>
      </c>
      <c r="H15" s="97"/>
    </row>
    <row r="16" spans="1:8" ht="15" hidden="1" customHeight="1" x14ac:dyDescent="0.35">
      <c r="A16" s="1" t="s">
        <v>339</v>
      </c>
      <c r="B16" s="1" t="s">
        <v>322</v>
      </c>
      <c r="C16" s="97"/>
      <c r="D16" s="97"/>
      <c r="E16" s="1" t="s">
        <v>214</v>
      </c>
      <c r="F16" s="1" t="s">
        <v>382</v>
      </c>
      <c r="G16" s="1" t="s">
        <v>771</v>
      </c>
      <c r="H16" s="97"/>
    </row>
    <row r="17" spans="1:8" ht="15" hidden="1" customHeight="1" x14ac:dyDescent="0.35">
      <c r="A17" s="1"/>
      <c r="B17" s="1"/>
      <c r="C17" s="97"/>
      <c r="D17" s="97"/>
      <c r="E17" s="1" t="s">
        <v>268</v>
      </c>
      <c r="F17" s="1" t="s">
        <v>382</v>
      </c>
      <c r="G17" s="1" t="s">
        <v>772</v>
      </c>
      <c r="H17" s="97"/>
    </row>
    <row r="18" spans="1:8" ht="15" hidden="1" customHeight="1" x14ac:dyDescent="0.35">
      <c r="A18" s="94"/>
      <c r="B18" s="94"/>
      <c r="C18" s="97"/>
      <c r="D18" s="97"/>
      <c r="E18" s="1" t="s">
        <v>225</v>
      </c>
      <c r="F18" s="1" t="s">
        <v>388</v>
      </c>
      <c r="G18" s="1" t="s">
        <v>773</v>
      </c>
      <c r="H18" s="97"/>
    </row>
    <row r="19" spans="1:8" ht="15" hidden="1" customHeight="1" x14ac:dyDescent="0.35">
      <c r="A19" s="94" t="s">
        <v>767</v>
      </c>
      <c r="B19" s="94" t="s">
        <v>767</v>
      </c>
      <c r="C19" s="97"/>
      <c r="D19" s="97"/>
      <c r="E19" s="1" t="s">
        <v>235</v>
      </c>
      <c r="F19" s="1" t="s">
        <v>388</v>
      </c>
      <c r="G19" s="1" t="s">
        <v>774</v>
      </c>
      <c r="H19" s="97"/>
    </row>
    <row r="20" spans="1:8" ht="15" hidden="1" customHeight="1" x14ac:dyDescent="0.35">
      <c r="A20" s="97"/>
      <c r="B20" s="97"/>
      <c r="C20" s="97"/>
      <c r="D20" s="97"/>
      <c r="E20" s="1" t="s">
        <v>259</v>
      </c>
      <c r="F20" s="1" t="s">
        <v>388</v>
      </c>
      <c r="G20" s="1" t="s">
        <v>775</v>
      </c>
      <c r="H20" s="97"/>
    </row>
    <row r="21" spans="1:8" ht="15.75" hidden="1" customHeight="1" x14ac:dyDescent="0.35">
      <c r="A21" s="97"/>
      <c r="B21" s="97"/>
      <c r="C21" s="97"/>
      <c r="D21" s="97"/>
      <c r="E21" s="1" t="s">
        <v>294</v>
      </c>
      <c r="F21" s="1" t="s">
        <v>230</v>
      </c>
      <c r="G21" s="1" t="s">
        <v>776</v>
      </c>
      <c r="H21" s="97"/>
    </row>
    <row r="22" spans="1:8" ht="15.75" hidden="1" customHeight="1" x14ac:dyDescent="0.35">
      <c r="A22" s="97"/>
      <c r="B22" s="97"/>
      <c r="C22" s="97"/>
      <c r="D22" s="97"/>
      <c r="E22" s="1" t="s">
        <v>316</v>
      </c>
      <c r="F22" s="1" t="s">
        <v>382</v>
      </c>
      <c r="G22" s="1" t="s">
        <v>777</v>
      </c>
      <c r="H22" s="97"/>
    </row>
    <row r="23" spans="1:8" ht="15.75" hidden="1" customHeight="1" x14ac:dyDescent="0.35">
      <c r="A23" s="97"/>
      <c r="B23" s="97"/>
      <c r="C23" s="97"/>
      <c r="D23" s="97"/>
      <c r="E23" s="1" t="s">
        <v>305</v>
      </c>
      <c r="F23" s="1" t="s">
        <v>230</v>
      </c>
      <c r="G23" s="1" t="s">
        <v>779</v>
      </c>
      <c r="H23" s="97"/>
    </row>
    <row r="24" spans="1:8" ht="15.75" hidden="1" customHeight="1" x14ac:dyDescent="0.35">
      <c r="A24" s="97"/>
      <c r="B24" s="97"/>
      <c r="C24" s="97"/>
      <c r="D24" s="97"/>
      <c r="E24" s="1" t="s">
        <v>782</v>
      </c>
      <c r="F24" s="1" t="s">
        <v>363</v>
      </c>
      <c r="G24" s="1" t="s">
        <v>783</v>
      </c>
      <c r="H24" s="97"/>
    </row>
    <row r="25" spans="1:8" ht="15.75" hidden="1" customHeight="1" x14ac:dyDescent="0.35">
      <c r="A25" s="97"/>
      <c r="B25" s="97"/>
      <c r="C25" s="97"/>
      <c r="D25" s="97"/>
      <c r="E25" s="1" t="s">
        <v>784</v>
      </c>
      <c r="F25" s="1" t="s">
        <v>785</v>
      </c>
      <c r="G25" s="1" t="s">
        <v>786</v>
      </c>
      <c r="H25" s="97"/>
    </row>
    <row r="26" spans="1:8" ht="15.75" customHeight="1" x14ac:dyDescent="0.35">
      <c r="A26" s="97"/>
      <c r="B26" s="97"/>
      <c r="C26" s="97"/>
      <c r="D26" s="97"/>
      <c r="E26" s="1" t="s">
        <v>766</v>
      </c>
      <c r="F26" s="1" t="s">
        <v>62</v>
      </c>
      <c r="G26" s="1" t="s">
        <v>787</v>
      </c>
      <c r="H26" s="97"/>
    </row>
    <row r="27" spans="1:8" ht="15.75" customHeight="1" x14ac:dyDescent="0.35">
      <c r="A27" s="97"/>
      <c r="B27" s="97"/>
      <c r="C27" s="97"/>
      <c r="D27" s="97"/>
      <c r="E27" s="1" t="s">
        <v>763</v>
      </c>
      <c r="F27" s="1" t="s">
        <v>62</v>
      </c>
      <c r="G27" s="1" t="s">
        <v>1077</v>
      </c>
      <c r="H27" s="97"/>
    </row>
    <row r="28" spans="1:8" ht="15.75" hidden="1" customHeight="1" x14ac:dyDescent="0.35">
      <c r="A28" s="97"/>
      <c r="B28" s="97"/>
      <c r="C28" s="97"/>
      <c r="D28" s="97"/>
      <c r="E28" s="1" t="s">
        <v>952</v>
      </c>
      <c r="F28" s="1" t="s">
        <v>230</v>
      </c>
      <c r="G28" s="1" t="s">
        <v>881</v>
      </c>
      <c r="H28" s="97"/>
    </row>
    <row r="29" spans="1:8" ht="15.75" hidden="1" customHeight="1" x14ac:dyDescent="0.35">
      <c r="A29" s="97"/>
      <c r="B29" s="97"/>
      <c r="C29" s="97"/>
      <c r="D29" s="97"/>
      <c r="E29" s="1" t="s">
        <v>882</v>
      </c>
      <c r="F29" s="1" t="s">
        <v>785</v>
      </c>
      <c r="G29" s="1" t="s">
        <v>884</v>
      </c>
      <c r="H29" s="97"/>
    </row>
    <row r="30" spans="1:8" ht="15.75" hidden="1" customHeight="1" x14ac:dyDescent="0.35">
      <c r="A30" s="97"/>
      <c r="B30" s="97"/>
      <c r="C30" s="97"/>
      <c r="D30" s="97"/>
      <c r="E30" s="1" t="s">
        <v>883</v>
      </c>
      <c r="F30" s="1" t="s">
        <v>785</v>
      </c>
      <c r="G30" s="1" t="s">
        <v>885</v>
      </c>
      <c r="H30" s="97"/>
    </row>
    <row r="31" spans="1:8" ht="15.75" hidden="1" customHeight="1" x14ac:dyDescent="0.35">
      <c r="A31" s="97"/>
      <c r="B31" s="97"/>
      <c r="C31" s="97"/>
      <c r="D31" s="97"/>
      <c r="E31" s="1" t="s">
        <v>937</v>
      </c>
      <c r="F31" s="1" t="s">
        <v>938</v>
      </c>
      <c r="G31" s="1" t="s">
        <v>939</v>
      </c>
      <c r="H31" s="97"/>
    </row>
    <row r="32" spans="1:8" ht="15.75" hidden="1" customHeight="1" x14ac:dyDescent="0.35">
      <c r="A32" s="97"/>
      <c r="B32" s="97"/>
      <c r="C32" s="97"/>
      <c r="D32" s="97"/>
      <c r="E32" s="1" t="s">
        <v>1052</v>
      </c>
      <c r="F32" s="1" t="s">
        <v>230</v>
      </c>
      <c r="G32" s="1" t="s">
        <v>1067</v>
      </c>
      <c r="H32" s="97"/>
    </row>
    <row r="33" spans="1:8" ht="15.75" customHeight="1" x14ac:dyDescent="0.35">
      <c r="A33" s="97"/>
      <c r="B33" s="97"/>
      <c r="C33" s="97"/>
      <c r="D33" s="97"/>
      <c r="E33" s="1" t="s">
        <v>1071</v>
      </c>
      <c r="F33" s="1" t="s">
        <v>62</v>
      </c>
      <c r="G33" s="1" t="s">
        <v>1072</v>
      </c>
      <c r="H33" s="97"/>
    </row>
    <row r="34" spans="1:8" ht="15.75" customHeight="1" x14ac:dyDescent="0.35">
      <c r="A34" s="97"/>
      <c r="B34" s="97"/>
      <c r="C34" s="97"/>
      <c r="D34" s="97"/>
      <c r="E34" s="156" t="s">
        <v>1134</v>
      </c>
      <c r="F34" s="1" t="s">
        <v>62</v>
      </c>
      <c r="G34" s="176" t="s">
        <v>1135</v>
      </c>
      <c r="H34" s="97"/>
    </row>
    <row r="35" spans="1:8" ht="15.75" hidden="1" customHeight="1" x14ac:dyDescent="0.35">
      <c r="A35" s="97"/>
      <c r="B35" s="97"/>
      <c r="C35" s="97"/>
      <c r="D35" s="97"/>
      <c r="E35" s="156" t="s">
        <v>1143</v>
      </c>
      <c r="F35" s="1" t="s">
        <v>382</v>
      </c>
      <c r="G35" s="176" t="s">
        <v>1144</v>
      </c>
      <c r="H35" s="97"/>
    </row>
    <row r="36" spans="1:8" ht="15.75" hidden="1" customHeight="1" x14ac:dyDescent="0.35">
      <c r="A36" s="97"/>
      <c r="B36" s="97"/>
      <c r="C36" s="97"/>
      <c r="D36" s="97"/>
      <c r="H36" s="97"/>
    </row>
    <row r="37" spans="1:8" ht="15.75" hidden="1" customHeight="1" x14ac:dyDescent="0.35">
      <c r="A37" s="97"/>
      <c r="B37" s="97"/>
      <c r="C37" s="97"/>
      <c r="D37" s="97"/>
      <c r="H37" s="97"/>
    </row>
    <row r="38" spans="1:8" ht="15.75" customHeight="1" x14ac:dyDescent="0.35">
      <c r="A38" s="97"/>
      <c r="B38" s="97"/>
      <c r="C38" s="97"/>
      <c r="D38" s="97"/>
      <c r="E38" s="1"/>
      <c r="F38" s="1"/>
      <c r="G38" s="1"/>
      <c r="H38" s="97"/>
    </row>
    <row r="39" spans="1:8" ht="15.75" customHeight="1" x14ac:dyDescent="0.35">
      <c r="A39" s="97"/>
      <c r="B39" s="97"/>
      <c r="C39" s="97"/>
      <c r="D39" s="97"/>
      <c r="E39" s="1"/>
      <c r="F39" s="1"/>
      <c r="G39" s="1"/>
      <c r="H39" s="97"/>
    </row>
    <row r="40" spans="1:8" ht="15.75" customHeight="1" x14ac:dyDescent="0.35">
      <c r="A40" s="97"/>
      <c r="B40" s="97"/>
      <c r="C40" s="97"/>
      <c r="D40" s="97"/>
      <c r="E40" s="1"/>
      <c r="F40" s="1"/>
      <c r="G40" s="1"/>
      <c r="H40" s="97"/>
    </row>
    <row r="41" spans="1:8" ht="15.75" customHeight="1" x14ac:dyDescent="0.35">
      <c r="A41" s="97"/>
      <c r="B41" s="97"/>
      <c r="C41" s="97"/>
      <c r="D41" s="97"/>
      <c r="E41" s="1"/>
      <c r="F41" s="1"/>
      <c r="G41" s="1"/>
      <c r="H41" s="97"/>
    </row>
    <row r="42" spans="1:8" ht="15.75" customHeight="1" x14ac:dyDescent="0.35">
      <c r="A42" s="97"/>
      <c r="B42" s="97"/>
      <c r="C42" s="97"/>
      <c r="D42" s="97"/>
      <c r="E42" s="1"/>
      <c r="F42" s="1"/>
      <c r="G42" s="1"/>
      <c r="H42" s="97"/>
    </row>
    <row r="43" spans="1:8" ht="15.75" customHeight="1" x14ac:dyDescent="0.35">
      <c r="A43" s="97"/>
      <c r="B43" s="97"/>
      <c r="C43" s="97"/>
      <c r="D43" s="97"/>
      <c r="E43" s="1"/>
      <c r="F43" s="1"/>
      <c r="G43" s="1"/>
      <c r="H43" s="97"/>
    </row>
    <row r="44" spans="1:8" ht="15.75" customHeight="1" x14ac:dyDescent="0.35">
      <c r="A44" s="97"/>
      <c r="B44" s="97"/>
      <c r="C44" s="97"/>
      <c r="D44" s="97"/>
      <c r="E44" s="1"/>
      <c r="F44" s="1"/>
      <c r="G44" s="1"/>
      <c r="H44" s="97"/>
    </row>
    <row r="45" spans="1:8" ht="15.75" customHeight="1" x14ac:dyDescent="0.35">
      <c r="A45" s="97"/>
      <c r="B45" s="97"/>
      <c r="C45" s="97"/>
      <c r="D45" s="97"/>
      <c r="E45" s="1"/>
      <c r="F45" s="1"/>
      <c r="G45" s="1"/>
      <c r="H45" s="97"/>
    </row>
    <row r="46" spans="1:8" ht="15.75" customHeight="1" x14ac:dyDescent="0.35">
      <c r="A46" s="97"/>
      <c r="B46" s="97"/>
      <c r="C46" s="97"/>
      <c r="D46" s="97"/>
      <c r="E46" s="1"/>
      <c r="F46" s="1"/>
      <c r="G46" s="1"/>
      <c r="H46" s="97"/>
    </row>
    <row r="47" spans="1:8" ht="15.75" customHeight="1" x14ac:dyDescent="0.35">
      <c r="A47" s="97"/>
      <c r="B47" s="97"/>
      <c r="C47" s="97"/>
      <c r="D47" s="97"/>
      <c r="E47" s="1"/>
      <c r="F47" s="1"/>
      <c r="G47" s="1"/>
      <c r="H47" s="97"/>
    </row>
    <row r="48" spans="1:8" ht="15.75" customHeight="1" x14ac:dyDescent="0.35">
      <c r="A48" s="97"/>
      <c r="B48" s="97"/>
      <c r="C48" s="97"/>
      <c r="D48" s="97"/>
      <c r="E48" s="1"/>
      <c r="F48" s="1"/>
      <c r="G48" s="1"/>
      <c r="H48" s="97"/>
    </row>
    <row r="49" spans="1:8" ht="15.75" customHeight="1" x14ac:dyDescent="0.35">
      <c r="A49" s="97"/>
      <c r="B49" s="97"/>
      <c r="C49" s="97"/>
      <c r="D49" s="97"/>
      <c r="E49" s="1"/>
      <c r="F49" s="1"/>
      <c r="G49" s="1"/>
      <c r="H49" s="97"/>
    </row>
    <row r="50" spans="1:8" ht="15.75" customHeight="1" x14ac:dyDescent="0.35">
      <c r="A50" s="97"/>
      <c r="B50" s="97"/>
      <c r="C50" s="97"/>
      <c r="D50" s="97"/>
      <c r="E50" s="1"/>
      <c r="F50" s="1"/>
      <c r="G50" s="1"/>
      <c r="H50" s="97"/>
    </row>
    <row r="51" spans="1:8" ht="15.75" customHeight="1" x14ac:dyDescent="0.35">
      <c r="A51" s="97"/>
      <c r="B51" s="97"/>
      <c r="C51" s="97"/>
      <c r="D51" s="97"/>
      <c r="E51" s="1"/>
      <c r="F51" s="1"/>
      <c r="G51" s="1"/>
      <c r="H51" s="97"/>
    </row>
    <row r="52" spans="1:8" ht="15.75" customHeight="1" x14ac:dyDescent="0.35">
      <c r="A52" s="97"/>
      <c r="B52" s="97"/>
      <c r="C52" s="97"/>
      <c r="D52" s="97"/>
      <c r="E52" s="1"/>
      <c r="F52" s="1"/>
      <c r="G52" s="1"/>
      <c r="H52" s="97"/>
    </row>
    <row r="53" spans="1:8" ht="15.75" customHeight="1" x14ac:dyDescent="0.35">
      <c r="A53" s="97"/>
      <c r="B53" s="97"/>
      <c r="C53" s="97"/>
      <c r="D53" s="97"/>
      <c r="E53" s="1"/>
      <c r="F53" s="1"/>
      <c r="G53" s="1"/>
      <c r="H53" s="97"/>
    </row>
    <row r="54" spans="1:8" ht="15.75" customHeight="1" x14ac:dyDescent="0.35">
      <c r="A54" s="97"/>
      <c r="B54" s="97"/>
      <c r="C54" s="97"/>
      <c r="D54" s="97"/>
      <c r="E54" s="1"/>
      <c r="F54" s="1"/>
      <c r="G54" s="1"/>
      <c r="H54" s="97"/>
    </row>
    <row r="55" spans="1:8" ht="15.75" customHeight="1" x14ac:dyDescent="0.35">
      <c r="A55" s="97"/>
      <c r="B55" s="97"/>
      <c r="C55" s="97"/>
      <c r="D55" s="97"/>
      <c r="E55" s="1"/>
      <c r="F55" s="1"/>
      <c r="G55" s="1"/>
      <c r="H55" s="97"/>
    </row>
    <row r="56" spans="1:8" ht="15.75" customHeight="1" x14ac:dyDescent="0.35">
      <c r="A56" s="97"/>
      <c r="B56" s="97"/>
      <c r="C56" s="97"/>
      <c r="D56" s="97"/>
      <c r="E56" s="1"/>
      <c r="F56" s="1"/>
      <c r="G56" s="1"/>
      <c r="H56" s="97"/>
    </row>
    <row r="57" spans="1:8" ht="15.75" customHeight="1" x14ac:dyDescent="0.35">
      <c r="A57" s="97"/>
      <c r="B57" s="97"/>
      <c r="C57" s="97"/>
      <c r="D57" s="97"/>
      <c r="E57" s="1"/>
      <c r="F57" s="1"/>
      <c r="G57" s="1"/>
      <c r="H57" s="97"/>
    </row>
    <row r="58" spans="1:8" ht="15.75" customHeight="1" x14ac:dyDescent="0.35">
      <c r="A58" s="97"/>
      <c r="B58" s="97"/>
      <c r="C58" s="97"/>
      <c r="D58" s="97"/>
      <c r="E58" s="1"/>
      <c r="F58" s="1"/>
      <c r="G58" s="1"/>
      <c r="H58" s="97"/>
    </row>
    <row r="59" spans="1:8" ht="15.75" customHeight="1" x14ac:dyDescent="0.35">
      <c r="A59" s="97"/>
      <c r="B59" s="97"/>
      <c r="C59" s="97"/>
      <c r="D59" s="97"/>
      <c r="E59" s="1"/>
      <c r="F59" s="1"/>
      <c r="G59" s="1"/>
      <c r="H59" s="97"/>
    </row>
    <row r="60" spans="1:8" ht="15.75" customHeight="1" x14ac:dyDescent="0.35">
      <c r="A60" s="97"/>
      <c r="B60" s="97"/>
      <c r="C60" s="97"/>
      <c r="D60" s="97"/>
      <c r="E60" s="1"/>
      <c r="F60" s="1"/>
      <c r="G60" s="1"/>
      <c r="H60" s="97"/>
    </row>
    <row r="61" spans="1:8" ht="15.75" customHeight="1" x14ac:dyDescent="0.35">
      <c r="A61" s="97"/>
      <c r="B61" s="97"/>
      <c r="C61" s="97"/>
      <c r="D61" s="97"/>
      <c r="E61" s="1"/>
      <c r="F61" s="1"/>
      <c r="G61" s="1"/>
      <c r="H61" s="97"/>
    </row>
    <row r="62" spans="1:8" ht="15.75" customHeight="1" x14ac:dyDescent="0.35">
      <c r="A62" s="97"/>
      <c r="B62" s="97"/>
      <c r="C62" s="97"/>
      <c r="D62" s="97"/>
      <c r="E62" s="1"/>
      <c r="F62" s="1"/>
      <c r="G62" s="1"/>
      <c r="H62" s="97"/>
    </row>
    <row r="63" spans="1:8" ht="15.75" customHeight="1" x14ac:dyDescent="0.35">
      <c r="A63" s="97"/>
      <c r="B63" s="97"/>
      <c r="C63" s="97"/>
      <c r="D63" s="97"/>
      <c r="E63" s="1"/>
      <c r="F63" s="1"/>
      <c r="G63" s="1"/>
      <c r="H63" s="97"/>
    </row>
    <row r="64" spans="1:8" ht="15.75" customHeight="1" x14ac:dyDescent="0.35">
      <c r="A64" s="97"/>
      <c r="B64" s="97"/>
      <c r="C64" s="97"/>
      <c r="D64" s="97"/>
      <c r="E64" s="1"/>
      <c r="F64" s="1"/>
      <c r="G64" s="1"/>
      <c r="H64" s="97"/>
    </row>
    <row r="65" spans="1:8" ht="15.75" customHeight="1" x14ac:dyDescent="0.35">
      <c r="A65" s="97"/>
      <c r="B65" s="97"/>
      <c r="C65" s="97"/>
      <c r="D65" s="97"/>
      <c r="E65" s="1"/>
      <c r="F65" s="1"/>
      <c r="G65" s="1"/>
      <c r="H65" s="97"/>
    </row>
    <row r="66" spans="1:8" ht="15.75" customHeight="1" x14ac:dyDescent="0.35">
      <c r="A66" s="97"/>
      <c r="B66" s="97"/>
      <c r="C66" s="97"/>
      <c r="D66" s="97"/>
      <c r="E66" s="1"/>
      <c r="F66" s="1"/>
      <c r="G66" s="1"/>
      <c r="H66" s="97"/>
    </row>
    <row r="67" spans="1:8" ht="15.75" customHeight="1" x14ac:dyDescent="0.35">
      <c r="A67" s="97"/>
      <c r="B67" s="97"/>
      <c r="C67" s="97"/>
      <c r="D67" s="97"/>
      <c r="E67" s="1"/>
      <c r="F67" s="1"/>
      <c r="G67" s="1"/>
      <c r="H67" s="97"/>
    </row>
    <row r="68" spans="1:8" ht="15.75" customHeight="1" x14ac:dyDescent="0.35">
      <c r="A68" s="97"/>
      <c r="B68" s="97"/>
      <c r="C68" s="97"/>
      <c r="D68" s="97"/>
      <c r="E68" s="1"/>
      <c r="F68" s="1"/>
      <c r="G68" s="1"/>
      <c r="H68" s="97"/>
    </row>
    <row r="69" spans="1:8" ht="15.75" customHeight="1" x14ac:dyDescent="0.35">
      <c r="A69" s="97"/>
      <c r="B69" s="97"/>
      <c r="C69" s="97"/>
      <c r="D69" s="97"/>
      <c r="E69" s="1"/>
      <c r="F69" s="1"/>
      <c r="G69" s="1"/>
      <c r="H69" s="97"/>
    </row>
    <row r="70" spans="1:8" ht="15.75" customHeight="1" x14ac:dyDescent="0.35">
      <c r="A70" s="97"/>
      <c r="B70" s="97"/>
      <c r="C70" s="97"/>
      <c r="D70" s="97"/>
      <c r="E70" s="1"/>
      <c r="F70" s="1"/>
      <c r="G70" s="1"/>
      <c r="H70" s="97"/>
    </row>
    <row r="71" spans="1:8" ht="15.75" customHeight="1" x14ac:dyDescent="0.35">
      <c r="A71" s="97"/>
      <c r="B71" s="97"/>
      <c r="C71" s="97"/>
      <c r="D71" s="97"/>
      <c r="E71" s="1"/>
      <c r="F71" s="1"/>
      <c r="G71" s="1"/>
      <c r="H71" s="97"/>
    </row>
    <row r="72" spans="1:8" ht="15.75" customHeight="1" x14ac:dyDescent="0.35">
      <c r="A72" s="97"/>
      <c r="B72" s="97"/>
      <c r="C72" s="97"/>
      <c r="D72" s="97"/>
      <c r="E72" s="1"/>
      <c r="F72" s="1"/>
      <c r="G72" s="1"/>
      <c r="H72" s="97"/>
    </row>
    <row r="73" spans="1:8" ht="15.75" customHeight="1" x14ac:dyDescent="0.35">
      <c r="A73" s="97"/>
      <c r="B73" s="97"/>
      <c r="C73" s="97"/>
      <c r="D73" s="97"/>
      <c r="E73" s="1"/>
      <c r="F73" s="1"/>
      <c r="G73" s="1"/>
      <c r="H73" s="97"/>
    </row>
    <row r="74" spans="1:8" ht="15.75" customHeight="1" x14ac:dyDescent="0.35">
      <c r="A74" s="97"/>
      <c r="B74" s="97"/>
      <c r="C74" s="97"/>
      <c r="D74" s="97"/>
      <c r="E74" s="1"/>
      <c r="F74" s="1"/>
      <c r="G74" s="1"/>
      <c r="H74" s="97"/>
    </row>
    <row r="75" spans="1:8" ht="15.75" customHeight="1" x14ac:dyDescent="0.35">
      <c r="A75" s="97"/>
      <c r="B75" s="97"/>
      <c r="C75" s="97"/>
      <c r="D75" s="97"/>
      <c r="E75" s="1"/>
      <c r="F75" s="1"/>
      <c r="G75" s="1"/>
      <c r="H75" s="97"/>
    </row>
    <row r="76" spans="1:8" ht="15.75" customHeight="1" x14ac:dyDescent="0.35">
      <c r="A76" s="97"/>
      <c r="B76" s="97"/>
      <c r="C76" s="97"/>
      <c r="D76" s="97"/>
      <c r="E76" s="1"/>
      <c r="F76" s="1"/>
      <c r="G76" s="1"/>
      <c r="H76" s="97"/>
    </row>
    <row r="77" spans="1:8" ht="15.75" customHeight="1" x14ac:dyDescent="0.35">
      <c r="A77" s="97"/>
      <c r="B77" s="97"/>
      <c r="C77" s="97"/>
      <c r="D77" s="97"/>
      <c r="E77" s="1"/>
      <c r="F77" s="1"/>
      <c r="G77" s="1"/>
      <c r="H77" s="97"/>
    </row>
    <row r="78" spans="1:8" ht="15.75" customHeight="1" x14ac:dyDescent="0.35">
      <c r="A78" s="97"/>
      <c r="B78" s="97"/>
      <c r="C78" s="97"/>
      <c r="D78" s="97"/>
      <c r="E78" s="1"/>
      <c r="F78" s="1"/>
      <c r="G78" s="1"/>
      <c r="H78" s="97"/>
    </row>
    <row r="79" spans="1:8" ht="15.75" customHeight="1" x14ac:dyDescent="0.35">
      <c r="A79" s="97"/>
      <c r="B79" s="97"/>
      <c r="C79" s="97"/>
      <c r="D79" s="97"/>
      <c r="E79" s="1"/>
      <c r="F79" s="1"/>
      <c r="G79" s="1"/>
      <c r="H79" s="97"/>
    </row>
    <row r="80" spans="1:8" ht="15.75" customHeight="1" x14ac:dyDescent="0.35">
      <c r="A80" s="97"/>
      <c r="B80" s="97"/>
      <c r="C80" s="97"/>
      <c r="D80" s="97"/>
      <c r="E80" s="1"/>
      <c r="F80" s="1"/>
      <c r="G80" s="1"/>
      <c r="H80" s="97"/>
    </row>
    <row r="81" spans="1:8" ht="15.75" customHeight="1" x14ac:dyDescent="0.35">
      <c r="A81" s="97"/>
      <c r="B81" s="97"/>
      <c r="C81" s="97"/>
      <c r="D81" s="97"/>
      <c r="E81" s="1"/>
      <c r="F81" s="1"/>
      <c r="G81" s="1"/>
      <c r="H81" s="97"/>
    </row>
    <row r="82" spans="1:8" ht="15.75" customHeight="1" x14ac:dyDescent="0.35">
      <c r="A82" s="97"/>
      <c r="B82" s="97"/>
      <c r="C82" s="97"/>
      <c r="D82" s="97"/>
      <c r="E82" s="1"/>
      <c r="F82" s="1"/>
      <c r="G82" s="1"/>
      <c r="H82" s="97"/>
    </row>
    <row r="83" spans="1:8" ht="15.75" customHeight="1" x14ac:dyDescent="0.35">
      <c r="A83" s="97"/>
      <c r="B83" s="97"/>
      <c r="C83" s="97"/>
      <c r="D83" s="97"/>
      <c r="E83" s="1"/>
      <c r="F83" s="1"/>
      <c r="G83" s="1"/>
      <c r="H83" s="97"/>
    </row>
    <row r="84" spans="1:8" ht="15.75" customHeight="1" x14ac:dyDescent="0.35">
      <c r="A84" s="97"/>
      <c r="B84" s="97"/>
      <c r="C84" s="97"/>
      <c r="D84" s="97"/>
      <c r="E84" s="1"/>
      <c r="F84" s="1"/>
      <c r="G84" s="1"/>
      <c r="H84" s="97"/>
    </row>
    <row r="85" spans="1:8" ht="15.75" customHeight="1" x14ac:dyDescent="0.35">
      <c r="A85" s="97"/>
      <c r="B85" s="97"/>
      <c r="C85" s="97"/>
      <c r="D85" s="97"/>
      <c r="E85" s="1"/>
      <c r="F85" s="1"/>
      <c r="G85" s="1"/>
      <c r="H85" s="97"/>
    </row>
    <row r="86" spans="1:8" ht="15.75" customHeight="1" x14ac:dyDescent="0.35">
      <c r="A86" s="97"/>
      <c r="B86" s="97"/>
      <c r="C86" s="97"/>
      <c r="D86" s="97"/>
      <c r="E86" s="1"/>
      <c r="F86" s="1"/>
      <c r="G86" s="1"/>
      <c r="H86" s="97"/>
    </row>
    <row r="87" spans="1:8" ht="15.75" customHeight="1" x14ac:dyDescent="0.35">
      <c r="A87" s="97"/>
      <c r="B87" s="97"/>
      <c r="C87" s="97"/>
      <c r="D87" s="97"/>
      <c r="E87" s="1"/>
      <c r="F87" s="1"/>
      <c r="G87" s="1"/>
      <c r="H87" s="97"/>
    </row>
    <row r="88" spans="1:8" ht="15.75" customHeight="1" x14ac:dyDescent="0.35">
      <c r="A88" s="97"/>
      <c r="B88" s="97"/>
      <c r="C88" s="97"/>
      <c r="D88" s="97"/>
      <c r="E88" s="1"/>
      <c r="F88" s="1"/>
      <c r="G88" s="1"/>
      <c r="H88" s="97"/>
    </row>
    <row r="89" spans="1:8" ht="15.75" customHeight="1" x14ac:dyDescent="0.35">
      <c r="A89" s="97"/>
      <c r="B89" s="97"/>
      <c r="C89" s="97"/>
      <c r="D89" s="97"/>
      <c r="E89" s="1"/>
      <c r="F89" s="1"/>
      <c r="G89" s="1"/>
      <c r="H89" s="97"/>
    </row>
    <row r="90" spans="1:8" ht="15.75" customHeight="1" x14ac:dyDescent="0.35">
      <c r="A90" s="97"/>
      <c r="B90" s="97"/>
      <c r="C90" s="97"/>
      <c r="D90" s="97"/>
      <c r="E90" s="1"/>
      <c r="F90" s="1"/>
      <c r="G90" s="1"/>
      <c r="H90" s="97"/>
    </row>
    <row r="91" spans="1:8" ht="15.75" customHeight="1" x14ac:dyDescent="0.35">
      <c r="A91" s="97"/>
      <c r="B91" s="97"/>
      <c r="C91" s="97"/>
      <c r="D91" s="97"/>
      <c r="E91" s="1"/>
      <c r="F91" s="1"/>
      <c r="G91" s="1"/>
      <c r="H91" s="97"/>
    </row>
    <row r="92" spans="1:8" ht="15.75" customHeight="1" x14ac:dyDescent="0.35">
      <c r="A92" s="97"/>
      <c r="B92" s="97"/>
      <c r="C92" s="97"/>
      <c r="D92" s="97"/>
      <c r="E92" s="1"/>
      <c r="F92" s="1"/>
      <c r="G92" s="1"/>
      <c r="H92" s="97"/>
    </row>
    <row r="93" spans="1:8" ht="15.75" customHeight="1" x14ac:dyDescent="0.35">
      <c r="A93" s="97"/>
      <c r="B93" s="97"/>
      <c r="C93" s="97"/>
      <c r="D93" s="97"/>
      <c r="E93" s="1"/>
      <c r="F93" s="1"/>
      <c r="G93" s="1"/>
      <c r="H93" s="97"/>
    </row>
    <row r="94" spans="1:8" ht="15.75" customHeight="1" x14ac:dyDescent="0.35">
      <c r="A94" s="97"/>
      <c r="B94" s="97"/>
      <c r="C94" s="97"/>
      <c r="D94" s="97"/>
      <c r="E94" s="1"/>
      <c r="F94" s="1"/>
      <c r="G94" s="1"/>
      <c r="H94" s="97"/>
    </row>
    <row r="95" spans="1:8" ht="15.75" customHeight="1" x14ac:dyDescent="0.35">
      <c r="A95" s="97"/>
      <c r="B95" s="97"/>
      <c r="C95" s="97"/>
      <c r="D95" s="97"/>
      <c r="E95" s="1"/>
      <c r="F95" s="1"/>
      <c r="G95" s="1"/>
      <c r="H95" s="97"/>
    </row>
    <row r="96" spans="1:8" ht="15.75" customHeight="1" x14ac:dyDescent="0.35">
      <c r="A96" s="97"/>
      <c r="B96" s="97"/>
      <c r="C96" s="97"/>
      <c r="D96" s="97"/>
      <c r="E96" s="1"/>
      <c r="F96" s="1"/>
      <c r="G96" s="1"/>
      <c r="H96" s="97"/>
    </row>
    <row r="97" spans="1:8" ht="15.75" customHeight="1" x14ac:dyDescent="0.35">
      <c r="A97" s="97"/>
      <c r="B97" s="97"/>
      <c r="C97" s="97"/>
      <c r="D97" s="97"/>
      <c r="E97" s="1"/>
      <c r="F97" s="1"/>
      <c r="G97" s="1"/>
      <c r="H97" s="97"/>
    </row>
    <row r="98" spans="1:8" ht="15.75" customHeight="1" x14ac:dyDescent="0.35">
      <c r="A98" s="97"/>
      <c r="B98" s="97"/>
      <c r="C98" s="97"/>
      <c r="D98" s="97"/>
      <c r="E98" s="1"/>
      <c r="F98" s="1"/>
      <c r="G98" s="1"/>
      <c r="H98" s="97"/>
    </row>
    <row r="99" spans="1:8" ht="15.75" customHeight="1" x14ac:dyDescent="0.35">
      <c r="A99" s="97"/>
      <c r="B99" s="97"/>
      <c r="C99" s="97"/>
      <c r="D99" s="97"/>
      <c r="E99" s="1"/>
      <c r="F99" s="1"/>
      <c r="G99" s="1"/>
      <c r="H99" s="97"/>
    </row>
    <row r="100" spans="1:8" ht="15.75" customHeight="1" x14ac:dyDescent="0.35">
      <c r="A100" s="97"/>
      <c r="B100" s="97"/>
      <c r="C100" s="97"/>
      <c r="D100" s="97"/>
      <c r="E100" s="1"/>
      <c r="F100" s="1"/>
      <c r="G100" s="1"/>
      <c r="H100" s="97"/>
    </row>
    <row r="101" spans="1:8" ht="15.75" customHeight="1" x14ac:dyDescent="0.35">
      <c r="A101" s="97"/>
      <c r="B101" s="97"/>
      <c r="C101" s="97"/>
      <c r="D101" s="97"/>
      <c r="E101" s="1"/>
      <c r="F101" s="1"/>
      <c r="G101" s="1"/>
      <c r="H101" s="97"/>
    </row>
    <row r="102" spans="1:8" ht="15.75" customHeight="1" x14ac:dyDescent="0.35">
      <c r="A102" s="97"/>
      <c r="B102" s="97"/>
      <c r="C102" s="97"/>
      <c r="D102" s="97"/>
      <c r="E102" s="1"/>
      <c r="F102" s="1"/>
      <c r="G102" s="1"/>
      <c r="H102" s="97"/>
    </row>
    <row r="103" spans="1:8" ht="15.75" customHeight="1" x14ac:dyDescent="0.35">
      <c r="A103" s="97"/>
      <c r="B103" s="97"/>
      <c r="C103" s="97"/>
      <c r="D103" s="97"/>
      <c r="E103" s="1"/>
      <c r="F103" s="1"/>
      <c r="G103" s="1"/>
      <c r="H103" s="97"/>
    </row>
    <row r="104" spans="1:8" ht="15.75" customHeight="1" x14ac:dyDescent="0.35">
      <c r="A104" s="97"/>
      <c r="B104" s="97"/>
      <c r="C104" s="97"/>
      <c r="D104" s="97"/>
      <c r="E104" s="1"/>
      <c r="F104" s="1"/>
      <c r="G104" s="1"/>
      <c r="H104" s="97"/>
    </row>
    <row r="105" spans="1:8" ht="15.75" customHeight="1" x14ac:dyDescent="0.35">
      <c r="A105" s="97"/>
      <c r="B105" s="97"/>
      <c r="C105" s="97"/>
      <c r="D105" s="97"/>
      <c r="E105" s="1"/>
      <c r="F105" s="1"/>
      <c r="G105" s="1"/>
      <c r="H105" s="97"/>
    </row>
    <row r="106" spans="1:8" ht="15.75" customHeight="1" x14ac:dyDescent="0.35">
      <c r="A106" s="97"/>
      <c r="B106" s="97"/>
      <c r="C106" s="97"/>
      <c r="D106" s="97"/>
      <c r="E106" s="1"/>
      <c r="F106" s="1"/>
      <c r="G106" s="1"/>
      <c r="H106" s="97"/>
    </row>
    <row r="107" spans="1:8" ht="15.75" customHeight="1" x14ac:dyDescent="0.35">
      <c r="A107" s="97"/>
      <c r="B107" s="97"/>
      <c r="C107" s="97"/>
      <c r="D107" s="97"/>
      <c r="E107" s="1"/>
      <c r="F107" s="1"/>
      <c r="G107" s="1"/>
      <c r="H107" s="97"/>
    </row>
    <row r="108" spans="1:8" ht="15.75" customHeight="1" x14ac:dyDescent="0.35">
      <c r="A108" s="97"/>
      <c r="B108" s="97"/>
      <c r="C108" s="97"/>
      <c r="D108" s="97"/>
      <c r="E108" s="1"/>
      <c r="F108" s="1"/>
      <c r="G108" s="1"/>
      <c r="H108" s="97"/>
    </row>
    <row r="109" spans="1:8" ht="15.75" customHeight="1" x14ac:dyDescent="0.35">
      <c r="A109" s="97"/>
      <c r="B109" s="97"/>
      <c r="C109" s="97"/>
      <c r="D109" s="97"/>
      <c r="E109" s="1"/>
      <c r="F109" s="1"/>
      <c r="G109" s="1"/>
      <c r="H109" s="97"/>
    </row>
    <row r="110" spans="1:8" ht="15.75" customHeight="1" x14ac:dyDescent="0.35">
      <c r="A110" s="97"/>
      <c r="B110" s="97"/>
      <c r="C110" s="97"/>
      <c r="D110" s="97"/>
      <c r="E110" s="1"/>
      <c r="F110" s="1"/>
      <c r="G110" s="1"/>
      <c r="H110" s="97"/>
    </row>
    <row r="111" spans="1:8" ht="15.75" customHeight="1" x14ac:dyDescent="0.35">
      <c r="A111" s="97"/>
      <c r="B111" s="97"/>
      <c r="C111" s="97"/>
      <c r="D111" s="97"/>
      <c r="E111" s="1"/>
      <c r="F111" s="1"/>
      <c r="G111" s="1"/>
      <c r="H111" s="97"/>
    </row>
    <row r="112" spans="1:8" ht="15.75" customHeight="1" x14ac:dyDescent="0.35">
      <c r="A112" s="97"/>
      <c r="B112" s="97"/>
      <c r="C112" s="97"/>
      <c r="D112" s="97"/>
      <c r="E112" s="1"/>
      <c r="F112" s="1"/>
      <c r="G112" s="1"/>
      <c r="H112" s="97"/>
    </row>
    <row r="113" spans="1:8" ht="15.75" customHeight="1" x14ac:dyDescent="0.35">
      <c r="A113" s="97"/>
      <c r="B113" s="97"/>
      <c r="C113" s="97"/>
      <c r="D113" s="97"/>
      <c r="E113" s="1"/>
      <c r="F113" s="1"/>
      <c r="G113" s="1"/>
      <c r="H113" s="97"/>
    </row>
    <row r="114" spans="1:8" ht="15.75" customHeight="1" x14ac:dyDescent="0.35">
      <c r="A114" s="97"/>
      <c r="B114" s="97"/>
      <c r="C114" s="97"/>
      <c r="D114" s="97"/>
      <c r="E114" s="1"/>
      <c r="F114" s="1"/>
      <c r="G114" s="1"/>
      <c r="H114" s="97"/>
    </row>
    <row r="115" spans="1:8" ht="15.75" customHeight="1" x14ac:dyDescent="0.35">
      <c r="A115" s="97"/>
      <c r="B115" s="97"/>
      <c r="C115" s="97"/>
      <c r="D115" s="97"/>
      <c r="E115" s="1"/>
      <c r="F115" s="1"/>
      <c r="G115" s="1"/>
      <c r="H115" s="97"/>
    </row>
    <row r="116" spans="1:8" ht="15.75" customHeight="1" x14ac:dyDescent="0.35">
      <c r="A116" s="97"/>
      <c r="B116" s="97"/>
      <c r="C116" s="97"/>
      <c r="D116" s="97"/>
      <c r="E116" s="1"/>
      <c r="F116" s="1"/>
      <c r="G116" s="1"/>
      <c r="H116" s="97"/>
    </row>
    <row r="117" spans="1:8" ht="15.75" customHeight="1" x14ac:dyDescent="0.35">
      <c r="A117" s="97"/>
      <c r="B117" s="97"/>
      <c r="C117" s="97"/>
      <c r="D117" s="97"/>
      <c r="E117" s="1"/>
      <c r="F117" s="1"/>
      <c r="G117" s="1"/>
      <c r="H117" s="97"/>
    </row>
    <row r="118" spans="1:8" ht="15.75" customHeight="1" x14ac:dyDescent="0.35">
      <c r="A118" s="97"/>
      <c r="B118" s="97"/>
      <c r="C118" s="97"/>
      <c r="D118" s="97"/>
      <c r="E118" s="1"/>
      <c r="F118" s="1"/>
      <c r="G118" s="1"/>
      <c r="H118" s="97"/>
    </row>
    <row r="119" spans="1:8" ht="15.75" customHeight="1" x14ac:dyDescent="0.35">
      <c r="A119" s="97"/>
      <c r="B119" s="97"/>
      <c r="C119" s="97"/>
      <c r="D119" s="97"/>
      <c r="E119" s="1"/>
      <c r="F119" s="1"/>
      <c r="G119" s="1"/>
      <c r="H119" s="97"/>
    </row>
    <row r="120" spans="1:8" ht="15.75" customHeight="1" x14ac:dyDescent="0.35">
      <c r="A120" s="97"/>
      <c r="B120" s="97"/>
      <c r="C120" s="97"/>
      <c r="D120" s="97"/>
      <c r="E120" s="1"/>
      <c r="F120" s="1"/>
      <c r="G120" s="1"/>
      <c r="H120" s="97"/>
    </row>
    <row r="121" spans="1:8" ht="15.75" customHeight="1" x14ac:dyDescent="0.35">
      <c r="A121" s="97"/>
      <c r="B121" s="97"/>
      <c r="C121" s="97"/>
      <c r="D121" s="97"/>
      <c r="E121" s="1"/>
      <c r="F121" s="1"/>
      <c r="G121" s="1"/>
      <c r="H121" s="97"/>
    </row>
    <row r="122" spans="1:8" ht="15.75" customHeight="1" x14ac:dyDescent="0.35">
      <c r="A122" s="97"/>
      <c r="B122" s="97"/>
      <c r="C122" s="97"/>
      <c r="D122" s="97"/>
      <c r="E122" s="1"/>
      <c r="F122" s="1"/>
      <c r="G122" s="1"/>
      <c r="H122" s="97"/>
    </row>
    <row r="123" spans="1:8" ht="15.75" customHeight="1" x14ac:dyDescent="0.35">
      <c r="A123" s="97"/>
      <c r="B123" s="97"/>
      <c r="C123" s="97"/>
      <c r="D123" s="97"/>
      <c r="E123" s="1"/>
      <c r="F123" s="1"/>
      <c r="G123" s="1"/>
      <c r="H123" s="97"/>
    </row>
    <row r="124" spans="1:8" ht="15.75" customHeight="1" x14ac:dyDescent="0.35">
      <c r="A124" s="97"/>
      <c r="B124" s="97"/>
      <c r="C124" s="97"/>
      <c r="D124" s="97"/>
      <c r="E124" s="1"/>
      <c r="F124" s="1"/>
      <c r="G124" s="1"/>
      <c r="H124" s="97"/>
    </row>
    <row r="125" spans="1:8" ht="15.75" customHeight="1" x14ac:dyDescent="0.35">
      <c r="A125" s="97"/>
      <c r="B125" s="97"/>
      <c r="C125" s="97"/>
      <c r="D125" s="97"/>
      <c r="E125" s="1"/>
      <c r="F125" s="1"/>
      <c r="G125" s="1"/>
      <c r="H125" s="97"/>
    </row>
    <row r="126" spans="1:8" ht="15.75" customHeight="1" x14ac:dyDescent="0.35">
      <c r="A126" s="97"/>
      <c r="B126" s="97"/>
      <c r="C126" s="97"/>
      <c r="D126" s="97"/>
      <c r="E126" s="1"/>
      <c r="F126" s="1"/>
      <c r="G126" s="1"/>
      <c r="H126" s="97"/>
    </row>
    <row r="127" spans="1:8" ht="15.75" customHeight="1" x14ac:dyDescent="0.35">
      <c r="A127" s="97"/>
      <c r="B127" s="97"/>
      <c r="C127" s="97"/>
      <c r="D127" s="97"/>
      <c r="E127" s="1"/>
      <c r="F127" s="1"/>
      <c r="G127" s="1"/>
      <c r="H127" s="97"/>
    </row>
    <row r="128" spans="1:8" ht="15.75" customHeight="1" x14ac:dyDescent="0.35">
      <c r="A128" s="97"/>
      <c r="B128" s="97"/>
      <c r="C128" s="97"/>
      <c r="D128" s="97"/>
      <c r="E128" s="1"/>
      <c r="F128" s="1"/>
      <c r="G128" s="1"/>
      <c r="H128" s="97"/>
    </row>
    <row r="129" spans="1:8" ht="15.75" customHeight="1" x14ac:dyDescent="0.35">
      <c r="A129" s="97"/>
      <c r="B129" s="97"/>
      <c r="C129" s="97"/>
      <c r="D129" s="97"/>
      <c r="E129" s="1"/>
      <c r="F129" s="1"/>
      <c r="G129" s="1"/>
      <c r="H129" s="97"/>
    </row>
    <row r="130" spans="1:8" ht="15.75" customHeight="1" x14ac:dyDescent="0.35">
      <c r="A130" s="97"/>
      <c r="B130" s="97"/>
      <c r="C130" s="97"/>
      <c r="D130" s="97"/>
      <c r="E130" s="1"/>
      <c r="F130" s="1"/>
      <c r="G130" s="1"/>
      <c r="H130" s="97"/>
    </row>
    <row r="131" spans="1:8" ht="15.75" customHeight="1" x14ac:dyDescent="0.35">
      <c r="A131" s="97"/>
      <c r="B131" s="97"/>
      <c r="C131" s="97"/>
      <c r="D131" s="97"/>
      <c r="E131" s="1"/>
      <c r="F131" s="1"/>
      <c r="G131" s="1"/>
      <c r="H131" s="97"/>
    </row>
    <row r="132" spans="1:8" ht="15.75" customHeight="1" x14ac:dyDescent="0.35">
      <c r="A132" s="97"/>
      <c r="B132" s="97"/>
      <c r="C132" s="97"/>
      <c r="D132" s="97"/>
      <c r="E132" s="1"/>
      <c r="F132" s="1"/>
      <c r="G132" s="1"/>
      <c r="H132" s="97"/>
    </row>
    <row r="133" spans="1:8" ht="15.75" customHeight="1" x14ac:dyDescent="0.35">
      <c r="A133" s="97"/>
      <c r="B133" s="97"/>
      <c r="C133" s="97"/>
      <c r="D133" s="97"/>
      <c r="E133" s="1"/>
      <c r="F133" s="1"/>
      <c r="G133" s="1"/>
      <c r="H133" s="97"/>
    </row>
    <row r="134" spans="1:8" ht="15.75" customHeight="1" x14ac:dyDescent="0.35">
      <c r="A134" s="97"/>
      <c r="B134" s="97"/>
      <c r="C134" s="97"/>
      <c r="D134" s="97"/>
      <c r="E134" s="1"/>
      <c r="F134" s="1"/>
      <c r="G134" s="1"/>
      <c r="H134" s="97"/>
    </row>
    <row r="135" spans="1:8" ht="15.75" customHeight="1" x14ac:dyDescent="0.35">
      <c r="A135" s="97"/>
      <c r="B135" s="97"/>
      <c r="C135" s="97"/>
      <c r="D135" s="97"/>
      <c r="E135" s="1"/>
      <c r="F135" s="1"/>
      <c r="G135" s="1"/>
      <c r="H135" s="97"/>
    </row>
    <row r="136" spans="1:8" ht="15.75" customHeight="1" x14ac:dyDescent="0.35">
      <c r="A136" s="97"/>
      <c r="B136" s="97"/>
      <c r="C136" s="97"/>
      <c r="D136" s="97"/>
      <c r="E136" s="1"/>
      <c r="F136" s="1"/>
      <c r="G136" s="1"/>
      <c r="H136" s="97"/>
    </row>
    <row r="137" spans="1:8" ht="15.75" customHeight="1" x14ac:dyDescent="0.35">
      <c r="A137" s="97"/>
      <c r="B137" s="97"/>
      <c r="C137" s="97"/>
      <c r="D137" s="97"/>
      <c r="E137" s="1"/>
      <c r="F137" s="1"/>
      <c r="G137" s="1"/>
      <c r="H137" s="97"/>
    </row>
    <row r="138" spans="1:8" ht="15.75" customHeight="1" x14ac:dyDescent="0.35">
      <c r="A138" s="97"/>
      <c r="B138" s="97"/>
      <c r="C138" s="97"/>
      <c r="D138" s="97"/>
      <c r="E138" s="1"/>
      <c r="F138" s="1"/>
      <c r="G138" s="1"/>
      <c r="H138" s="97"/>
    </row>
    <row r="139" spans="1:8" ht="15.75" customHeight="1" x14ac:dyDescent="0.35">
      <c r="A139" s="97"/>
      <c r="B139" s="97"/>
      <c r="C139" s="97"/>
      <c r="D139" s="97"/>
      <c r="E139" s="1"/>
      <c r="F139" s="1"/>
      <c r="G139" s="1"/>
      <c r="H139" s="97"/>
    </row>
    <row r="140" spans="1:8" ht="15.75" customHeight="1" x14ac:dyDescent="0.35">
      <c r="A140" s="97"/>
      <c r="B140" s="97"/>
      <c r="C140" s="97"/>
      <c r="D140" s="97"/>
      <c r="E140" s="1"/>
      <c r="F140" s="1"/>
      <c r="G140" s="1"/>
      <c r="H140" s="97"/>
    </row>
    <row r="141" spans="1:8" ht="15.75" customHeight="1" x14ac:dyDescent="0.35">
      <c r="A141" s="97"/>
      <c r="B141" s="97"/>
      <c r="C141" s="97"/>
      <c r="D141" s="97"/>
      <c r="E141" s="1"/>
      <c r="F141" s="1"/>
      <c r="G141" s="1"/>
      <c r="H141" s="97"/>
    </row>
    <row r="142" spans="1:8" ht="15.75" customHeight="1" x14ac:dyDescent="0.35">
      <c r="A142" s="97"/>
      <c r="B142" s="97"/>
      <c r="C142" s="97"/>
      <c r="D142" s="97"/>
      <c r="E142" s="1"/>
      <c r="F142" s="1"/>
      <c r="G142" s="1"/>
      <c r="H142" s="97"/>
    </row>
    <row r="143" spans="1:8" ht="15.75" customHeight="1" x14ac:dyDescent="0.35">
      <c r="A143" s="97"/>
      <c r="B143" s="97"/>
      <c r="C143" s="97"/>
      <c r="D143" s="97"/>
      <c r="E143" s="1"/>
      <c r="F143" s="1"/>
      <c r="G143" s="1"/>
      <c r="H143" s="97"/>
    </row>
    <row r="144" spans="1:8" ht="15.75" customHeight="1" x14ac:dyDescent="0.35">
      <c r="A144" s="97"/>
      <c r="B144" s="97"/>
      <c r="C144" s="97"/>
      <c r="D144" s="97"/>
      <c r="E144" s="1"/>
      <c r="F144" s="1"/>
      <c r="G144" s="1"/>
      <c r="H144" s="97"/>
    </row>
    <row r="145" spans="1:8" ht="15.75" customHeight="1" x14ac:dyDescent="0.35">
      <c r="A145" s="97"/>
      <c r="B145" s="97"/>
      <c r="C145" s="97"/>
      <c r="D145" s="97"/>
      <c r="E145" s="1"/>
      <c r="F145" s="1"/>
      <c r="G145" s="1"/>
      <c r="H145" s="97"/>
    </row>
    <row r="146" spans="1:8" ht="15.75" customHeight="1" x14ac:dyDescent="0.35">
      <c r="A146" s="97"/>
      <c r="B146" s="97"/>
      <c r="C146" s="97"/>
      <c r="D146" s="97"/>
      <c r="E146" s="1"/>
      <c r="F146" s="1"/>
      <c r="G146" s="1"/>
      <c r="H146" s="97"/>
    </row>
    <row r="147" spans="1:8" ht="15.75" customHeight="1" x14ac:dyDescent="0.35">
      <c r="A147" s="97"/>
      <c r="B147" s="97"/>
      <c r="C147" s="97"/>
      <c r="D147" s="97"/>
      <c r="E147" s="1"/>
      <c r="F147" s="1"/>
      <c r="G147" s="1"/>
      <c r="H147" s="97"/>
    </row>
    <row r="148" spans="1:8" ht="15.75" customHeight="1" x14ac:dyDescent="0.35">
      <c r="A148" s="97"/>
      <c r="B148" s="97"/>
      <c r="C148" s="97"/>
      <c r="D148" s="97"/>
      <c r="E148" s="1"/>
      <c r="F148" s="1"/>
      <c r="G148" s="1"/>
      <c r="H148" s="97"/>
    </row>
    <row r="149" spans="1:8" ht="15.75" customHeight="1" x14ac:dyDescent="0.35">
      <c r="A149" s="97"/>
      <c r="B149" s="97"/>
      <c r="C149" s="97"/>
      <c r="D149" s="97"/>
      <c r="E149" s="1"/>
      <c r="F149" s="1"/>
      <c r="G149" s="1"/>
      <c r="H149" s="97"/>
    </row>
    <row r="150" spans="1:8" ht="15.75" customHeight="1" x14ac:dyDescent="0.35">
      <c r="A150" s="97"/>
      <c r="B150" s="97"/>
      <c r="C150" s="97"/>
      <c r="D150" s="97"/>
      <c r="E150" s="1"/>
      <c r="F150" s="1"/>
      <c r="G150" s="1"/>
      <c r="H150" s="97"/>
    </row>
    <row r="151" spans="1:8" ht="15.75" customHeight="1" x14ac:dyDescent="0.35">
      <c r="A151" s="97"/>
      <c r="B151" s="97"/>
      <c r="C151" s="97"/>
      <c r="D151" s="97"/>
      <c r="E151" s="1"/>
      <c r="F151" s="1"/>
      <c r="G151" s="1"/>
      <c r="H151" s="97"/>
    </row>
    <row r="152" spans="1:8" ht="15.75" customHeight="1" x14ac:dyDescent="0.35">
      <c r="A152" s="97"/>
      <c r="B152" s="97"/>
      <c r="C152" s="97"/>
      <c r="D152" s="97"/>
      <c r="E152" s="1"/>
      <c r="F152" s="1"/>
      <c r="G152" s="1"/>
      <c r="H152" s="97"/>
    </row>
    <row r="153" spans="1:8" ht="15.75" customHeight="1" x14ac:dyDescent="0.35">
      <c r="A153" s="97"/>
      <c r="B153" s="97"/>
      <c r="C153" s="97"/>
      <c r="D153" s="97"/>
      <c r="E153" s="1"/>
      <c r="F153" s="1"/>
      <c r="G153" s="1"/>
      <c r="H153" s="97"/>
    </row>
    <row r="154" spans="1:8" ht="15.75" customHeight="1" x14ac:dyDescent="0.35">
      <c r="A154" s="97"/>
      <c r="B154" s="97"/>
      <c r="C154" s="97"/>
      <c r="D154" s="97"/>
      <c r="E154" s="1"/>
      <c r="F154" s="1"/>
      <c r="G154" s="1"/>
      <c r="H154" s="97"/>
    </row>
    <row r="155" spans="1:8" ht="15.75" customHeight="1" x14ac:dyDescent="0.35">
      <c r="A155" s="97"/>
      <c r="B155" s="97"/>
      <c r="C155" s="97"/>
      <c r="D155" s="97"/>
      <c r="E155" s="1"/>
      <c r="F155" s="1"/>
      <c r="G155" s="1"/>
      <c r="H155" s="97"/>
    </row>
    <row r="156" spans="1:8" ht="15.75" customHeight="1" x14ac:dyDescent="0.35">
      <c r="A156" s="97"/>
      <c r="B156" s="97"/>
      <c r="C156" s="97"/>
      <c r="D156" s="97"/>
      <c r="E156" s="1"/>
      <c r="F156" s="1"/>
      <c r="G156" s="1"/>
      <c r="H156" s="97"/>
    </row>
    <row r="157" spans="1:8" ht="15.75" customHeight="1" x14ac:dyDescent="0.35">
      <c r="A157" s="97"/>
      <c r="B157" s="97"/>
      <c r="C157" s="97"/>
      <c r="D157" s="97"/>
      <c r="E157" s="1"/>
      <c r="F157" s="1"/>
      <c r="G157" s="1"/>
      <c r="H157" s="97"/>
    </row>
    <row r="158" spans="1:8" ht="15.75" customHeight="1" x14ac:dyDescent="0.35">
      <c r="A158" s="97"/>
      <c r="B158" s="97"/>
      <c r="C158" s="97"/>
      <c r="D158" s="97"/>
      <c r="E158" s="1"/>
      <c r="F158" s="1"/>
      <c r="G158" s="1"/>
      <c r="H158" s="97"/>
    </row>
    <row r="159" spans="1:8" ht="15.75" customHeight="1" x14ac:dyDescent="0.35">
      <c r="A159" s="97"/>
      <c r="B159" s="97"/>
      <c r="C159" s="97"/>
      <c r="D159" s="97"/>
      <c r="E159" s="1"/>
      <c r="F159" s="1"/>
      <c r="G159" s="1"/>
      <c r="H159" s="97"/>
    </row>
    <row r="160" spans="1:8" ht="15.75" customHeight="1" x14ac:dyDescent="0.35">
      <c r="A160" s="97"/>
      <c r="B160" s="97"/>
      <c r="C160" s="97"/>
      <c r="D160" s="97"/>
      <c r="E160" s="1"/>
      <c r="F160" s="1"/>
      <c r="G160" s="1"/>
      <c r="H160" s="97"/>
    </row>
    <row r="161" spans="1:8" ht="15.75" customHeight="1" x14ac:dyDescent="0.35">
      <c r="A161" s="97"/>
      <c r="B161" s="97"/>
      <c r="C161" s="97"/>
      <c r="D161" s="97"/>
      <c r="E161" s="1"/>
      <c r="F161" s="1"/>
      <c r="G161" s="1"/>
      <c r="H161" s="97"/>
    </row>
    <row r="162" spans="1:8" ht="15.75" customHeight="1" x14ac:dyDescent="0.35">
      <c r="A162" s="97"/>
      <c r="B162" s="97"/>
      <c r="C162" s="97"/>
      <c r="D162" s="97"/>
      <c r="E162" s="1"/>
      <c r="F162" s="1"/>
      <c r="G162" s="1"/>
      <c r="H162" s="97"/>
    </row>
    <row r="163" spans="1:8" ht="15.75" customHeight="1" x14ac:dyDescent="0.35">
      <c r="A163" s="97"/>
      <c r="B163" s="97"/>
      <c r="C163" s="97"/>
      <c r="D163" s="97"/>
      <c r="E163" s="1"/>
      <c r="F163" s="1"/>
      <c r="G163" s="1"/>
      <c r="H163" s="97"/>
    </row>
    <row r="164" spans="1:8" ht="15.75" customHeight="1" x14ac:dyDescent="0.35">
      <c r="A164" s="97"/>
      <c r="B164" s="97"/>
      <c r="C164" s="97"/>
      <c r="D164" s="97"/>
      <c r="E164" s="1"/>
      <c r="F164" s="1"/>
      <c r="G164" s="1"/>
      <c r="H164" s="97"/>
    </row>
    <row r="165" spans="1:8" ht="15.75" customHeight="1" x14ac:dyDescent="0.35">
      <c r="A165" s="97"/>
      <c r="B165" s="97"/>
      <c r="C165" s="97"/>
      <c r="D165" s="97"/>
      <c r="E165" s="1"/>
      <c r="F165" s="1"/>
      <c r="G165" s="1"/>
      <c r="H165" s="97"/>
    </row>
    <row r="166" spans="1:8" ht="15.75" customHeight="1" x14ac:dyDescent="0.35">
      <c r="A166" s="97"/>
      <c r="B166" s="97"/>
      <c r="C166" s="97"/>
      <c r="D166" s="97"/>
      <c r="E166" s="1"/>
      <c r="F166" s="1"/>
      <c r="G166" s="1"/>
      <c r="H166" s="97"/>
    </row>
    <row r="167" spans="1:8" ht="15.75" customHeight="1" x14ac:dyDescent="0.35">
      <c r="A167" s="97"/>
      <c r="B167" s="97"/>
      <c r="C167" s="97"/>
      <c r="D167" s="97"/>
      <c r="E167" s="1"/>
      <c r="F167" s="1"/>
      <c r="G167" s="1"/>
      <c r="H167" s="97"/>
    </row>
    <row r="168" spans="1:8" ht="15.75" customHeight="1" x14ac:dyDescent="0.35">
      <c r="A168" s="97"/>
      <c r="B168" s="97"/>
      <c r="C168" s="97"/>
      <c r="D168" s="97"/>
      <c r="E168" s="1"/>
      <c r="F168" s="1"/>
      <c r="G168" s="1"/>
      <c r="H168" s="97"/>
    </row>
    <row r="169" spans="1:8" ht="15.75" customHeight="1" x14ac:dyDescent="0.35">
      <c r="A169" s="97"/>
      <c r="B169" s="97"/>
      <c r="C169" s="97"/>
      <c r="D169" s="97"/>
      <c r="E169" s="1"/>
      <c r="F169" s="1"/>
      <c r="G169" s="1"/>
      <c r="H169" s="97"/>
    </row>
    <row r="170" spans="1:8" ht="15.75" customHeight="1" x14ac:dyDescent="0.35">
      <c r="A170" s="97"/>
      <c r="B170" s="97"/>
      <c r="C170" s="97"/>
      <c r="D170" s="97"/>
      <c r="E170" s="1"/>
      <c r="F170" s="1"/>
      <c r="G170" s="1"/>
      <c r="H170" s="97"/>
    </row>
    <row r="171" spans="1:8" ht="15.75" customHeight="1" x14ac:dyDescent="0.35">
      <c r="A171" s="97"/>
      <c r="B171" s="97"/>
      <c r="C171" s="97"/>
      <c r="D171" s="97"/>
      <c r="E171" s="1"/>
      <c r="F171" s="1"/>
      <c r="G171" s="1"/>
      <c r="H171" s="97"/>
    </row>
    <row r="172" spans="1:8" ht="15.75" customHeight="1" x14ac:dyDescent="0.35">
      <c r="A172" s="97"/>
      <c r="B172" s="97"/>
      <c r="C172" s="97"/>
      <c r="D172" s="97"/>
      <c r="E172" s="1"/>
      <c r="F172" s="1"/>
      <c r="G172" s="1"/>
      <c r="H172" s="97"/>
    </row>
    <row r="173" spans="1:8" ht="15.75" customHeight="1" x14ac:dyDescent="0.35">
      <c r="A173" s="97"/>
      <c r="B173" s="97"/>
      <c r="C173" s="97"/>
      <c r="D173" s="97"/>
      <c r="E173" s="1"/>
      <c r="F173" s="1"/>
      <c r="G173" s="1"/>
      <c r="H173" s="97"/>
    </row>
    <row r="174" spans="1:8" ht="15.75" customHeight="1" x14ac:dyDescent="0.35">
      <c r="A174" s="97"/>
      <c r="B174" s="97"/>
      <c r="C174" s="97"/>
      <c r="D174" s="97"/>
      <c r="E174" s="1"/>
      <c r="F174" s="1"/>
      <c r="G174" s="1"/>
      <c r="H174" s="97"/>
    </row>
    <row r="175" spans="1:8" ht="15.75" customHeight="1" x14ac:dyDescent="0.35">
      <c r="A175" s="97"/>
      <c r="B175" s="97"/>
      <c r="C175" s="97"/>
      <c r="D175" s="97"/>
      <c r="E175" s="1"/>
      <c r="F175" s="1"/>
      <c r="G175" s="1"/>
      <c r="H175" s="97"/>
    </row>
    <row r="176" spans="1:8" ht="15.75" customHeight="1" x14ac:dyDescent="0.35">
      <c r="A176" s="97"/>
      <c r="B176" s="97"/>
      <c r="C176" s="97"/>
      <c r="D176" s="97"/>
      <c r="E176" s="1"/>
      <c r="F176" s="1"/>
      <c r="G176" s="1"/>
      <c r="H176" s="97"/>
    </row>
    <row r="177" spans="1:8" ht="15.75" customHeight="1" x14ac:dyDescent="0.35">
      <c r="A177" s="97"/>
      <c r="B177" s="97"/>
      <c r="C177" s="97"/>
      <c r="D177" s="97"/>
      <c r="E177" s="1"/>
      <c r="F177" s="1"/>
      <c r="G177" s="1"/>
      <c r="H177" s="97"/>
    </row>
    <row r="178" spans="1:8" ht="15.75" customHeight="1" x14ac:dyDescent="0.35">
      <c r="A178" s="97"/>
      <c r="B178" s="97"/>
      <c r="C178" s="97"/>
      <c r="D178" s="97"/>
      <c r="E178" s="1"/>
      <c r="F178" s="1"/>
      <c r="G178" s="1"/>
      <c r="H178" s="97"/>
    </row>
    <row r="179" spans="1:8" ht="15.75" customHeight="1" x14ac:dyDescent="0.35">
      <c r="A179" s="97"/>
      <c r="B179" s="97"/>
      <c r="C179" s="97"/>
      <c r="D179" s="97"/>
      <c r="E179" s="1"/>
      <c r="F179" s="1"/>
      <c r="G179" s="1"/>
      <c r="H179" s="97"/>
    </row>
    <row r="180" spans="1:8" ht="15.75" customHeight="1" x14ac:dyDescent="0.35">
      <c r="A180" s="97"/>
      <c r="B180" s="97"/>
      <c r="C180" s="97"/>
      <c r="D180" s="97"/>
      <c r="E180" s="1"/>
      <c r="F180" s="1"/>
      <c r="G180" s="1"/>
      <c r="H180" s="97"/>
    </row>
    <row r="181" spans="1:8" ht="15.75" customHeight="1" x14ac:dyDescent="0.35">
      <c r="A181" s="97"/>
      <c r="B181" s="97"/>
      <c r="C181" s="97"/>
      <c r="D181" s="97"/>
      <c r="E181" s="1"/>
      <c r="F181" s="1"/>
      <c r="G181" s="1"/>
      <c r="H181" s="97"/>
    </row>
    <row r="182" spans="1:8" ht="15.75" customHeight="1" x14ac:dyDescent="0.35">
      <c r="A182" s="97"/>
      <c r="B182" s="97"/>
      <c r="C182" s="97"/>
      <c r="D182" s="97"/>
      <c r="E182" s="1"/>
      <c r="F182" s="1"/>
      <c r="G182" s="1"/>
      <c r="H182" s="97"/>
    </row>
    <row r="183" spans="1:8" ht="15.75" customHeight="1" x14ac:dyDescent="0.35">
      <c r="A183" s="97"/>
      <c r="B183" s="97"/>
      <c r="C183" s="97"/>
      <c r="D183" s="97"/>
      <c r="E183" s="1"/>
      <c r="F183" s="1"/>
      <c r="G183" s="1"/>
      <c r="H183" s="97"/>
    </row>
    <row r="184" spans="1:8" ht="15.75" customHeight="1" x14ac:dyDescent="0.35">
      <c r="A184" s="97"/>
      <c r="B184" s="97"/>
      <c r="C184" s="97"/>
      <c r="D184" s="97"/>
      <c r="E184" s="1"/>
      <c r="F184" s="1"/>
      <c r="G184" s="1"/>
      <c r="H184" s="97"/>
    </row>
    <row r="185" spans="1:8" ht="15.75" customHeight="1" x14ac:dyDescent="0.35">
      <c r="A185" s="97"/>
      <c r="B185" s="97"/>
      <c r="C185" s="97"/>
      <c r="D185" s="97"/>
      <c r="E185" s="1"/>
      <c r="F185" s="1"/>
      <c r="G185" s="1"/>
      <c r="H185" s="97"/>
    </row>
    <row r="186" spans="1:8" ht="15.75" customHeight="1" x14ac:dyDescent="0.35">
      <c r="A186" s="97"/>
      <c r="B186" s="97"/>
      <c r="C186" s="97"/>
      <c r="D186" s="97"/>
      <c r="E186" s="1"/>
      <c r="F186" s="1"/>
      <c r="G186" s="1"/>
      <c r="H186" s="97"/>
    </row>
    <row r="187" spans="1:8" ht="15.75" customHeight="1" x14ac:dyDescent="0.35">
      <c r="A187" s="97"/>
      <c r="B187" s="97"/>
      <c r="C187" s="97"/>
      <c r="D187" s="97"/>
      <c r="E187" s="1"/>
      <c r="F187" s="1"/>
      <c r="G187" s="1"/>
      <c r="H187" s="97"/>
    </row>
    <row r="188" spans="1:8" ht="15.75" customHeight="1" x14ac:dyDescent="0.35">
      <c r="A188" s="97"/>
      <c r="B188" s="97"/>
      <c r="C188" s="97"/>
      <c r="D188" s="97"/>
      <c r="E188" s="1"/>
      <c r="F188" s="1"/>
      <c r="G188" s="1"/>
      <c r="H188" s="97"/>
    </row>
    <row r="189" spans="1:8" ht="15.75" customHeight="1" x14ac:dyDescent="0.35">
      <c r="A189" s="97"/>
      <c r="B189" s="97"/>
      <c r="C189" s="97"/>
      <c r="D189" s="97"/>
      <c r="E189" s="1"/>
      <c r="F189" s="1"/>
      <c r="G189" s="1"/>
      <c r="H189" s="97"/>
    </row>
    <row r="190" spans="1:8" ht="15.75" customHeight="1" x14ac:dyDescent="0.35">
      <c r="A190" s="97"/>
      <c r="B190" s="97"/>
      <c r="C190" s="97"/>
      <c r="D190" s="97"/>
      <c r="E190" s="1"/>
      <c r="F190" s="1"/>
      <c r="G190" s="1"/>
      <c r="H190" s="97"/>
    </row>
    <row r="191" spans="1:8" ht="15.75" customHeight="1" x14ac:dyDescent="0.35">
      <c r="A191" s="97"/>
      <c r="B191" s="97"/>
      <c r="C191" s="97"/>
      <c r="D191" s="97"/>
      <c r="E191" s="1"/>
      <c r="F191" s="1"/>
      <c r="G191" s="1"/>
      <c r="H191" s="97"/>
    </row>
    <row r="192" spans="1:8" ht="15.75" customHeight="1" x14ac:dyDescent="0.35">
      <c r="A192" s="97"/>
      <c r="B192" s="97"/>
      <c r="C192" s="97"/>
      <c r="D192" s="97"/>
      <c r="E192" s="1"/>
      <c r="F192" s="1"/>
      <c r="G192" s="1"/>
      <c r="H192" s="97"/>
    </row>
    <row r="193" spans="1:8" ht="15.75" customHeight="1" x14ac:dyDescent="0.35">
      <c r="A193" s="97"/>
      <c r="B193" s="97"/>
      <c r="C193" s="97"/>
      <c r="D193" s="97"/>
      <c r="E193" s="1"/>
      <c r="F193" s="1"/>
      <c r="G193" s="1"/>
      <c r="H193" s="97"/>
    </row>
    <row r="194" spans="1:8" ht="15.75" customHeight="1" x14ac:dyDescent="0.35">
      <c r="A194" s="97"/>
      <c r="B194" s="97"/>
      <c r="C194" s="97"/>
      <c r="D194" s="97"/>
      <c r="E194" s="1"/>
      <c r="F194" s="1"/>
      <c r="G194" s="1"/>
      <c r="H194" s="97"/>
    </row>
    <row r="195" spans="1:8" ht="15.75" customHeight="1" x14ac:dyDescent="0.35">
      <c r="A195" s="97"/>
      <c r="B195" s="97"/>
      <c r="C195" s="97"/>
      <c r="D195" s="97"/>
      <c r="E195" s="1"/>
      <c r="F195" s="1"/>
      <c r="G195" s="1"/>
      <c r="H195" s="97"/>
    </row>
    <row r="196" spans="1:8" ht="15.75" customHeight="1" x14ac:dyDescent="0.35">
      <c r="A196" s="97"/>
      <c r="B196" s="97"/>
      <c r="C196" s="97"/>
      <c r="D196" s="97"/>
      <c r="E196" s="1"/>
      <c r="F196" s="1"/>
      <c r="G196" s="1"/>
      <c r="H196" s="97"/>
    </row>
    <row r="197" spans="1:8" ht="15.75" customHeight="1" x14ac:dyDescent="0.35">
      <c r="A197" s="97"/>
      <c r="B197" s="97"/>
      <c r="C197" s="97"/>
      <c r="D197" s="97"/>
      <c r="E197" s="1"/>
      <c r="F197" s="1"/>
      <c r="G197" s="1"/>
      <c r="H197" s="97"/>
    </row>
    <row r="198" spans="1:8" ht="15.75" customHeight="1" x14ac:dyDescent="0.35">
      <c r="A198" s="97"/>
      <c r="B198" s="97"/>
      <c r="C198" s="97"/>
      <c r="D198" s="97"/>
      <c r="E198" s="1"/>
      <c r="F198" s="1"/>
      <c r="G198" s="1"/>
      <c r="H198" s="97"/>
    </row>
    <row r="199" spans="1:8" ht="15.75" customHeight="1" x14ac:dyDescent="0.35">
      <c r="A199" s="97"/>
      <c r="B199" s="97"/>
      <c r="C199" s="97"/>
      <c r="D199" s="97"/>
      <c r="E199" s="1"/>
      <c r="F199" s="1"/>
      <c r="G199" s="1"/>
      <c r="H199" s="97"/>
    </row>
    <row r="200" spans="1:8" ht="15.75" customHeight="1" x14ac:dyDescent="0.35">
      <c r="A200" s="97"/>
      <c r="B200" s="97"/>
      <c r="C200" s="97"/>
      <c r="D200" s="97"/>
      <c r="E200" s="1"/>
      <c r="F200" s="1"/>
      <c r="G200" s="1"/>
      <c r="H200" s="97"/>
    </row>
    <row r="201" spans="1:8" ht="15.75" customHeight="1" x14ac:dyDescent="0.35">
      <c r="A201" s="97"/>
      <c r="B201" s="97"/>
      <c r="C201" s="97"/>
      <c r="D201" s="97"/>
      <c r="E201" s="1"/>
      <c r="F201" s="1"/>
      <c r="G201" s="1"/>
      <c r="H201" s="97"/>
    </row>
    <row r="202" spans="1:8" ht="15.75" customHeight="1" x14ac:dyDescent="0.35">
      <c r="A202" s="97"/>
      <c r="B202" s="97"/>
      <c r="C202" s="97"/>
      <c r="D202" s="97"/>
      <c r="E202" s="1"/>
      <c r="F202" s="1"/>
      <c r="G202" s="1"/>
      <c r="H202" s="97"/>
    </row>
    <row r="203" spans="1:8" ht="15.75" customHeight="1" x14ac:dyDescent="0.35">
      <c r="A203" s="97"/>
      <c r="B203" s="97"/>
      <c r="C203" s="97"/>
      <c r="D203" s="97"/>
      <c r="E203" s="1"/>
      <c r="F203" s="1"/>
      <c r="G203" s="1"/>
      <c r="H203" s="97"/>
    </row>
    <row r="204" spans="1:8" ht="15.75" customHeight="1" x14ac:dyDescent="0.35">
      <c r="A204" s="97"/>
      <c r="B204" s="97"/>
      <c r="C204" s="97"/>
      <c r="D204" s="97"/>
      <c r="E204" s="1"/>
      <c r="F204" s="1"/>
      <c r="G204" s="1"/>
      <c r="H204" s="97"/>
    </row>
    <row r="205" spans="1:8" ht="15.75" customHeight="1" x14ac:dyDescent="0.35">
      <c r="A205" s="97"/>
      <c r="B205" s="97"/>
      <c r="C205" s="97"/>
      <c r="D205" s="97"/>
      <c r="E205" s="1"/>
      <c r="F205" s="1"/>
      <c r="G205" s="1"/>
      <c r="H205" s="97"/>
    </row>
    <row r="206" spans="1:8" ht="15.75" customHeight="1" x14ac:dyDescent="0.35">
      <c r="A206" s="97"/>
      <c r="B206" s="97"/>
      <c r="C206" s="97"/>
      <c r="D206" s="97"/>
      <c r="E206" s="1"/>
      <c r="F206" s="1"/>
      <c r="G206" s="1"/>
      <c r="H206" s="97"/>
    </row>
    <row r="207" spans="1:8" ht="15.75" customHeight="1" x14ac:dyDescent="0.35">
      <c r="A207" s="97"/>
      <c r="B207" s="97"/>
      <c r="C207" s="97"/>
      <c r="D207" s="97"/>
      <c r="E207" s="1"/>
      <c r="F207" s="1"/>
      <c r="G207" s="1"/>
      <c r="H207" s="97"/>
    </row>
    <row r="208" spans="1:8" ht="15.75" customHeight="1" x14ac:dyDescent="0.35">
      <c r="A208" s="97"/>
      <c r="B208" s="97"/>
      <c r="C208" s="97"/>
      <c r="D208" s="97"/>
      <c r="E208" s="1"/>
      <c r="F208" s="1"/>
      <c r="G208" s="1"/>
      <c r="H208" s="97"/>
    </row>
    <row r="209" spans="1:8" ht="15.75" customHeight="1" x14ac:dyDescent="0.35">
      <c r="A209" s="97"/>
      <c r="B209" s="97"/>
      <c r="C209" s="97"/>
      <c r="D209" s="97"/>
      <c r="E209" s="1"/>
      <c r="F209" s="1"/>
      <c r="G209" s="1"/>
      <c r="H209" s="97"/>
    </row>
    <row r="210" spans="1:8" ht="15.75" customHeight="1" x14ac:dyDescent="0.35">
      <c r="A210" s="97"/>
      <c r="B210" s="97"/>
      <c r="C210" s="97"/>
      <c r="D210" s="97"/>
      <c r="E210" s="1"/>
      <c r="F210" s="1"/>
      <c r="G210" s="1"/>
      <c r="H210" s="97"/>
    </row>
    <row r="211" spans="1:8" ht="15.75" customHeight="1" x14ac:dyDescent="0.35">
      <c r="A211" s="97"/>
      <c r="B211" s="97"/>
      <c r="C211" s="97"/>
      <c r="D211" s="97"/>
      <c r="E211" s="1"/>
      <c r="F211" s="1"/>
      <c r="G211" s="1"/>
      <c r="H211" s="97"/>
    </row>
    <row r="212" spans="1:8" ht="15.75" customHeight="1" x14ac:dyDescent="0.35">
      <c r="A212" s="97"/>
      <c r="B212" s="97"/>
      <c r="C212" s="97"/>
      <c r="D212" s="97"/>
      <c r="E212" s="1"/>
      <c r="F212" s="1"/>
      <c r="G212" s="1"/>
      <c r="H212" s="97"/>
    </row>
    <row r="213" spans="1:8" ht="15.75" customHeight="1" x14ac:dyDescent="0.35">
      <c r="A213" s="97"/>
      <c r="B213" s="97"/>
      <c r="C213" s="97"/>
      <c r="D213" s="97"/>
      <c r="E213" s="1"/>
      <c r="F213" s="1"/>
      <c r="G213" s="1"/>
      <c r="H213" s="97"/>
    </row>
    <row r="214" spans="1:8" ht="15.75" customHeight="1" x14ac:dyDescent="0.35">
      <c r="A214" s="97"/>
      <c r="B214" s="97"/>
      <c r="C214" s="97"/>
      <c r="D214" s="97"/>
      <c r="E214" s="1"/>
      <c r="F214" s="1"/>
      <c r="G214" s="1"/>
      <c r="H214" s="97"/>
    </row>
    <row r="215" spans="1:8" ht="15.75" customHeight="1" x14ac:dyDescent="0.35">
      <c r="A215" s="97"/>
      <c r="B215" s="97"/>
      <c r="C215" s="97"/>
      <c r="D215" s="97"/>
      <c r="E215" s="1"/>
      <c r="F215" s="1"/>
      <c r="G215" s="1"/>
      <c r="H215" s="97"/>
    </row>
    <row r="216" spans="1:8" ht="15.75" customHeight="1" x14ac:dyDescent="0.35">
      <c r="A216" s="97"/>
      <c r="B216" s="97"/>
      <c r="C216" s="97"/>
      <c r="D216" s="97"/>
      <c r="E216" s="1"/>
      <c r="F216" s="1"/>
      <c r="G216" s="1"/>
      <c r="H216" s="97"/>
    </row>
    <row r="217" spans="1:8" ht="15.75" customHeight="1" x14ac:dyDescent="0.35">
      <c r="A217" s="97"/>
      <c r="B217" s="97"/>
      <c r="C217" s="97"/>
      <c r="D217" s="97"/>
      <c r="E217" s="1"/>
      <c r="F217" s="1"/>
      <c r="G217" s="1"/>
      <c r="H217" s="97"/>
    </row>
    <row r="218" spans="1:8" ht="15.75" customHeight="1" x14ac:dyDescent="0.35">
      <c r="A218" s="97"/>
      <c r="B218" s="97"/>
      <c r="C218" s="97"/>
      <c r="D218" s="97"/>
      <c r="E218" s="1"/>
      <c r="F218" s="1"/>
      <c r="G218" s="1"/>
      <c r="H218" s="97"/>
    </row>
    <row r="219" spans="1:8" ht="15.75" customHeight="1" x14ac:dyDescent="0.3">
      <c r="A219" s="1"/>
      <c r="B219" s="1"/>
      <c r="C219" s="1"/>
      <c r="D219" s="1"/>
      <c r="E219" s="1"/>
      <c r="F219" s="1"/>
      <c r="G219" s="1"/>
      <c r="H219" s="1"/>
    </row>
    <row r="220" spans="1:8" ht="15.75" customHeight="1" x14ac:dyDescent="0.3">
      <c r="A220" s="1"/>
      <c r="B220" s="1"/>
      <c r="C220" s="1"/>
      <c r="D220" s="1"/>
      <c r="E220" s="1"/>
      <c r="F220" s="1"/>
      <c r="G220" s="1"/>
      <c r="H220" s="1"/>
    </row>
    <row r="221" spans="1:8" ht="15.75" customHeight="1" x14ac:dyDescent="0.3">
      <c r="A221" s="1"/>
      <c r="B221" s="1"/>
      <c r="C221" s="1"/>
      <c r="D221" s="1"/>
      <c r="E221" s="1"/>
      <c r="F221" s="1"/>
      <c r="G221" s="1"/>
      <c r="H221" s="1"/>
    </row>
    <row r="222" spans="1:8" ht="15.75" customHeight="1" x14ac:dyDescent="0.3">
      <c r="A222" s="1"/>
      <c r="B222" s="1"/>
      <c r="C222" s="1"/>
      <c r="D222" s="1"/>
      <c r="E222" s="1"/>
      <c r="F222" s="1"/>
      <c r="G222" s="1"/>
      <c r="H222" s="1"/>
    </row>
    <row r="223" spans="1:8" ht="15.75" customHeight="1" x14ac:dyDescent="0.3">
      <c r="A223" s="1"/>
      <c r="B223" s="1"/>
      <c r="C223" s="1"/>
      <c r="D223" s="1"/>
      <c r="E223" s="1"/>
      <c r="F223" s="1"/>
      <c r="G223" s="1"/>
      <c r="H223" s="1"/>
    </row>
    <row r="224" spans="1:8" ht="15.75" customHeight="1" x14ac:dyDescent="0.3">
      <c r="A224" s="1"/>
      <c r="B224" s="1"/>
      <c r="C224" s="1"/>
      <c r="D224" s="1"/>
      <c r="E224" s="1"/>
      <c r="F224" s="1"/>
      <c r="G224" s="1"/>
      <c r="H224" s="1"/>
    </row>
    <row r="225" spans="1:8" ht="15.75" customHeight="1" x14ac:dyDescent="0.3">
      <c r="A225" s="1"/>
      <c r="B225" s="1"/>
      <c r="C225" s="1"/>
      <c r="D225" s="1"/>
      <c r="E225" s="1"/>
      <c r="F225" s="1"/>
      <c r="G225" s="1"/>
      <c r="H225" s="1"/>
    </row>
    <row r="226" spans="1:8" ht="15.75" customHeight="1" x14ac:dyDescent="0.3"/>
    <row r="227" spans="1:8" ht="15.75" customHeight="1" x14ac:dyDescent="0.3"/>
    <row r="228" spans="1:8" ht="15.75" customHeight="1" x14ac:dyDescent="0.3"/>
    <row r="229" spans="1:8" ht="15.75" customHeight="1" x14ac:dyDescent="0.3"/>
    <row r="230" spans="1:8" ht="15.75" customHeight="1" x14ac:dyDescent="0.3"/>
    <row r="231" spans="1:8" ht="15.75" customHeight="1" x14ac:dyDescent="0.3"/>
    <row r="232" spans="1:8" ht="15.75" customHeight="1" x14ac:dyDescent="0.3"/>
    <row r="233" spans="1:8" ht="15.75" customHeight="1" x14ac:dyDescent="0.3"/>
    <row r="234" spans="1:8" ht="15.75" customHeight="1" x14ac:dyDescent="0.3"/>
    <row r="235" spans="1:8" ht="15.75" customHeight="1" x14ac:dyDescent="0.3"/>
    <row r="236" spans="1:8" ht="15.75" customHeight="1" x14ac:dyDescent="0.3"/>
    <row r="237" spans="1:8" ht="15.75" customHeight="1" x14ac:dyDescent="0.3"/>
    <row r="238" spans="1:8" ht="15.75" customHeight="1" x14ac:dyDescent="0.3"/>
    <row r="239" spans="1:8" ht="15.75" customHeight="1" x14ac:dyDescent="0.3"/>
    <row r="240" spans="1:8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E1:G37" xr:uid="{00000000-0001-0000-0A00-000000000000}">
    <filterColumn colId="1">
      <filters>
        <filter val="Kaspersky"/>
      </filters>
    </filterColumn>
  </autoFilter>
  <conditionalFormatting sqref="E1:E1048576">
    <cfRule type="duplicateValues" dxfId="0" priority="1"/>
  </conditionalFormatting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Extractos bancarios - Manglar</vt:lpstr>
      <vt:lpstr>CxC</vt:lpstr>
      <vt:lpstr>CxP</vt:lpstr>
      <vt:lpstr>Rentabilidad x Cliente</vt:lpstr>
      <vt:lpstr>Costos Fijos</vt:lpstr>
      <vt:lpstr>Proyeccion Flujo de Caja</vt:lpstr>
      <vt:lpstr>Planeacion IVA</vt:lpstr>
      <vt:lpstr>Forecast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Lopez</cp:lastModifiedBy>
  <dcterms:modified xsi:type="dcterms:W3CDTF">2026-10-28T19:55:34Z</dcterms:modified>
</cp:coreProperties>
</file>